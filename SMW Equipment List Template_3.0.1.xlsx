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c22cb7cbe76b4b99" Type="http://schemas.microsoft.com/office/2007/relationships/ui/extensibility" Target="customUI/customUI14.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s://shenmilsomwilke-my.sharepoint.com/personal/dwright_smwllc_com/Documents/Development/_SMW/AV Equipment List/Add-In Version/"/>
    </mc:Choice>
  </mc:AlternateContent>
  <xr:revisionPtr revIDLastSave="32" documentId="8_{AE0A4C29-10E4-4AD8-A45A-FAF0C47029FE}" xr6:coauthVersionLast="47" xr6:coauthVersionMax="47" xr10:uidLastSave="{2769EC8F-922F-481A-AC7B-E8CBC582D7FD}"/>
  <bookViews>
    <workbookView xWindow="45972" yWindow="-276" windowWidth="46296" windowHeight="25416" tabRatio="834" activeTab="4" xr2:uid="{00000000-000D-0000-FFFF-FFFF00000000}"/>
  </bookViews>
  <sheets>
    <sheet name="INSTRUCTIONS" sheetId="16" r:id="rId1"/>
    <sheet name="PROJECT_SETTINGS" sheetId="5" r:id="rId2"/>
    <sheet name="PROJECT_EQUIPMENT_LIST" sheetId="3" r:id="rId3"/>
    <sheet name="DATA_HOLD" sheetId="22" state="veryHidden" r:id="rId4"/>
    <sheet name="SYSTEM_TEMPLATE_LOOKUP" sheetId="8" r:id="rId5"/>
    <sheet name="DWG Report" sheetId="39" state="hidden" r:id="rId6"/>
    <sheet name="Equipment Report" sheetId="34" state="hidden" r:id="rId7"/>
    <sheet name="Issuances" sheetId="24" r:id="rId8"/>
    <sheet name="Summary" sheetId="2" r:id="rId9"/>
    <sheet name="Revision List" sheetId="23" r:id="rId10"/>
    <sheet name="_TEMP" sheetId="31" state="veryHidden" r:id="rId11"/>
  </sheets>
  <definedNames>
    <definedName name="_xlnm._FilterDatabase" localSheetId="6" hidden="1">'Equipment Report'!$A$1:$D$3</definedName>
    <definedName name="_xlnm._FilterDatabase" localSheetId="2" hidden="1">PROJECT_EQUIPMENT_LIST!$A$1:$G$6633</definedName>
    <definedName name="_xlnm._FilterDatabase" localSheetId="4" hidden="1">SYSTEM_TEMPLATE_LOOKUP!$A$4:$K$39</definedName>
    <definedName name="_xlnm.Print_Area" localSheetId="0">INSTRUCTIONS!$A$1:$AI$46</definedName>
    <definedName name="_xlnm.Print_Area" localSheetId="7">Issuances!$A$1:$C$55</definedName>
    <definedName name="_xlnm.Print_Area" localSheetId="1">PROJECT_SETTINGS!#REF!</definedName>
    <definedName name="_xlnm.Print_Area" localSheetId="9">'Revision List'!$A$1:$H$4</definedName>
    <definedName name="_xlnm.Print_Area" localSheetId="8">Summary!$A$1:$L$15</definedName>
    <definedName name="_xlnm.Print_Area" localSheetId="4">SYSTEM_TEMPLATE_LOOKUP!$A$1:$I$39</definedName>
    <definedName name="_xlnm.Print_Titles" localSheetId="4">SYSTEM_TEMPLATE_LOOKUP!$1:$4</definedName>
    <definedName name="Z_25B109E7_546D_484A_9932_8EF9F33760F1_.wvu.Cols" localSheetId="4" hidden="1">SYSTEM_TEMPLATE_LOOKUP!$J:$K</definedName>
    <definedName name="Z_25B109E7_546D_484A_9932_8EF9F33760F1_.wvu.FilterData" localSheetId="6" hidden="1">'Equipment Report'!$A$1:$D$3</definedName>
    <definedName name="Z_25B109E7_546D_484A_9932_8EF9F33760F1_.wvu.FilterData" localSheetId="2" hidden="1">PROJECT_EQUIPMENT_LIST!$A$1:$G$6633</definedName>
    <definedName name="Z_25B109E7_546D_484A_9932_8EF9F33760F1_.wvu.FilterData" localSheetId="4" hidden="1">SYSTEM_TEMPLATE_LOOKUP!$A$4:$K$39</definedName>
    <definedName name="Z_25B109E7_546D_484A_9932_8EF9F33760F1_.wvu.PrintArea" localSheetId="0" hidden="1">INSTRUCTIONS!$A$1:$AI$46</definedName>
    <definedName name="Z_25B109E7_546D_484A_9932_8EF9F33760F1_.wvu.PrintArea" localSheetId="7" hidden="1">Issuances!$A$1:$C$55</definedName>
    <definedName name="Z_25B109E7_546D_484A_9932_8EF9F33760F1_.wvu.PrintArea" localSheetId="9" hidden="1">'Revision List'!$A$1:$H$4</definedName>
    <definedName name="Z_25B109E7_546D_484A_9932_8EF9F33760F1_.wvu.PrintArea" localSheetId="8" hidden="1">Summary!$A$1:$L$15</definedName>
    <definedName name="Z_25B109E7_546D_484A_9932_8EF9F33760F1_.wvu.PrintArea" localSheetId="4" hidden="1">SYSTEM_TEMPLATE_LOOKUP!$A$1:$I$39</definedName>
    <definedName name="Z_25B109E7_546D_484A_9932_8EF9F33760F1_.wvu.PrintTitles" localSheetId="4" hidden="1">SYSTEM_TEMPLATE_LOOKUP!$1:$4</definedName>
    <definedName name="Z_25B109E7_546D_484A_9932_8EF9F33760F1_.wvu.Rows" localSheetId="2" hidden="1">PROJECT_EQUIPMENT_LIST!$6634:$6634,PROJECT_EQUIPMENT_LIST!$6636:$6637</definedName>
  </definedNames>
  <calcPr calcId="191028"/>
  <customWorkbookViews>
    <customWorkbookView name="ShowAllWs" guid="{25B109E7-546D-484A-9932-8EF9F33760F1}" maximized="1" xWindow="-12" yWindow="-12" windowWidth="3864" windowHeight="2132" tabRatio="834"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4" i="8" l="1"/>
  <c r="J24" i="8"/>
  <c r="K23" i="8"/>
  <c r="J23" i="8"/>
  <c r="G23" i="8" s="1"/>
  <c r="H23" i="8" s="1"/>
  <c r="K22" i="8"/>
  <c r="J22" i="8"/>
  <c r="G22" i="8" s="1"/>
  <c r="H22" i="8" s="1"/>
  <c r="K20" i="8"/>
  <c r="J20" i="8"/>
  <c r="G20" i="8" s="1"/>
  <c r="H20" i="8" s="1"/>
  <c r="K19" i="8"/>
  <c r="J19" i="8"/>
  <c r="K18" i="8"/>
  <c r="J18" i="8"/>
  <c r="G18" i="8" s="1"/>
  <c r="H18" i="8" s="1"/>
  <c r="K16" i="8"/>
  <c r="J16" i="8"/>
  <c r="G16" i="8" s="1"/>
  <c r="H16" i="8" s="1"/>
  <c r="K15" i="8"/>
  <c r="J15" i="8"/>
  <c r="K14" i="8"/>
  <c r="J14" i="8"/>
  <c r="K12" i="8"/>
  <c r="J12" i="8"/>
  <c r="K11" i="8"/>
  <c r="J11" i="8"/>
  <c r="K10" i="8"/>
  <c r="J10" i="8"/>
  <c r="G10" i="8" s="1"/>
  <c r="H10" i="8" s="1"/>
  <c r="J7" i="8"/>
  <c r="K7" i="8"/>
  <c r="J8" i="8"/>
  <c r="K8" i="8"/>
  <c r="K6" i="8"/>
  <c r="J6" i="8"/>
  <c r="G12" i="8"/>
  <c r="H12" i="8" s="1"/>
  <c r="G15" i="8"/>
  <c r="H15" i="8" s="1"/>
  <c r="J6" i="2"/>
  <c r="L6" i="2" s="1"/>
  <c r="J7" i="2"/>
  <c r="L7" i="2" s="1"/>
  <c r="S20" i="8"/>
  <c r="R20" i="8"/>
  <c r="Q20" i="8"/>
  <c r="O20" i="8"/>
  <c r="N20" i="8"/>
  <c r="E20" i="8"/>
  <c r="D20" i="8"/>
  <c r="C20" i="8"/>
  <c r="B20" i="8"/>
  <c r="S19" i="8"/>
  <c r="R19" i="8"/>
  <c r="Q19" i="8"/>
  <c r="O19" i="8"/>
  <c r="N19" i="8"/>
  <c r="G19" i="8"/>
  <c r="H19" i="8" s="1"/>
  <c r="E19" i="8"/>
  <c r="D19" i="8"/>
  <c r="C19" i="8"/>
  <c r="B19" i="8"/>
  <c r="S18" i="8"/>
  <c r="R18" i="8"/>
  <c r="Q18" i="8"/>
  <c r="O18" i="8"/>
  <c r="N18" i="8"/>
  <c r="E18" i="8"/>
  <c r="D18" i="8"/>
  <c r="C18" i="8"/>
  <c r="B18" i="8"/>
  <c r="S12" i="8"/>
  <c r="R12" i="8"/>
  <c r="Q12" i="8"/>
  <c r="O12" i="8"/>
  <c r="N12" i="8"/>
  <c r="E12" i="8"/>
  <c r="D12" i="8"/>
  <c r="C12" i="8"/>
  <c r="B12" i="8"/>
  <c r="S11" i="8"/>
  <c r="R11" i="8"/>
  <c r="Q11" i="8"/>
  <c r="O11" i="8"/>
  <c r="N11" i="8"/>
  <c r="G11" i="8"/>
  <c r="H11" i="8" s="1"/>
  <c r="E11" i="8"/>
  <c r="D11" i="8"/>
  <c r="C11" i="8"/>
  <c r="B11" i="8"/>
  <c r="S10" i="8"/>
  <c r="R10" i="8"/>
  <c r="Q10" i="8"/>
  <c r="O10" i="8"/>
  <c r="N10" i="8"/>
  <c r="E10" i="8"/>
  <c r="D10" i="8"/>
  <c r="C10" i="8"/>
  <c r="B10" i="8"/>
  <c r="S24" i="8"/>
  <c r="R24" i="8"/>
  <c r="Q24" i="8"/>
  <c r="O24" i="8"/>
  <c r="N24" i="8"/>
  <c r="G24" i="8"/>
  <c r="H24" i="8" s="1"/>
  <c r="E24" i="8"/>
  <c r="D24" i="8"/>
  <c r="C24" i="8"/>
  <c r="B24" i="8"/>
  <c r="S23" i="8"/>
  <c r="R23" i="8"/>
  <c r="Q23" i="8"/>
  <c r="O23" i="8"/>
  <c r="N23" i="8"/>
  <c r="E23" i="8"/>
  <c r="D23" i="8"/>
  <c r="C23" i="8"/>
  <c r="B23" i="8"/>
  <c r="S22" i="8"/>
  <c r="R22" i="8"/>
  <c r="Q22" i="8"/>
  <c r="O22" i="8"/>
  <c r="N22" i="8"/>
  <c r="E22" i="8"/>
  <c r="D22" i="8"/>
  <c r="C22" i="8"/>
  <c r="B22" i="8"/>
  <c r="S16" i="8"/>
  <c r="R16" i="8"/>
  <c r="Q16" i="8"/>
  <c r="O16" i="8"/>
  <c r="N16" i="8"/>
  <c r="E16" i="8"/>
  <c r="D16" i="8"/>
  <c r="C16" i="8"/>
  <c r="B16" i="8"/>
  <c r="S15" i="8"/>
  <c r="R15" i="8"/>
  <c r="Q15" i="8"/>
  <c r="O15" i="8"/>
  <c r="N15" i="8"/>
  <c r="E15" i="8"/>
  <c r="D15" i="8"/>
  <c r="C15" i="8"/>
  <c r="B15" i="8"/>
  <c r="S14" i="8"/>
  <c r="R14" i="8"/>
  <c r="Q14" i="8"/>
  <c r="O14" i="8"/>
  <c r="N14" i="8"/>
  <c r="G14" i="8"/>
  <c r="H14" i="8" s="1"/>
  <c r="E14" i="8"/>
  <c r="D14" i="8"/>
  <c r="C14" i="8"/>
  <c r="B14" i="8"/>
  <c r="S8" i="8"/>
  <c r="R8" i="8"/>
  <c r="Q8" i="8"/>
  <c r="O8" i="8"/>
  <c r="N8" i="8"/>
  <c r="G8" i="8"/>
  <c r="H8" i="8" s="1"/>
  <c r="E8" i="8"/>
  <c r="D8" i="8"/>
  <c r="C8" i="8"/>
  <c r="B8" i="8"/>
  <c r="S7" i="8"/>
  <c r="R7" i="8"/>
  <c r="Q7" i="8"/>
  <c r="O7" i="8"/>
  <c r="N7" i="8"/>
  <c r="G7" i="8"/>
  <c r="H7" i="8" s="1"/>
  <c r="E7" i="8"/>
  <c r="D7" i="8"/>
  <c r="C7" i="8"/>
  <c r="B7" i="8"/>
  <c r="E6" i="8"/>
  <c r="D6" i="8"/>
  <c r="C6" i="8"/>
  <c r="B6" i="8"/>
  <c r="A1" i="8" l="1"/>
  <c r="A1" i="2"/>
  <c r="H30" i="8"/>
  <c r="H31" i="8"/>
  <c r="H32" i="8"/>
  <c r="H33" i="8"/>
  <c r="H34" i="8"/>
  <c r="H35" i="8"/>
  <c r="H29" i="8"/>
  <c r="I37" i="8"/>
  <c r="I27" i="8"/>
  <c r="L1" i="2"/>
  <c r="G6" i="8" l="1"/>
  <c r="H6" i="8" s="1"/>
  <c r="A1" i="23" l="1"/>
  <c r="A2" i="23"/>
  <c r="L9" i="2" l="1"/>
  <c r="C1" i="24"/>
  <c r="A1" i="24"/>
  <c r="H1" i="23" l="1"/>
  <c r="J5" i="2" l="1"/>
  <c r="L5" i="2" s="1"/>
  <c r="L11" i="2"/>
  <c r="R6" i="8"/>
  <c r="Q6" i="8" s="1"/>
  <c r="L13" i="2" l="1"/>
  <c r="L15" i="2" s="1"/>
  <c r="O6" i="8"/>
  <c r="N6" i="8"/>
  <c r="S6" i="8" s="1"/>
  <c r="A2" i="8" l="1"/>
  <c r="D11" i="5" l="1"/>
  <c r="I13" i="8" l="1"/>
  <c r="I9" i="8"/>
  <c r="I5" i="8"/>
  <c r="I17" i="8"/>
  <c r="I21" i="8"/>
  <c r="I26" i="8" l="1"/>
  <c r="I28" i="8" s="1"/>
  <c r="I29" i="8" s="1"/>
  <c r="I32" i="8" l="1"/>
  <c r="I34" i="8"/>
  <c r="I31" i="8"/>
  <c r="I30" i="8"/>
  <c r="I35" i="8"/>
  <c r="I33" i="8"/>
  <c r="I36" i="8" l="1"/>
  <c r="I38" i="8" s="1"/>
  <c r="I39" i="8" s="1"/>
</calcChain>
</file>

<file path=xl/sharedStrings.xml><?xml version="1.0" encoding="utf-8"?>
<sst xmlns="http://schemas.openxmlformats.org/spreadsheetml/2006/main" count="23034" uniqueCount="13174">
  <si>
    <t>1. SaveAs to project folder</t>
  </si>
  <si>
    <t>Project Name</t>
  </si>
  <si>
    <t>Non-Equip Brakeout Titles</t>
  </si>
  <si>
    <t>Non-Equip Breakout Mults</t>
  </si>
  <si>
    <t>Rounding Variable</t>
  </si>
  <si>
    <t>Discount from MSRP</t>
  </si>
  <si>
    <t>ENGINEERING</t>
  </si>
  <si>
    <t>PROJECT MANAGEMENT</t>
  </si>
  <si>
    <t>PRE-INSTALLATION &amp; RACK FABRICATION</t>
  </si>
  <si>
    <t>INSTALLATION</t>
  </si>
  <si>
    <t>PROGRAMMING</t>
  </si>
  <si>
    <t>TAX</t>
  </si>
  <si>
    <t>G&amp;A</t>
  </si>
  <si>
    <t>TOTAL NON-EQUIP MULT - SHOULD BE APPROX. 40%</t>
  </si>
  <si>
    <t>ITEM</t>
  </si>
  <si>
    <t>DESCRIPTION</t>
  </si>
  <si>
    <t>MFR</t>
  </si>
  <si>
    <t>MODEL</t>
  </si>
  <si>
    <t>NOTES</t>
  </si>
  <si>
    <t>QTY</t>
  </si>
  <si>
    <t>UNIT 
COST</t>
  </si>
  <si>
    <t>EXTENDED COST</t>
  </si>
  <si>
    <t>SYSTEM SUBTOTAL</t>
  </si>
  <si>
    <t>MSRP</t>
  </si>
  <si>
    <t>MULT</t>
  </si>
  <si>
    <t>SYSTEM</t>
  </si>
  <si>
    <t>Atlona</t>
  </si>
  <si>
    <t>BiAmp</t>
  </si>
  <si>
    <t>Devio SCR-20TX</t>
  </si>
  <si>
    <t>Microphone - Ceiling Mount, Beamforming, White</t>
  </si>
  <si>
    <t>Tesira AMP-450BP</t>
  </si>
  <si>
    <t>Tesira AMP-450P</t>
  </si>
  <si>
    <t>TesiraFORTE AVB CI</t>
  </si>
  <si>
    <t>Microphone - Tabletop, Beamforming</t>
  </si>
  <si>
    <t>Crestron</t>
  </si>
  <si>
    <t>AM-200</t>
  </si>
  <si>
    <t>C3COM-3</t>
  </si>
  <si>
    <t>CCS-UC-1</t>
  </si>
  <si>
    <t>Tabletop Conference System Video Package</t>
  </si>
  <si>
    <t>CCS-UC-1 AV KIT</t>
  </si>
  <si>
    <t>Tabletop Conference System Video Package w/ Power Pack</t>
  </si>
  <si>
    <t>CCS-UC-1 AV W/PS KIT</t>
  </si>
  <si>
    <t>Tabletop Conference System w/ Power Pack</t>
  </si>
  <si>
    <t>CCS-UC-1 W/PS KIT</t>
  </si>
  <si>
    <t>CCS-UCA-MIC</t>
  </si>
  <si>
    <t>Microphone - Table Top Set of 2</t>
  </si>
  <si>
    <t>CCS-UCA-MIC KIT</t>
  </si>
  <si>
    <t>CEN-CI3-1</t>
  </si>
  <si>
    <t>CEN-CI3-3</t>
  </si>
  <si>
    <t>CEN-GWEXER</t>
  </si>
  <si>
    <t>CEN-IO-COM-102</t>
  </si>
  <si>
    <t>CEN-ODT-C-POE</t>
  </si>
  <si>
    <t>CP4N</t>
  </si>
  <si>
    <t>DMB-4K-I-C</t>
  </si>
  <si>
    <t>DMB-4K-I-HD</t>
  </si>
  <si>
    <t>DMB-4K-I-HD-DNT</t>
  </si>
  <si>
    <t>DMB-4K-O-C</t>
  </si>
  <si>
    <t>DMB-4K-O-HD</t>
  </si>
  <si>
    <t>DMB-4K-O-HD-DNT</t>
  </si>
  <si>
    <t>DMB-I-S</t>
  </si>
  <si>
    <t>DMB-I-S2</t>
  </si>
  <si>
    <t>DMB-O-S</t>
  </si>
  <si>
    <t>DMB-O-S2</t>
  </si>
  <si>
    <t>DMC-DVI</t>
  </si>
  <si>
    <t>DMC-HDO</t>
  </si>
  <si>
    <t>DMC-S</t>
  </si>
  <si>
    <t>DMC-S2</t>
  </si>
  <si>
    <t>DMC-SDI</t>
  </si>
  <si>
    <t>DMC-STR</t>
  </si>
  <si>
    <t>DMC-STRO</t>
  </si>
  <si>
    <t>DMC-VGA</t>
  </si>
  <si>
    <t>DMC-VID4</t>
  </si>
  <si>
    <t>DMC-VID-BNC</t>
  </si>
  <si>
    <t>DMC-VID-RCA-A</t>
  </si>
  <si>
    <t>DMC-VID-RCA-D</t>
  </si>
  <si>
    <t>DM-DGE-200-C</t>
  </si>
  <si>
    <t>AV Encoder/Decoder Card Frame - 8-slot</t>
  </si>
  <si>
    <t>Video Matrix Switcher - Frame 128x128</t>
  </si>
  <si>
    <t>Video Matrix Switcher - Frame 16x16</t>
  </si>
  <si>
    <t>Video Matrix Switcher - Frame 16x16 RPS</t>
  </si>
  <si>
    <t>Video Matrix Switcher - Frame 32x32</t>
  </si>
  <si>
    <t>Video Matrix Switcher - Frame 32x32 RPS</t>
  </si>
  <si>
    <t>Video Matrix Switcher - Frame 64x64</t>
  </si>
  <si>
    <t>DM-MD8x8-CPU3</t>
  </si>
  <si>
    <t>DM-MD8x8-CPU3-RPS</t>
  </si>
  <si>
    <t>DM-NVX-351</t>
  </si>
  <si>
    <t>DM-NVX-351C</t>
  </si>
  <si>
    <t>DM-NVX-360</t>
  </si>
  <si>
    <t>DM-NVX-363</t>
  </si>
  <si>
    <t>DM-NVX-E760</t>
  </si>
  <si>
    <t>DMPS3-300-C</t>
  </si>
  <si>
    <t>DMPS3-4K-100-C</t>
  </si>
  <si>
    <t>DMPS3-4K-150-C</t>
  </si>
  <si>
    <t>DMPS3-4K-250-C</t>
  </si>
  <si>
    <t>DMPS3-4K-350-C</t>
  </si>
  <si>
    <t>DMPS3-4K-50</t>
  </si>
  <si>
    <t>DM-RMC-200-C</t>
  </si>
  <si>
    <t>DM-RMC-4K-100-C-1G</t>
  </si>
  <si>
    <t>DM-RMC-4KZ-100-C</t>
  </si>
  <si>
    <t>DM-TX-200-C-2G</t>
  </si>
  <si>
    <t>DM-TX-201-C</t>
  </si>
  <si>
    <t>DM-TX-401-C</t>
  </si>
  <si>
    <t>DM-TX-4KZ-202-C</t>
  </si>
  <si>
    <t>DM-TX-4KZ-302-C</t>
  </si>
  <si>
    <t>HD-DA-2-QUAD</t>
  </si>
  <si>
    <t>HD-RX-101-C-E</t>
  </si>
  <si>
    <t>HD-RX-4K-210-C-E</t>
  </si>
  <si>
    <t>HD-TX-101-C-1G-E-W-T</t>
  </si>
  <si>
    <t>HD-TX-101-C-E</t>
  </si>
  <si>
    <t>MPC3/MPB3-TTK-SQR-B</t>
  </si>
  <si>
    <t>MPC3-302-W</t>
  </si>
  <si>
    <t>PRO4</t>
  </si>
  <si>
    <t>RMC4</t>
  </si>
  <si>
    <t>Room Availability Indicator, Wall Mount</t>
  </si>
  <si>
    <t>SIW-100</t>
  </si>
  <si>
    <t>TS-1070</t>
  </si>
  <si>
    <t>TS-1542-C-x-S</t>
  </si>
  <si>
    <t>TS-1542-TILT-C-x-S</t>
  </si>
  <si>
    <t>TS-1542-TILT-x-S</t>
  </si>
  <si>
    <t>Control Touch Panel - 15" Wall-Mount</t>
  </si>
  <si>
    <t>TS-1542-x-S</t>
  </si>
  <si>
    <t>TS-770</t>
  </si>
  <si>
    <t>TSS-1070-B-S-LB KIT</t>
  </si>
  <si>
    <t>TSS-770-B-S-LB KIT</t>
  </si>
  <si>
    <t>TST-902</t>
  </si>
  <si>
    <t>TST-902-DSW</t>
  </si>
  <si>
    <t>TSW-1070</t>
  </si>
  <si>
    <t>TSW-770</t>
  </si>
  <si>
    <t>UC-CX100-Z</t>
  </si>
  <si>
    <t>Vaddio</t>
  </si>
  <si>
    <t>----------------------------------------------------------------------------------------------------------- Change Management --------------------------------------------------------------------------------------------------------------------------</t>
  </si>
  <si>
    <t>Room Numbers</t>
  </si>
  <si>
    <t>LAST ISSUED INFO</t>
  </si>
  <si>
    <t>ID</t>
  </si>
  <si>
    <t>ISSUANCE</t>
  </si>
  <si>
    <t>OLD QTY.</t>
  </si>
  <si>
    <t>STATUS</t>
  </si>
  <si>
    <t>NEW QTY.</t>
  </si>
  <si>
    <t>SUMMARY</t>
  </si>
  <si>
    <t>DISPLAY</t>
  </si>
  <si>
    <t>AUDIO</t>
  </si>
  <si>
    <t>VIDEO</t>
  </si>
  <si>
    <t>CONTROL</t>
  </si>
  <si>
    <t>MISC.</t>
  </si>
  <si>
    <t>//</t>
  </si>
  <si>
    <t>COST ESTIMATE SUMMARY</t>
  </si>
  <si>
    <t xml:space="preserve"> </t>
  </si>
  <si>
    <t>TOTAL EQUIPMENT COST SUBTOTAL</t>
  </si>
  <si>
    <t>DISCOUNT FROM MSRP</t>
  </si>
  <si>
    <t>DISCOUNTED EQUIPMENT COST SUBTOTAL</t>
  </si>
  <si>
    <t>TOTAL NON-EQUIPMENT COST SUBTOTAL</t>
  </si>
  <si>
    <t>CONTINGENCY PERCENTAGE</t>
  </si>
  <si>
    <t>CONTINGENCY</t>
  </si>
  <si>
    <t>TOTAL INSTALLED COST</t>
  </si>
  <si>
    <t>Audiovisual System Summary</t>
  </si>
  <si>
    <t>SYSTEM NAME</t>
  </si>
  <si>
    <t>ROOM #'s</t>
  </si>
  <si>
    <t xml:space="preserve">EQUIPMENT </t>
  </si>
  <si>
    <t>NON-EQUIPMENT</t>
  </si>
  <si>
    <t xml:space="preserve"> SYSTEM SUBTOTAL</t>
  </si>
  <si>
    <t>SYSTEM EXTENDED</t>
  </si>
  <si>
    <t>Issuance Log</t>
  </si>
  <si>
    <t>DATE</t>
  </si>
  <si>
    <t>SYSTEMS ISSUED</t>
  </si>
  <si>
    <t>NEW QTY</t>
  </si>
  <si>
    <t>Setup Procedure</t>
  </si>
  <si>
    <t>AV Tools Ribbon Tab</t>
  </si>
  <si>
    <t>Add New System Tab</t>
  </si>
  <si>
    <t>Use this button to either add a new tab from the template or copy and rename and existing system tab</t>
  </si>
  <si>
    <t>Add Row</t>
  </si>
  <si>
    <t>Publish Estimate</t>
  </si>
  <si>
    <t>Use this button to publish estimates.  A form will allow for selection of systems to issue, publishing notes, itemized cost, and labor cost.  All selected systems are edited for budget release and issuance sheet upadated.</t>
  </si>
  <si>
    <t>Publish BoM</t>
  </si>
  <si>
    <t>Use this button to publish BoM for bidding.  A form will allow for selection of systems to issue and publishing notes.  All selected systems are edited for bidding release and issuance sheet updated.</t>
  </si>
  <si>
    <t>System Tab Use</t>
  </si>
  <si>
    <t>1. The tab name is used for the system name and field A3 should not be edited</t>
  </si>
  <si>
    <t>2. Room numbers seperated by a coma shoud be entered in D2 to allow for automated quanity counting.  If the system is across multiple rooms, for example a divisible training room, use a dash to separate the room numbers.</t>
  </si>
  <si>
    <t>Change Tracking</t>
  </si>
  <si>
    <t>1. Add change name to Issuances tab in column A.</t>
  </si>
  <si>
    <t>2. On the system tab in the row of the item that is changing select the change from the pulldown selector in column AE</t>
  </si>
  <si>
    <t>3. On the system tab in the row of the item that is changing enter the old quanity in column AH</t>
  </si>
  <si>
    <t>4. Revision List will update when publish for estimate or publish BoM is selected based on the issuance selected</t>
  </si>
  <si>
    <t>Notes</t>
  </si>
  <si>
    <t>TOTAL CONTENGENCY SUBTOTAL</t>
  </si>
  <si>
    <t>DISCOUNT EQUIPMENT</t>
  </si>
  <si>
    <t>CONTENGENCY %</t>
  </si>
  <si>
    <t>CONTENGENCY</t>
  </si>
  <si>
    <t>0 = No Rounding</t>
  </si>
  <si>
    <t>Rounding Varible Equivalents</t>
  </si>
  <si>
    <t>-1 = 10s place</t>
  </si>
  <si>
    <t>-2 = 100s place</t>
  </si>
  <si>
    <t>-3 = 1,000s place</t>
  </si>
  <si>
    <t>-4 = 10,000s place</t>
  </si>
  <si>
    <t>Init</t>
  </si>
  <si>
    <t>Date</t>
  </si>
  <si>
    <t>DW</t>
  </si>
  <si>
    <t>MLP</t>
  </si>
  <si>
    <t xml:space="preserve">4. Turn off Document Auto-save for macros to work properly </t>
  </si>
  <si>
    <t>6. Using Add Row macro: Make sure the device ID in the column A of the System Tempate is  blank</t>
  </si>
  <si>
    <t>7. Summary Tab: always check (and extend) the calculations  include all systems</t>
  </si>
  <si>
    <t>8. Summary tab: always check system numbering, large number of system may require manually revision</t>
  </si>
  <si>
    <t>5. Adding row to Master Tab: Macro "Add Row" will add a row above the current selected cell</t>
  </si>
  <si>
    <t>Update Summary Sheet</t>
  </si>
  <si>
    <t>Equipment Count</t>
  </si>
  <si>
    <t>AT-AVA-EX100CE-BP-KIT</t>
  </si>
  <si>
    <t>Avance 4K/UHD extended distance HDMI Transmitter and Receiver Kit with RS-232 and IR pass-through and bi-directional power</t>
  </si>
  <si>
    <t>AT-AVA-EX70-2PS-KIT</t>
  </si>
  <si>
    <t>Avance 4K/UHD HDMI Transmitter and Receiver Kit</t>
  </si>
  <si>
    <t>AT-AVA-EX70C-BP-KIT</t>
  </si>
  <si>
    <t>Avance 4K/UHD HDMI Transmitter and Receiver Kit with RS-232 and IR pass-through and bi-directional power</t>
  </si>
  <si>
    <t>AT-AVA-EX70C-KIT</t>
  </si>
  <si>
    <t>Avance 4K/UHD HDMI Transmitter and Receiver Kit with RS-232 and IR pass-through</t>
  </si>
  <si>
    <t>AT-AVA-EX70-KIT</t>
  </si>
  <si>
    <t>Avance 4K/UHD PoE HDMI Transmitter and Receiver Kit</t>
  </si>
  <si>
    <t>AT-HDR-EX-100CEA-KIT</t>
  </si>
  <si>
    <t>4K HDR Transmitter and Receiver Set w/IR, RS-232, Ethernet, and PoE</t>
  </si>
  <si>
    <t>AT-HDR-EX-70-2PS</t>
  </si>
  <si>
    <t xml:space="preserve">4K/UHD HDR 230ft (70m) HDMI Over HDBaseT TX/RX Kit </t>
  </si>
  <si>
    <t>AT-HDR-EX-70C-KIT</t>
  </si>
  <si>
    <t>4K HDR Transmitter and Receiver Set w/IR, RS-232, and PoE</t>
  </si>
  <si>
    <t>AT-HDVS-TX-WP-NB</t>
  </si>
  <si>
    <t>(No Buttons Face Plate) for HDVS-150TX-WP</t>
  </si>
  <si>
    <t>AT-OME-EX-KIT</t>
  </si>
  <si>
    <t>Omega 4K/UHD HDMI Over HDBaseT TX/RX with USB, Control and PoE</t>
  </si>
  <si>
    <t>AT-OME-EX-KIT-LT</t>
  </si>
  <si>
    <t>Omega 4K/UHD HDMI Over HDBaseT TX/RX Lite extender Kit with USB, Control and PoE</t>
  </si>
  <si>
    <t>AT-OME-EX-RX</t>
  </si>
  <si>
    <t>Omega 4K/UHD HDMI Over HDBaseT Receiver with USB, Control and PoE</t>
  </si>
  <si>
    <t>AT-OME-EX-TX</t>
  </si>
  <si>
    <t>Omega 4K/UHD HDMI Over HDBaseT Transmitter with USB, Control and PoE</t>
  </si>
  <si>
    <t>AT-OME-EX-TX-WP</t>
  </si>
  <si>
    <t>Single Gang  TX Wall Plate with USB Pass Through</t>
  </si>
  <si>
    <t>AT-OME-EX-TX-WPC</t>
  </si>
  <si>
    <t>Omega single gang wall plate with USB-C Input and USB data support</t>
  </si>
  <si>
    <t>AT-OME-EX-WP-KIT</t>
  </si>
  <si>
    <t>Omega 4K/UHD HDMI Over HDBaseT TX Wallplate/RX with USB, Control and PoE</t>
  </si>
  <si>
    <t>AT-OME-EX-WP-KIT-LT</t>
  </si>
  <si>
    <t>Omega 4K/UHD HDMI Over HDBaseT TX Wallplate/RX with USB, Control and PoE, 70 Meters</t>
  </si>
  <si>
    <t>AT-OME-RX11</t>
  </si>
  <si>
    <t>Omega 4K/UHD HDMI over HDBaseT Receiver with Control. Audio Output, and PoE (Power Source Equipment)</t>
  </si>
  <si>
    <t>AT-OME-SR21</t>
  </si>
  <si>
    <t>Omega Soft Video Conferencing HDBaseT receiver with Scaler</t>
  </si>
  <si>
    <t>AT-OME-ST31A-KIT</t>
  </si>
  <si>
    <t>AT-OME-ST31A + AT-UHD-EX-100CE-RX-PSE Combo Kit</t>
  </si>
  <si>
    <t>AT-OPUS-RX</t>
  </si>
  <si>
    <t>Ultra High Data Rate Extender Receiver w/IR, RS232, Ethernet</t>
  </si>
  <si>
    <t>AT-PS-POE</t>
  </si>
  <si>
    <t>Power Over Ethernet Mid-Span Power Supply</t>
  </si>
  <si>
    <t>AT-UHD-EX-100CE-RX</t>
  </si>
  <si>
    <t>4K/UHD HDMI Over 100M HDBaseT Receiver with Ethernet, Control and PoE</t>
  </si>
  <si>
    <t>AT-UHD-EX-100CE-TX</t>
  </si>
  <si>
    <t>(Tx Only) 4K/UHD 100M HDBaseT Transmitter with Ethernet and Control</t>
  </si>
  <si>
    <t>AT-UHD-EX-100CE-TX-PD</t>
  </si>
  <si>
    <t>(Tx Only) 4K/UHD 100M HDBaseT Transmitter (Power Device)</t>
  </si>
  <si>
    <t>AT-UHD-EX-70C-RX</t>
  </si>
  <si>
    <t>4K/UHD HDMI Over HDBaseT Receiver with Control and PoE</t>
  </si>
  <si>
    <t>AT-UHD-EX-70C-TX</t>
  </si>
  <si>
    <t>(Tx Only) 4K/UHD HDMI Over HDBaseT Transmitter with Control and PoE</t>
  </si>
  <si>
    <t>AT-USB-EX100-KIT</t>
  </si>
  <si>
    <t>USB 2.0 Extender Kit over Category Cable, up to 100 meters</t>
  </si>
  <si>
    <t>AT-HDR-H2H-44MA</t>
  </si>
  <si>
    <t>4K/UHD HDR 4×4 HDMI Matrix Switcher</t>
  </si>
  <si>
    <t>AT-HDR-H2H-88MA</t>
  </si>
  <si>
    <t>4K/UHD HDR 8×8 HDMI Matrix Switcher</t>
  </si>
  <si>
    <t>AT-HDVS-150-KIT</t>
  </si>
  <si>
    <t>AT-HDVS-150-RX and AT-HDVS-150-TX Combo Kit</t>
  </si>
  <si>
    <t>AT-HDVS-150-RX</t>
  </si>
  <si>
    <t>(Rx Only) HDBaseT Scaler with HDMI and Analog Audio Outputs</t>
  </si>
  <si>
    <t>AT-HDVS-150-TX</t>
  </si>
  <si>
    <t>(Tx Only) Dual HDMI &amp; VGA/Audio to HDBaseT Switcher</t>
  </si>
  <si>
    <t>AT-HDVS-150-TX-PSK</t>
  </si>
  <si>
    <t>(Tx w/Power Supply KIT) stand along HDVS-150-TX to be used w/HDBaseT Projectors</t>
  </si>
  <si>
    <t>AT-HDVS-150-TX-WP</t>
  </si>
  <si>
    <t>HDMI plus VGA Switcher w/ HDBaseT Output, POE, US 2 Gang Wall Plate</t>
  </si>
  <si>
    <t>AT-HDVS-150-WP-KIT</t>
  </si>
  <si>
    <t>AT-HDVS-150-RX and AT-HDVS-150-TX-WP Combo Kit</t>
  </si>
  <si>
    <t>AT-HDVS-200-TX</t>
  </si>
  <si>
    <t>(Tx Only) Three-Input HDBaseT Switcher for HDMI &amp; VGA Inputs</t>
  </si>
  <si>
    <t>AT-HDVS-200-TX-PSK</t>
  </si>
  <si>
    <t>(Tx w/Power Supply KIT) stand along HDVS-200-TX to use w/HDBaseT Projectors</t>
  </si>
  <si>
    <t>AT-HDVS-200-TX-WP</t>
  </si>
  <si>
    <t>(Tx Only White) Two-Input Wall Plate Switcher for HDMI and VGA Sources</t>
  </si>
  <si>
    <t>AT-HDVS-200-TX-WP-BLK</t>
  </si>
  <si>
    <t>(Tx Only Black) Two-Input Wall Plate Switcher for HDMI and VGA Sources (Black)</t>
  </si>
  <si>
    <t>AT-HDVS-210H-TX-WP</t>
  </si>
  <si>
    <t>Single Gang Dual HDMI Wall Transmitter</t>
  </si>
  <si>
    <t>AT-HDVS-210H-TX-WP-KIT</t>
  </si>
  <si>
    <t>2x HDMI HDBaseT Wall Transmitter with 4K receiver Kit</t>
  </si>
  <si>
    <t>AT-JUNO-451</t>
  </si>
  <si>
    <t>4K HDR Four-Input HDMI Switcher with Auto-Switching</t>
  </si>
  <si>
    <t>AT-OME-MH21</t>
  </si>
  <si>
    <t>Omega 4K/UHD meeting hub with USB-C and HDMI inputs and HDMI output</t>
  </si>
  <si>
    <t>AT-OME-MS42</t>
  </si>
  <si>
    <t>Omega 4x2 4K/UHD multiformat matrix switcher, with HDMI, USB-C, Display port, and USB pass through over HDBaseT</t>
  </si>
  <si>
    <t>AT-OME-MS42-KIT</t>
  </si>
  <si>
    <t>Omega Switcher/Extender TX/RX Kit for Soft Teleconference Systems with USB pass through</t>
  </si>
  <si>
    <t>AT-OME-MS52W</t>
  </si>
  <si>
    <t>Omega 5x2 4K/UHD multiformat matrix switcher, with Wireless casting ,HDMI, USB-C, Display port, and USB pass through over HDBaseT</t>
  </si>
  <si>
    <t>AT-OME-PS62</t>
  </si>
  <si>
    <t>Omega 6X2 Matrix switcher with 2x HDBaseT inputs, 3x HDMI inputs, 1x USB-C input, 1xHDBaset output, 1x HDMI scaled output, with USB pass through.</t>
  </si>
  <si>
    <t>AT-OME-RX21</t>
  </si>
  <si>
    <t>Omega 4K/UHD HDMI over HDBaseT Receiver w/Scaler, Ethernet, RS232, Audio Output, and Input HDMI</t>
  </si>
  <si>
    <t>AT-OME-RX31</t>
  </si>
  <si>
    <t>Omega 4K/UHD Receiver with Dual HDBaseT inputs, HDMI input and HDMI output</t>
  </si>
  <si>
    <t>AT-OME-ST31A</t>
  </si>
  <si>
    <t xml:space="preserve">Omega Switching Transmitter with 2x HDMI and 1x USB-C with Analog Audio </t>
  </si>
  <si>
    <t>AT-OME-SW21-TX-WPC</t>
  </si>
  <si>
    <t>Single Gang TX Wall Plate with USB-C and HDMI supporting USB data</t>
  </si>
  <si>
    <t>AT-OME-SW32</t>
  </si>
  <si>
    <t>Omega Matrix Switcher with 2x HDMI and 1x USB-C and 2x HDMI output</t>
  </si>
  <si>
    <t>AT-OMNI-111</t>
  </si>
  <si>
    <t>Single Channel OmniStream AV over IP Encoder</t>
  </si>
  <si>
    <t>AT-OMNI-111-WP</t>
  </si>
  <si>
    <t>Wall Plate Single Channel OmniStream AVoIP Encoder</t>
  </si>
  <si>
    <t>AT-OMNI-112</t>
  </si>
  <si>
    <t>Dual Channel OmniStream AV over IP Encoder</t>
  </si>
  <si>
    <t>AT-OMNI-121</t>
  </si>
  <si>
    <t>Single Channel OmniStream AV over IP Decoder</t>
  </si>
  <si>
    <t>AT-OMNI-311</t>
  </si>
  <si>
    <t>Host Side USB to IP Adapter</t>
  </si>
  <si>
    <t>AT-OMNI-324</t>
  </si>
  <si>
    <t>Device Side IP to USB Adapter</t>
  </si>
  <si>
    <t>AT-OMNI-512</t>
  </si>
  <si>
    <t>Dual Channel OmniStream R-Type AV over IP Encoder</t>
  </si>
  <si>
    <t>AT-OPUS-RX41</t>
  </si>
  <si>
    <t>Four-Input 4K HDR Switcher with HDMI and HDBaseT Inputs</t>
  </si>
  <si>
    <t>AT-UHD-CLSO-601</t>
  </si>
  <si>
    <t>4K/UHD, 6-Input Multi-Format Switcher with Mirrored HDMI and HDBaseT Outputs, PoE and Auto-Switching</t>
  </si>
  <si>
    <t>AT-UHD-CLSO-824</t>
  </si>
  <si>
    <t>4K/UHD, 8×2 Multi-Format Matrix Switcher with Dual, HDBaseT and Mirrored HDMI Outputs</t>
  </si>
  <si>
    <t>AT-UHD-SW-5000ED</t>
  </si>
  <si>
    <t>4K/UHD 5 Input HDMI/HDBaseT w/Mirrored HDMI/HDBaseT Outputs</t>
  </si>
  <si>
    <t>AT-UHD-SW-51</t>
  </si>
  <si>
    <t xml:space="preserve">4K/UHD 5 In HDMI Switcher </t>
  </si>
  <si>
    <t>AT-UHD-SW-510W</t>
  </si>
  <si>
    <t>Five-Input Universal Switcher with Wireless Presentation Link</t>
  </si>
  <si>
    <t>AT-UHD-SW-510W-KIT</t>
  </si>
  <si>
    <t>AT-UHD-SW-510W+ AT-UHD-EX-100CE-RX-PSE</t>
  </si>
  <si>
    <t>AT-UHD-SW-52</t>
  </si>
  <si>
    <t>4K/UHD 5 In HDMI Switcher w/Mirrored HDMI out</t>
  </si>
  <si>
    <t>AT-HD420</t>
  </si>
  <si>
    <t>HDMI to VGA/Component Converter (NOT HDCP)</t>
  </si>
  <si>
    <t>AT-HD-SC-500</t>
  </si>
  <si>
    <t>3-Input Scaler for HDMI and VGA Signals</t>
  </si>
  <si>
    <t>AT-WAVE-101</t>
  </si>
  <si>
    <t>Ultra-small form factor wireless presentation receiver</t>
  </si>
  <si>
    <t>AT-RON-442</t>
  </si>
  <si>
    <t>4K HDR Two-Output HDMI Distribution Amplifier</t>
  </si>
  <si>
    <t>AT-RON-444</t>
  </si>
  <si>
    <t>4K HDR Four-Output HDMI Distribution Amplifier</t>
  </si>
  <si>
    <t>AT-RON-448</t>
  </si>
  <si>
    <t xml:space="preserve">Ultra High Data Rate 1x 8 HDMI Distribution Amplifier </t>
  </si>
  <si>
    <t>AT-IR-CS-RX</t>
  </si>
  <si>
    <t>IR Receiver Cable for UHD-EX Extenders</t>
  </si>
  <si>
    <t>AT-IR-CS-TX</t>
  </si>
  <si>
    <t>IR Emitter Cable for UHD-EX Extenders and UHD-PRO3 Matrixes</t>
  </si>
  <si>
    <t>AT-LC-H2H-1M</t>
  </si>
  <si>
    <t>LinkConnect 1 Meter HDMI to HDMI Cable</t>
  </si>
  <si>
    <t>AT-LC-H2H-2M</t>
  </si>
  <si>
    <t xml:space="preserve">LinkConnect 2 Meter HDMI to HDMI Cable      </t>
  </si>
  <si>
    <t>AT-LC-H2H-3M</t>
  </si>
  <si>
    <t xml:space="preserve">LinkConnect 3 Meter HDMI to HDMI Cable      </t>
  </si>
  <si>
    <t>AT-LC-MDP2H-1M</t>
  </si>
  <si>
    <t>LinkConnect 1 Meter Mini DisplayPort to HDMI Cable</t>
  </si>
  <si>
    <t>AT-LC-MDP2H-2M</t>
  </si>
  <si>
    <t>LinkConnect 2 Meter Mini DisplayPort to HDMI Cable</t>
  </si>
  <si>
    <t>AT-LC-MDP2H-3M</t>
  </si>
  <si>
    <t>LinkConnect 3 Meter Mini DisplayPort to HDMI Cable</t>
  </si>
  <si>
    <t>AT-LC-UC2UC-2M</t>
  </si>
  <si>
    <t>LinkConnect 2 Meter USB-C to USB-C Cable</t>
  </si>
  <si>
    <t>AT-OMNI-IR-TX</t>
  </si>
  <si>
    <t>IR Emitter Cable for OmniStream</t>
  </si>
  <si>
    <t>AT-PKT-3H</t>
  </si>
  <si>
    <t>Pocket™ Series Architectural Cable Access Enclosure for Three Cables</t>
  </si>
  <si>
    <t>AT-VCC-IR3-KIT</t>
  </si>
  <si>
    <t>Velocity Control Converter POE kit with one AT-VCC and one IR cable with three independently assignable IR emitters</t>
  </si>
  <si>
    <t>AT-VCC-RELAY-KIT</t>
  </si>
  <si>
    <t xml:space="preserve">Velocity Control Converter POE with  Contact Closure and Sensor Dongle for Velocity Gateway </t>
  </si>
  <si>
    <t>AT-VCC-RS232-KIT</t>
  </si>
  <si>
    <t>Velocity Control Converter POE with  RS232 Dongle for Velocity Gateway</t>
  </si>
  <si>
    <t>AT-AD2</t>
  </si>
  <si>
    <t>OPTICAL/COAXIAL CONVERTER</t>
  </si>
  <si>
    <t>AT-GAIN-120</t>
  </si>
  <si>
    <t>120W Amplifier, 4/8 Ohm x2, 70V/100V x1</t>
  </si>
  <si>
    <t>AT-GAIN-60</t>
  </si>
  <si>
    <t>60W Amplifier, 4/8 Ohm x2, 24V/70V/100V x1, Plenum Rated</t>
  </si>
  <si>
    <t>AT-GAIN-NET</t>
  </si>
  <si>
    <t>Optional Dante/AES67 card for the AT-GAIN-120</t>
  </si>
  <si>
    <t>AT-HDR-M2C</t>
  </si>
  <si>
    <t>4K HDR Multi-Channel Digital to Two-Channel Audio Decoder</t>
  </si>
  <si>
    <t>AT-PA100-G2</t>
  </si>
  <si>
    <t>Stereo/Mono Audio Amplifier</t>
  </si>
  <si>
    <t>AT-ETU-SYNC</t>
  </si>
  <si>
    <t>EDID Emulator for 4K HDR HDMI Signals</t>
  </si>
  <si>
    <t>AT-HDVS-CAM-CMNT</t>
  </si>
  <si>
    <t>Ceiling mount for the AT-HDVS-CAM USB Camera</t>
  </si>
  <si>
    <t>AT-OMNI-1XX-RACK-1RU</t>
  </si>
  <si>
    <t>1U Rack Mount Shelf for OmniStream 1xx Devices</t>
  </si>
  <si>
    <t>AT-PA1-IR-G2</t>
  </si>
  <si>
    <t>IR Remote Control for AT-PA100-G2</t>
  </si>
  <si>
    <t>AT-PS-245-D4</t>
  </si>
  <si>
    <t>24V 5A Power Supply w/Din Connector</t>
  </si>
  <si>
    <t>AT-PS-48083-C</t>
  </si>
  <si>
    <t>48V 0.83A Power Supply w/Captive Screw Connector</t>
  </si>
  <si>
    <t>AT-PS-483125-C</t>
  </si>
  <si>
    <t>48V/3.25A Power Supply for chaining extenders</t>
  </si>
  <si>
    <t>AT-RACK-1RU</t>
  </si>
  <si>
    <t>1 RU rack for GAIN and SW Families</t>
  </si>
  <si>
    <t>AT-RACK-1RU-ME</t>
  </si>
  <si>
    <t>Atlona Multi-Extender 1RU Rack Shelf</t>
  </si>
  <si>
    <t>AT-UHD-SW-510W-RM</t>
  </si>
  <si>
    <t>Rack-mount ears</t>
  </si>
  <si>
    <t>AT-ANC-108D</t>
  </si>
  <si>
    <t>8-Button Network Control Panel</t>
  </si>
  <si>
    <t>AT-DISP-CTRL</t>
  </si>
  <si>
    <t>4K/UHD HDMI Display Controller</t>
  </si>
  <si>
    <t>AT-VGW-HW-10</t>
  </si>
  <si>
    <t>Atlona Velocity Hardware Gateway for Control 10 Rooms</t>
  </si>
  <si>
    <t>AT-VGW-HW-20</t>
  </si>
  <si>
    <t>Atlona Velocity Hardware Gateway for Control 20 Rooms</t>
  </si>
  <si>
    <t>AT-VGW-HW-3</t>
  </si>
  <si>
    <t>Atlona Velocity Hardware Gateway for Control 3 Rooms</t>
  </si>
  <si>
    <t>AT-VGW-SW</t>
  </si>
  <si>
    <t>Atlona Velocity Software Gateway for Control 20 Rooms</t>
  </si>
  <si>
    <t>AT-VRL-SW</t>
  </si>
  <si>
    <t>Atlona Velocity Room License for Software Gateway</t>
  </si>
  <si>
    <t>AT-VSP-800-BL</t>
  </si>
  <si>
    <t xml:space="preserve">Velocity 8” Scheduling Touch Panel – Black </t>
  </si>
  <si>
    <t>AT-VSP-800-WH</t>
  </si>
  <si>
    <t xml:space="preserve">Velocity 8” Scheduling Touch Panel – White </t>
  </si>
  <si>
    <t>AT-VTP-1000VL-BL</t>
  </si>
  <si>
    <t>Velocity System 10" VESA Mount Touch Panel with LED (Black) includes Wall Mount Kit</t>
  </si>
  <si>
    <t>AT-VTP-1000VL-WH</t>
  </si>
  <si>
    <t>Velocity System 10" VESA Mount Touch Panel with LED (White) includes Wall Mount Kit</t>
  </si>
  <si>
    <t>AT-VTP-550-BL</t>
  </si>
  <si>
    <t>Velocity 5.5” Touch Panel - Black</t>
  </si>
  <si>
    <t>AT-VTP-550-WH</t>
  </si>
  <si>
    <t>Velocity 5.5” Touch Panel - White</t>
  </si>
  <si>
    <t>AT-VTP-800-BL</t>
  </si>
  <si>
    <t>Velocity 8” Touch Panel - Black</t>
  </si>
  <si>
    <t>AT-VTP-800-WH</t>
  </si>
  <si>
    <t>Velocity 8” Touch Panel - White</t>
  </si>
  <si>
    <t>AT-VTPG-1000VL-BL</t>
  </si>
  <si>
    <t>Velocity System 10" VESA Mount Touch Panel with Single Room Velocity Gateway LED (Black) includes Wall Mount Kit</t>
  </si>
  <si>
    <t>AT-VTPG-1000VL-WH</t>
  </si>
  <si>
    <t>Velocity System 10" VESA Mount Touch Panel with Single Room Velocity Gateway LED (White) includes Wall Mount Kit</t>
  </si>
  <si>
    <t>AT-VTP-TMK</t>
  </si>
  <si>
    <t>Velocity Touch Panel Table Mount Kit - Black</t>
  </si>
  <si>
    <t>AT-VTP-VTM</t>
  </si>
  <si>
    <t>Tabletop Mounting Kit for Velocity Control System Touch Panels</t>
  </si>
  <si>
    <t>AT-HDVS-CAM</t>
  </si>
  <si>
    <t xml:space="preserve">Professional USB2.0  PTZ Camera - Black </t>
  </si>
  <si>
    <t>AT-HDVS-CAM-HDBT-BK</t>
  </si>
  <si>
    <t>Professional HDBaseT PTZ Camera - Black</t>
  </si>
  <si>
    <t>AT-HDVS-CAM-HDBT-WH</t>
  </si>
  <si>
    <t>Professional HDBaseT PTZ Camera - White</t>
  </si>
  <si>
    <t>AT-HDVS-CAM-HDMI-BK</t>
  </si>
  <si>
    <t>Professional HDMI and USB2.0 PTZ Camera - Black</t>
  </si>
  <si>
    <t>AT-HDVS-CAM-HDMI-WH</t>
  </si>
  <si>
    <t>Professional HDMI and USB2.0 PTZ Camera - White</t>
  </si>
  <si>
    <t>AT-HDVS-CAM-W</t>
  </si>
  <si>
    <t xml:space="preserve">Professional USB2.0  PTZ Camera - White </t>
  </si>
  <si>
    <t>Tesira AMP-4175R</t>
  </si>
  <si>
    <t>Tesira 4-channel, 175W digital networked amplifier</t>
  </si>
  <si>
    <t>Tesira AMP-4300R CV</t>
  </si>
  <si>
    <t xml:space="preserve">Tesira 4-channel, 300W digital networked amplifier, constant voltage </t>
  </si>
  <si>
    <t>Tesira AMP-4350R</t>
  </si>
  <si>
    <t xml:space="preserve">Tesira 4-channel, 350W digital networked amplifier </t>
  </si>
  <si>
    <t>4 channel PoE+ conferencing amplifier [includes BPAK]</t>
  </si>
  <si>
    <t>4 channel PoE+ conferencing amplifier</t>
  </si>
  <si>
    <t>Tesira AMP-8175R</t>
  </si>
  <si>
    <t>Tesira 8-channel, 175W digital networked amplifier</t>
  </si>
  <si>
    <t>Tesira DAN-1</t>
  </si>
  <si>
    <t xml:space="preserve">Tesira 64x64 Dante™ module for use in SERVER or SERVER-IO chassis </t>
  </si>
  <si>
    <t>Tesira DAN-1 CK</t>
  </si>
  <si>
    <t>Tesira 64x64 Dante™ module for use in SERVER or SERVER-IO chassis (Card Kit)</t>
  </si>
  <si>
    <t>Conferencing hub and microphone; includes Devio SCR-20 hub and one TTM-XEX tabletop microphone (quantity 1-11)</t>
  </si>
  <si>
    <t>Tesira DSP-2</t>
  </si>
  <si>
    <t>Tesira DSP card with two DSPs</t>
  </si>
  <si>
    <t>Tesira DSP-2 CK</t>
  </si>
  <si>
    <t>Tesira DSP card with two DSPs (Card Kit)</t>
  </si>
  <si>
    <t>Tesira EX-UBT</t>
  </si>
  <si>
    <t xml:space="preserve">PoE AVB/USB expander with Bluetooth® wireless technology </t>
  </si>
  <si>
    <t>Tesira SEC-4 CK</t>
  </si>
  <si>
    <t>Tesira 4 channel mic/line input card with acoustic echo cancellation per channel (Card Kit)</t>
  </si>
  <si>
    <t>Tesira SERVER-IO AVB</t>
  </si>
  <si>
    <t>Configurable I/O DSP with up to 48 channels of I/O, 1 DSP-2 card (2 additional DSP-2 cards can be added), and 1 AVB-1 network card</t>
  </si>
  <si>
    <t>Tesira SIC-4</t>
  </si>
  <si>
    <t>Tesira 4 channel mic/line input card</t>
  </si>
  <si>
    <t>Tesira SIC-4 CK</t>
  </si>
  <si>
    <t>Tesira 4 channel mic/line input card (Card Kit)</t>
  </si>
  <si>
    <t>Tesira SOC-4</t>
  </si>
  <si>
    <t>Tesira 4 channel mic/line output card</t>
  </si>
  <si>
    <t>Tesira SOC-4 CK</t>
  </si>
  <si>
    <t>Tesira 4 channel mic/line output card (Card Kit)</t>
  </si>
  <si>
    <t>Parlé TCM-X</t>
  </si>
  <si>
    <t>Parlé TCM-XEX</t>
  </si>
  <si>
    <t>Low-profile Beamtracking ceiling microphone</t>
  </si>
  <si>
    <t>TesiraCONNECT TC-5</t>
  </si>
  <si>
    <t xml:space="preserve">5-port expansion device </t>
  </si>
  <si>
    <t>TesiraCONNECT TC-5D</t>
  </si>
  <si>
    <t>5-port expansion device with AVB to Dante Bridging</t>
  </si>
  <si>
    <t>Fixed I/O DSP with 12 analog inputs, 8 analog outputs, 8 channels configurable USB audio, 128 x 128 channels of AVB, and AEC technology (all 12 inputs)</t>
  </si>
  <si>
    <t>Parlé TTM-X</t>
  </si>
  <si>
    <t>Parlé TTM-XEX</t>
  </si>
  <si>
    <t>Low-profile Beamtracking tabletop microphone</t>
  </si>
  <si>
    <t>AirMedia® Presentation System 200</t>
  </si>
  <si>
    <t>AM-300</t>
  </si>
  <si>
    <t>AirMedia® Presentation System 300</t>
  </si>
  <si>
    <t>AM-USB-WF</t>
  </si>
  <si>
    <t>AirMedia® USB Adapter with Wi-Fi® Connectivity</t>
  </si>
  <si>
    <t>3-Series™ Control Card – 3 COM Ports</t>
  </si>
  <si>
    <t>Crestron Mercury® Tabletop UC Audio Conference Console (Not sold separately)</t>
  </si>
  <si>
    <t>Microphone Pod</t>
  </si>
  <si>
    <t>3-Series® Control Processor Card Interface – 1 Slot</t>
  </si>
  <si>
    <t>3-Series® Control Processor Card Interface – 3 Slot</t>
  </si>
  <si>
    <t>infiNET EX® Network and ER Wireless Gateway</t>
  </si>
  <si>
    <t>Wired Ethernet Module with 2 COM Ports</t>
  </si>
  <si>
    <t>Dual-Technology Occupancy Sensor, PoE, 2,000 Sq Ft</t>
  </si>
  <si>
    <t>4-Series™ Control System</t>
  </si>
  <si>
    <t>HDBaseT® Certified 8-Channel 4K DigitalMedia 8G+® Input Blade for DM® Switchers</t>
  </si>
  <si>
    <t>8-Channel 4K HDMI® Input Blade for DM® Switchers</t>
  </si>
  <si>
    <t>8-Channel 4K HDMI® &amp; Dante™ Input Blade for DM® Switchers</t>
  </si>
  <si>
    <t>HDBaseT® Certified 8-Channel 4K DigitalMedia 8G+® Output Blade for DM® Switchers</t>
  </si>
  <si>
    <t>8-Channel 4K HDMI® Output Blade for DM® Switchers</t>
  </si>
  <si>
    <t>8-Channel 4K HDMI® &amp; Dante™ Output Blade for DM® Switchers</t>
  </si>
  <si>
    <t>8-Channel DigitalMedia 8G™ Fiber Input Blade for DM® Switchers</t>
  </si>
  <si>
    <t>8-Channel DigitalMedia 8G™ Single-Mode Fiber Input Blade for DM® Switchers</t>
  </si>
  <si>
    <t>8-Channel DigitalMedia 8G™ Fiber Output Blade for DM® Switchers</t>
  </si>
  <si>
    <t>8-Channel DigitalMedia 8G™ Single-Mode Fiber Output Blade for DM® Switchers</t>
  </si>
  <si>
    <t>DMC-4KZ-C</t>
  </si>
  <si>
    <t>DigitalMedia 8G+® 4K60 4:4:4 HDR Input Card for DM® Switchers, HDBaseT® Compatible</t>
  </si>
  <si>
    <t>DMC-4KZ-C-DSP</t>
  </si>
  <si>
    <t>DigitalMedia 8G+® 4K60 4:4:4 HDR Input Card w/Downmixing for DM® Switchers, HDBaseT® Compatible</t>
  </si>
  <si>
    <t>DMC-4KZ-HD</t>
  </si>
  <si>
    <t>HDMI® 4K60 4:4:4 HDR Input Card for DM® Switchers</t>
  </si>
  <si>
    <t>DMC-4KZ-HD-DSP</t>
  </si>
  <si>
    <t>HDMI® 4K60 4:4:4 HDR Input Card w/Downmixing for DM® Switchers</t>
  </si>
  <si>
    <t>DMC-4K-HD-DSP-HDCP2</t>
  </si>
  <si>
    <t>4K HDMI® Input Card w/Downmixing for DM® Switchers</t>
  </si>
  <si>
    <t>DMC-4KZ-HDO</t>
  </si>
  <si>
    <t>2-Channel HDMI® 4K60 4:4:4 HDR Scaling Output Card for DM® Switchers</t>
  </si>
  <si>
    <t>DVI/VGA Input Card for DM® Switchers</t>
  </si>
  <si>
    <t>2-Channel HDMI® Output Card for DM® Switchers</t>
  </si>
  <si>
    <t>DigitalMedia 8G™ Fiber Input Card for DM® Switchers</t>
  </si>
  <si>
    <t>DigitalMedia 8G™ Single-Mode Fiber Input Card for DM® Switchers</t>
  </si>
  <si>
    <t>3G-SDI Input Card for DM® Switchers</t>
  </si>
  <si>
    <t>Streaming Input Card for DM® Switchers</t>
  </si>
  <si>
    <t>Streaming Output Card for DM® Switchers</t>
  </si>
  <si>
    <t>VGA/Video Input Card for DM® Switchers</t>
  </si>
  <si>
    <t>Quad Video Input Card for DM® Switchers</t>
  </si>
  <si>
    <t>BNC Analog Video Input Card for DM® Switchers</t>
  </si>
  <si>
    <t>RCA Analog Video Input Card w/Analog Audio for DM® Switchers</t>
  </si>
  <si>
    <t>RCA Analog Video Input Card w/SPDIF Audio for DM® Switchers</t>
  </si>
  <si>
    <t>Digital Graphics Engine 200 with 4K DM 8G+® Input</t>
  </si>
  <si>
    <t>DigitalMedia™ Card Chassis for DM-NVX-C &amp; DMCF, 8 Slots</t>
  </si>
  <si>
    <t>128x128 DigitalMedia™ Switcher</t>
  </si>
  <si>
    <t>16x16 DigitalMedia™ Switcher</t>
  </si>
  <si>
    <t>16x16 DigitalMedia™ Switcher with Redundant Power Supplies</t>
  </si>
  <si>
    <t>32x32 DigitalMedia™ Switcher</t>
  </si>
  <si>
    <t>32x32 DigitalMedia™ Switcher with Redundant Power Supplies</t>
  </si>
  <si>
    <t>64x64 DigitalMedia™ Switcher</t>
  </si>
  <si>
    <t>8x8 DigitalMedia™ Switcher</t>
  </si>
  <si>
    <t>8x8 DigitalMedia™ Switcher with Redundant Power Supplies</t>
  </si>
  <si>
    <t>DM NVX® 4K60 4:4:4 HDR Network AV Encoder/Decoder with Downmixing</t>
  </si>
  <si>
    <t>DM NVX® 4K60 4:4:4 HDR Network AV Encoder/Decoder Card with Downmixing</t>
  </si>
  <si>
    <t>DM NVX® 4K60 4:4:4 HDR Network AV Encoder/Decoder</t>
  </si>
  <si>
    <t>DM NVX® 4K60 4:4:4 HDR Network AV Encoder/Decoder with Downmixing and Dante® Audio</t>
  </si>
  <si>
    <t>DM NVX® 4K60 4:4:4 HDR Network AV Encoder with DM® Input</t>
  </si>
  <si>
    <t>3-Series® DigitalMedia™ Presentation System 300</t>
  </si>
  <si>
    <t>3-Series® 4K DigitalMedia™ Presentation System 100</t>
  </si>
  <si>
    <t>3-Series® 4K DigitalMedia™ Presentation System 150</t>
  </si>
  <si>
    <t>3-Series® 4K DigitalMedia™ Presentation System 250</t>
  </si>
  <si>
    <t>DMPS3-4K-250-C-AIRMEDIA</t>
  </si>
  <si>
    <t>3-Series® 4K DigitalMedia™ Presentation System 250 with AirMedia®</t>
  </si>
  <si>
    <t>3-Series® 4K DigitalMedia™ Presentation System 350</t>
  </si>
  <si>
    <t>DMPS3-4K-350-C-AIRMEDIA</t>
  </si>
  <si>
    <t>3-Series® 4K DigitalMedia™ Presentation System 350 with AirMedia®</t>
  </si>
  <si>
    <t>3-Series® 4K DigitalMedia™ Presentation System 50</t>
  </si>
  <si>
    <t>DigitalMedia 8G+® Receiver &amp; Room Controller 200</t>
  </si>
  <si>
    <t>Wall Plate 4K DigitalMedia 8G+® Receiver &amp; Room Controller 100</t>
  </si>
  <si>
    <t>DM-RMC-4KZ-SCALER-C</t>
  </si>
  <si>
    <t>DigitalMedia 8G+® 4K60 4:4:4 HDR Receiver and Room Controller with Scaler</t>
  </si>
  <si>
    <t>DigitalMedia 8G+® 4K60 4:4:4 HDR Receiver &amp; Room Controller 100</t>
  </si>
  <si>
    <t>DMC-S2O-HD</t>
  </si>
  <si>
    <t>2-Channel DigitalMedia 8G™ Single-Mode Fiber Output Card for DM® Switchers</t>
  </si>
  <si>
    <t>DMC-SO-HD</t>
  </si>
  <si>
    <t>2-Channel DigitalMedia 8G™ Fiber Output Card for DM® Switchers</t>
  </si>
  <si>
    <t>Wall Plate DigitalMedia 8G+® Transmitter 200</t>
  </si>
  <si>
    <t>DigitalMedia 8G+® Transmitter 201</t>
  </si>
  <si>
    <t>DigitalMedia 8G+® Transmitter 401</t>
  </si>
  <si>
    <t>DM-TX-4KZ-100-C-1G</t>
  </si>
  <si>
    <t>DigitalMedia 8G+® 4K60 4:4:4 HDR Wall Plate Transmitter</t>
  </si>
  <si>
    <t>DigitalMedia 8G+® 4K60 4:4:4 HDR Transmitters 202</t>
  </si>
  <si>
    <t>DigitalMedia 8G+® 4K60 4:4:4 HDR Transmitter 302</t>
  </si>
  <si>
    <t>HD-DA2-4KZ-E</t>
  </si>
  <si>
    <t>1:2 HDMI® Distribution Amplifier w/4K60 4:4:4 &amp; HDR Support</t>
  </si>
  <si>
    <t>Quad 1-to-2 HDMI® Distribution Amplifier</t>
  </si>
  <si>
    <t>HD-DA4-4KZ-E</t>
  </si>
  <si>
    <t>1:4 HDMI® Distribution Amplifier w/4K60 4:4:4 &amp; HDR Support</t>
  </si>
  <si>
    <t>HD-DA8-4KZ-E</t>
  </si>
  <si>
    <t>1:8 HDMI® Distribution Amplifier w/4K60 4:4:4 &amp; HDR Support</t>
  </si>
  <si>
    <t>HD-MD4X1-4K-E</t>
  </si>
  <si>
    <t>4x1 4K HDMI® Switcher</t>
  </si>
  <si>
    <t>HD-MD4X1-4KZ-E</t>
  </si>
  <si>
    <t>4x1 4K60 4:4:4 HDR AV Switcher</t>
  </si>
  <si>
    <t>HD-MD4X2-4K-E</t>
  </si>
  <si>
    <t>4x2 4K HDMI® Switcher</t>
  </si>
  <si>
    <t>HD-MD4X2-4KZ-E</t>
  </si>
  <si>
    <t>4x2 4K60 4:4:4 HDR AV Switcher</t>
  </si>
  <si>
    <t>HD-MD6X2-4K-E</t>
  </si>
  <si>
    <t>6x2 4K HDMI® Switcher</t>
  </si>
  <si>
    <t>DM Lite – HDMI® over CATx Receiver, Surface Mount</t>
  </si>
  <si>
    <t>DMPS Lite™ 4K Multiformat 2x1 AV Switch and Receiver</t>
  </si>
  <si>
    <t>DM Lite® Transmitter for HDMI® Signal Extension over CATx Cable, Wall Plate, White Textured</t>
  </si>
  <si>
    <t>DM Lite® Transmitter for HDMI® Signal Extension over CATx Cable</t>
  </si>
  <si>
    <t>Tabletop Kit for MPC3-201, Black</t>
  </si>
  <si>
    <t>3-Series® Media Presentation Controller 302, White</t>
  </si>
  <si>
    <t>10.1 in. Tabletop Touch Screen</t>
  </si>
  <si>
    <t>15.6 in. HD Touch Screen with DM 8G+® Input, Wall Mount or VESA, Black Smooth</t>
  </si>
  <si>
    <t>15.6 in. HD Touch Screen with DM 8G+® Input, Tabletop Tilt</t>
  </si>
  <si>
    <t>15.6 in. HD Touch Screen, Tabletop Tilt</t>
  </si>
  <si>
    <t>7 in. Tabletop Touch Screen</t>
  </si>
  <si>
    <t>TSD-2220</t>
  </si>
  <si>
    <t>21.5” HD Touch Screen Display</t>
  </si>
  <si>
    <t>10.1 in. Room Scheduling Touch Screen, Black Smooth, includes one TSW-1070-LB-B-S light bar</t>
  </si>
  <si>
    <t>TSS-1070-T-B-S-LB KIT</t>
  </si>
  <si>
    <t>10.1 in. Room Scheduling Touch Screen for Microsoft Teams® Software, Black Smooth, includes one TSW-1070-LB-B-S light bar</t>
  </si>
  <si>
    <t>TSS-770-T-B-S-LB KIT</t>
  </si>
  <si>
    <t>7 in. Room Scheduling Touch Screen for Microsoft Teams® Software, Black Smooth, includes one TSW-770-LB-B-S light bar</t>
  </si>
  <si>
    <t>7 in. Room Scheduling Touch Screen, Black Smooth, includes one TSW-770-LB-B-S light bar</t>
  </si>
  <si>
    <t>TST-902-BTP</t>
  </si>
  <si>
    <t>Battery Pack for TST-902</t>
  </si>
  <si>
    <t>TST-902-DS</t>
  </si>
  <si>
    <t>Table Dock for TST-902</t>
  </si>
  <si>
    <t>8.7" Wireless Touch Screen</t>
  </si>
  <si>
    <t>Wall Dock for TST-902</t>
  </si>
  <si>
    <t>10.1 in. Wall Mount Touch Screen</t>
  </si>
  <si>
    <t>TSW-570</t>
  </si>
  <si>
    <t>5 in. Wall Mount Touch Screen</t>
  </si>
  <si>
    <t>TSW-570/770-RMK-1</t>
  </si>
  <si>
    <t>Rack Mount Kit for TSW-570 and TSW-770 Series</t>
  </si>
  <si>
    <t>7 in. Wall Mount Touch Screen</t>
  </si>
  <si>
    <t>TSW-770/1070-MSMK-ANG-x-S</t>
  </si>
  <si>
    <t>Multisurface Mount Kit for TSW-770 and TSW-1070 Series, Angled</t>
  </si>
  <si>
    <t>UC-B160-Z</t>
  </si>
  <si>
    <t>Crestron Flex Wall Mount UC Video Conference System for Zoom Rooms™ Software</t>
  </si>
  <si>
    <t>UC-BRKT-100-ASSY</t>
  </si>
  <si>
    <t>UC Engine Assembly with UC-ENGINE, HD-CONV-USB-200, &amp; UC-CONN-HD</t>
  </si>
  <si>
    <t>Crestron Flex Advanced Video Conference System Integrator Kit with ASUS® Mini PC for Zoom Rooms™ Software</t>
  </si>
  <si>
    <t>UC-MX50-Z</t>
  </si>
  <si>
    <t>Crestron Flex Advanced Tabletop Medium Room Video Conference System with ASUS® Mini PC for Zoom Rooms™ Software</t>
  </si>
  <si>
    <t>UC-SB1-CAM</t>
  </si>
  <si>
    <t>UC Video Conference Smart Soundbar &amp; Camera</t>
  </si>
  <si>
    <t>999-99950-700B</t>
  </si>
  <si>
    <t xml:space="preserve">Use this button to update the Equipment Report sheet.  This will update to the current state of systems based on the equipment list counts multiplied by the summery sheet room count.  </t>
  </si>
  <si>
    <t>THIS NEEDS TO BE RUN AFTER CHANGES TO SYSTEM TYPES OR ROOM COUNTS TO UPDATE THE EQUPMENT REPORT.</t>
  </si>
  <si>
    <t>Update PROJECT_EQUIPMENT_LIST</t>
  </si>
  <si>
    <t xml:space="preserve">Use this button to import the manufactures you need for your project from the PROJECT_EQUIPMENT_LIST database.  </t>
  </si>
  <si>
    <t>Use this button to  add a row with proper formating above the currently selected row for both the system tabs and the PROJECT_EQUIPMENT_LIST tab</t>
  </si>
  <si>
    <t>2. The PROJECT_EQUIPMENT_LIST tab is simply a reference of equipment commonly used in the past, it is not intended to be a comprehensive, up-to-date database of equipment.</t>
  </si>
  <si>
    <t>3. To update Master tab use the Update PROJECT_EQUIPMENT_LIST button in the ribbon</t>
  </si>
  <si>
    <t>9. On the PROJECT_EQUIPMENT_LIST tab do not add equipment information to row 2 or the last formated row of the PROJECT_EQUIPMENT_LIST</t>
  </si>
  <si>
    <t>1. Parameters on the PROJECT_SETTINGS tab affect all System tabs</t>
  </si>
  <si>
    <t>2. On the PROJECT_SETTINGS tab set the project  name in cell A3</t>
  </si>
  <si>
    <t>3. On the PROJECT_SETTINGS tab adjust Non-Equip Multipliers as needed. The overall Non-Equip Multiplier should match local, or expected values. Should be confirmed on project-by-project basis.</t>
  </si>
  <si>
    <t>4. On the PROJECT_SETTINGS tab set the project  rounding in F3 (0 = no rounding, -1 =  Tens place, -2 = Hundreds place, -3 = Thousands place, -4 = Ten Thousands place)  THIS FUNCTION ROUNDS SO IT FOLLOW THE EXCEL ROUNDING RULES.  IF YOU PICK A ROUNDING NUMBER LARGER THEN THE EQUIPMENT CATAGORY TOTAL YOU WILL GET 0.</t>
  </si>
  <si>
    <t>5. On the PROJECT_SETTINGS tab set the project equipment discount percntage in H3</t>
  </si>
  <si>
    <t>6. On the PROJECT_SETTINGS tab set the project contengency percentage in J3</t>
  </si>
  <si>
    <t>APC</t>
  </si>
  <si>
    <t>Apple</t>
  </si>
  <si>
    <t>Arthur Holm</t>
  </si>
  <si>
    <t>Aten</t>
  </si>
  <si>
    <t>Aurora</t>
  </si>
  <si>
    <t>AVer Information</t>
  </si>
  <si>
    <t>Barco</t>
  </si>
  <si>
    <t>Chief</t>
  </si>
  <si>
    <t>Cisco</t>
  </si>
  <si>
    <t>ClearCom</t>
  </si>
  <si>
    <t>Crown</t>
  </si>
  <si>
    <t>Draper</t>
  </si>
  <si>
    <t>Extreme Networks</t>
  </si>
  <si>
    <t>Extron</t>
  </si>
  <si>
    <t>FSR</t>
  </si>
  <si>
    <t>Genelec</t>
  </si>
  <si>
    <t>Haivision</t>
  </si>
  <si>
    <t>Heckler Design</t>
  </si>
  <si>
    <t>JBL</t>
  </si>
  <si>
    <t>Leon</t>
  </si>
  <si>
    <t>LG</t>
  </si>
  <si>
    <t>Listen Technologies</t>
  </si>
  <si>
    <t>Logitech</t>
  </si>
  <si>
    <t>Mersive Solstice</t>
  </si>
  <si>
    <t>Middle Atlantic</t>
  </si>
  <si>
    <t>Panasonic</t>
  </si>
  <si>
    <t>Poly</t>
  </si>
  <si>
    <t>QSC</t>
  </si>
  <si>
    <t>Renkus-Heinz</t>
  </si>
  <si>
    <t>RP Visual Solutions</t>
  </si>
  <si>
    <t>Samsung</t>
  </si>
  <si>
    <t>Sharp NEC</t>
  </si>
  <si>
    <t>Shure</t>
  </si>
  <si>
    <t>Sony</t>
  </si>
  <si>
    <t>WolfVision</t>
  </si>
  <si>
    <t>SMTL1500RM3UC</t>
  </si>
  <si>
    <t>UPS and Surge/Spike Suppression - Shallow Depth- 1500VA</t>
  </si>
  <si>
    <t>SMTL1000RM2UC</t>
  </si>
  <si>
    <t>UPS and Surge/Spike Suppression - Shallow Depth- 1000VA</t>
  </si>
  <si>
    <t>SMTL2200RM2UC</t>
  </si>
  <si>
    <t>UPS and Surge/Spike Suppression - 2200VA</t>
  </si>
  <si>
    <t>NET9RMBLK</t>
  </si>
  <si>
    <t>Maximum Power Surge Protection for Computers, Notebooks and Other Electronics
Includes: Cord management rails, Plug pull protectors, Rack mounting brackets, User manual                                                 120V; NEMA 5-15P</t>
  </si>
  <si>
    <t>P11VNT3</t>
  </si>
  <si>
    <t>Maximum Power Surge Protection for Computers, Notebooks and Other Electronics                                                Includes: Cord management rails, Plug pull protectors, Rack mounting brackets, User manual                                                        120V; NEMA 5-15P</t>
  </si>
  <si>
    <t>P12U2</t>
  </si>
  <si>
    <t>APC Performance SurgeArrest 12 Outlet with 2 Port 2.4 A USB Charger 120V</t>
  </si>
  <si>
    <t>P8VT3</t>
  </si>
  <si>
    <t>Professional-grade Electrical Surge Protection for Computers and Electronics                                       Includes: Coaxial cable, Cord management straps, Telephone cable, User manual</t>
  </si>
  <si>
    <t>PH6U4X32</t>
  </si>
  <si>
    <t>APC Home Office SurgeArrest 6 Outlets 3 Smart Outlets With 4 USB Ports 2 Smart Ports 120V</t>
  </si>
  <si>
    <t>iPad 10.2''</t>
  </si>
  <si>
    <t>AH15DX2HDA-TISD</t>
  </si>
  <si>
    <t>Professional electrically retractable Dynamic X 15.6" widescreen FULL HD monitor with round corners, 20 degree tilt, and anodized aluminum housing (1920 x 1080)</t>
  </si>
  <si>
    <t>AH15DX2HDGA-TISD</t>
  </si>
  <si>
    <t xml:space="preserve">Professional electrically retractable Dynamic X 15.6" widescreen FULL HD monitor with round corners, 20 degree tilt, protective glass, and anodized aluminum housing (1920 x 1080) </t>
  </si>
  <si>
    <t>AH17DX2HDA-TISD</t>
  </si>
  <si>
    <t>Professional electrically retractable Dynamic X 17.3" widescreen FULL HD monitor with round corners, 20 degree tilt and anodized aluminum housing (1920 x 1080)</t>
  </si>
  <si>
    <t>AH17DX2HDGA-TISD</t>
  </si>
  <si>
    <t>Professional electrically retractable Dynamic X 17.3" widescreen FULL HD monitor with round corners, 20 degree tilt, protective glass, and anodized aluminum housing (1920 x 1080)</t>
  </si>
  <si>
    <t>AH19DX2HDA-TISD</t>
  </si>
  <si>
    <t>Professional electrically retractable Dynamic X 19" widescreen FULL HD monitor with round corners, 20 degree tilt and anodized aluminum housing (1920 x 1080)</t>
  </si>
  <si>
    <t>AH19DX2HDGA-TISD</t>
  </si>
  <si>
    <t>Professional electrically retractable Dynamic X 19" widescreen FULL HD monitor with round corners, 20 degree tilt, protective glass, and anodized aluminum housing (1920 x 1080)</t>
  </si>
  <si>
    <t>AH22DX216A-TISD</t>
  </si>
  <si>
    <t>Professional electrically retractable Dynamic X 21.5" widescreen FULL HD monitor with round corners, 20 degree tilt, and anodized aluminum housing (1920 x 1080)</t>
  </si>
  <si>
    <t>AH22DX216GA-TISD</t>
  </si>
  <si>
    <t>Professional electrically retractable Dynamic X 21.5" widescreen FULL HD monitor with round corners, 20 degree tilt, protective glass, and anodized aluminum housing (1920 x 1080)</t>
  </si>
  <si>
    <t>AH24DX24KGA</t>
  </si>
  <si>
    <t xml:space="preserve">Professional electrically retractable 23,8" widescreen 4 K monitor with 20 degrees of automatic inclination to be integrated into furniture. </t>
  </si>
  <si>
    <t>AH17DX2KM</t>
  </si>
  <si>
    <t>Low voltage professional electrically retractable 17” Full HD monitor with 20 degrees of automatic inclination. Housing made of a solid aluminum block with a natural anodized finish and rounded corners design. Front double sided anti-reflective 3 mm black-edged glass. Passive opening cover plate for enhanced reliability. DVI-I and DVI-D connectors, HDCP compliant. Automated keyboard and mouse compartment that lift these accessories together with the screen. Compatible with AHnet open protocol over RS-422, allowing individual remote control of up to 30 units per line over a daisy chain CAT-6 line and up to 900 monitors using the AHnet Control System. Additional control through buttons integrated on the cover plate. Easy to read Interactive Setup Display (ISD) LCD for address setup and status monitoring. Dual Pulse Time safety system that detects obstructions, stopping the unit. External power supply with 4-Pin XLR4 connector. Bottom connectivity for easy access and removal of monitor.*</t>
  </si>
  <si>
    <t>AH22DX2KM</t>
  </si>
  <si>
    <t>Low voltage professional electrically retractable 21.5” Full HD monitor with 20 degrees of automatic inclination. Housing made of a solid aluminum block with a natural anodized finish and rounded corners design. Front double sided anti-reflective 3 mm black-edged glass. Passive opening cover plate for enhanced reliability. DVI-I and DVI-D connectors, HDCP compliant. Automated keyboard and mouse compartment that lift these accessories together with the screen. Compatible with AHnet open protocol over RS-422, allowing individual remote control of up to 30 units per line over a daisy chain CAT-6 line and up to 900 monitors using the AHnet Control System. Additional control through buttons integrated on the cover plate. Easy to read Interactive Setup Display (ISD) LCD for address setup and status monitoring. Dual Pulse Time safety system that detects obstructions, stopping the unit. External power supply with 4-Pin XLR4 connector. Bottom connectivity for easy access and removal of monitor.*</t>
  </si>
  <si>
    <t>AH15D3RHDGA</t>
  </si>
  <si>
    <t>Professional 15.6" Dynamic 3 FULL HD widescreen electrically retractable folding monitor with horizontal and vertical working position and 20 degree tilt (1920 x 1080)</t>
  </si>
  <si>
    <t>AH17D3RHDGA</t>
  </si>
  <si>
    <t>Professional 17.3" Dynamic 3 FULL HD widescreen electrically retractable folding monitor with horizontal and vertical working position and 20 degree tilt (1920 x 1080)</t>
  </si>
  <si>
    <t>AH17D3MRHDGA</t>
  </si>
  <si>
    <t>Professional 17.3" Dynamic 3 FULL HD widescreen semi-automatic retractable folding monitor with horizontal and vertical working position and 20 degree tilt (1920 x 1080)</t>
  </si>
  <si>
    <t>AH19D3RHDGA</t>
  </si>
  <si>
    <t>Professional 19" Dynamic 3 FULL HD widescreen electrically retractable folding monitor with horizontal and vertical working position and 20 degree tilt (1920 x 1080)</t>
  </si>
  <si>
    <t>AH22D3R16GA</t>
  </si>
  <si>
    <t>Professional 21.5" Dynamic 3 FULL HD widescreen electrically retractable folding monitor with horizontal and vertical working position and 20 degree tilt (1920 x 1080)</t>
  </si>
  <si>
    <t>AH15D3HDGA</t>
  </si>
  <si>
    <t>Professional 15.6" Dynamic 3 FULL HD widescreen electrically retractable folding monitor with vertical working position and 20 degree tilt (1920 x 1080)</t>
  </si>
  <si>
    <t>AH17D3HDGA</t>
  </si>
  <si>
    <t>Professional 17.3" Dynamic 3 FULL HD widescreen electrically retractable folding monitor with vertical working position and 20 degree tilt (1920 x 1080)</t>
  </si>
  <si>
    <t>AH19D3HDGA</t>
  </si>
  <si>
    <t>Professional 19" Dynamic 3 Full HD widescreen  electrically retractable folding monitor with vertical working position and 20 degree tilt  (1920 x 1080)</t>
  </si>
  <si>
    <t>AH22D316GA</t>
  </si>
  <si>
    <t>Professional 21.5" Dynamic 3 FULL HD widescreen electrically retractable folding monitor with vertical working position and 20 degree tilt (1920 x 1080)</t>
  </si>
  <si>
    <t>AHDTLS</t>
  </si>
  <si>
    <t>Motorized lift system for gooseneck microphone, 400mm (approx. 15.75 in.) CSI/Arthur Holm needs to sign off on brand and specification of gooseneck to be used prior to approval of order.</t>
  </si>
  <si>
    <t>AHDTLM</t>
  </si>
  <si>
    <t>Motorized lift system for gooseneck microphone, 500mm (approx. 19.69 in.) CSI/Arthur Holm needs to sign off on brand and specification of gooseneck to be used prior to approval of order.</t>
  </si>
  <si>
    <t>AHDTLM UC</t>
  </si>
  <si>
    <t>AHDTLL UC</t>
  </si>
  <si>
    <t>Motorized lift system for gooseneck microphone, 600mm (approx. 19.69 in.) CSI/Arthur Holm needs to sign off on brand and specification of gooseneck to be used prior to approval of order.</t>
  </si>
  <si>
    <t>AHDTLL</t>
  </si>
  <si>
    <t>Motorized lift system for gooseneck microphone, 600mm (approx. 23.62 in.) CSI/Arthur Holm needs to sign off on brand and specification of gooseneck to be used prior to approval of order.</t>
  </si>
  <si>
    <t>AHDTHS</t>
  </si>
  <si>
    <t>Motorized horizontal lift system for gooseneck microphones with maximum length of 400 mm,  (approx. 15.74 in.) CSI/Arthur Holm needs to sign off on brand and specification of gooseneck to be used prior to approval of order.</t>
  </si>
  <si>
    <t>AHDTB</t>
  </si>
  <si>
    <t>Microphone lift system for ShureMXA310 /Raise and lowering of microphone controlled by push button on upper cover plate, and external Ethernet control by AHnet protocol (RJ45) /PoE (Power over Ethernet)/Power and control over shielded CAT6/Bluetooth Interface for control and set-up.</t>
  </si>
  <si>
    <t>AH17TXHDGA</t>
  </si>
  <si>
    <t>Professional 17.3" Book FULL HD widescreen manually folding monitor with protective glass (1920 x 1080)</t>
  </si>
  <si>
    <t>AH22TX16GA</t>
  </si>
  <si>
    <t>Professional 21.5" Book FULL HD widescreen manually folding monitor with protective glass (1920 x 1080)</t>
  </si>
  <si>
    <t>AH17BTX16GA</t>
  </si>
  <si>
    <t>17.3 " FULL HD widescreen professional manually foldable monitor for mounting to table or desk (1920 x 1080)</t>
  </si>
  <si>
    <t>AH22BTX16GA</t>
  </si>
  <si>
    <t>21.5 " FULL HD widescreen professional manually foldable monitor for mounting to table or desk (1920 x 1080)</t>
  </si>
  <si>
    <t>Albiral ULS1</t>
  </si>
  <si>
    <t>Universal Lift System with Brushed Stainless Steel Cover for Monitors with VESA Mount (15" to 19")</t>
  </si>
  <si>
    <t>Albiral ULS2</t>
  </si>
  <si>
    <t>Universal Lift System with Brushed Stainless Steel Cover for Monitors with VESA Mount (19" to 24")</t>
  </si>
  <si>
    <t>AH17DB2</t>
  </si>
  <si>
    <t>Professional electrically retractable 17.3"  FULL HD monitor with anodized aluminum housing and square corners (1920 x 1080)</t>
  </si>
  <si>
    <t>AH17DB2 SHARE</t>
  </si>
  <si>
    <t>AH22DB2</t>
  </si>
  <si>
    <t>Professional electrically retractable 21.5" widescreen monitor with anodized aluminum housing and square corners (1920 x 1080)</t>
  </si>
  <si>
    <t>AH22DB2F</t>
  </si>
  <si>
    <t>Professional electrically retractable 21.5" widescreen monitor with anodized aluminum housing and square corners- Custom DB2 with twin displays touch sensitive contacts for up/down control  (1920 x 1080)</t>
  </si>
  <si>
    <t>AH24DB2-4K</t>
  </si>
  <si>
    <t xml:space="preserve">Professional electrically retractable 4 K 23,8” monitor with 20º of adjustable inclination to be completely streamlined within the furniture. Solid aluminum monitor housing (just 20 mm. of depth) and button (anodized finish), with square corner design featuring 2 mm. double sided anti-reflective black edged glass. </t>
  </si>
  <si>
    <t>AH22DRM</t>
  </si>
  <si>
    <t>Professional 21.5” widescreen motorised monitor for fixed installation.</t>
  </si>
  <si>
    <t>AHDSR42W</t>
  </si>
  <si>
    <t>DynamicSpeaker. Motorised loudspeaker for integration in desks.</t>
  </si>
  <si>
    <t>AHDCRHDMI</t>
  </si>
  <si>
    <t>Motorized cable dispenser including a 600 mm HDMI cable. The cable ejects or retracts by a push of a button; the controlled movement and tension provide a long cable lifespan. A vertical dispenser head raises up from the table surface and delivers the cable. The dispenser head has an aluminum top plate with a capacitive touch sensor.</t>
  </si>
  <si>
    <t>US3344I</t>
  </si>
  <si>
    <t xml:space="preserve">USB Switch - USB 3.0 4x4, RS-232 </t>
  </si>
  <si>
    <t xml:space="preserve">IPX-TC3A-C
</t>
  </si>
  <si>
    <t>3rd gen. 4K 10Gbps AV-over-IP transceiver box (ASIC model, copper version)</t>
  </si>
  <si>
    <t>IPX-TC3A-CF-Pro</t>
  </si>
  <si>
    <t>3rd gen. 4K 10Gbps AV-over-IP transceiver box with 2 HDMI® in, 1 HDMI® out and advanced scaling (ASIC model, copper+fiber version)</t>
  </si>
  <si>
    <t>IPX-TC3A-DF-Pro</t>
  </si>
  <si>
    <t>3rd gen. 4K 10Gbps AV-over-IP transceiver box with advanced scaling (ASIC model, dual fiber version)</t>
  </si>
  <si>
    <t>IPX-TX3A-WP2-W</t>
  </si>
  <si>
    <t>3rd gen. 4K 10Gbps AV-over-IP transmitter wall plate (ASIC model, copper version, white)</t>
  </si>
  <si>
    <t>IPX-TC3A-WP3-C-Pro-W</t>
  </si>
  <si>
    <t>3rd gen. 4K 10Gbps AV-over-IP transceiver wall plate (ASIC model, copper version, white)</t>
  </si>
  <si>
    <t>IPX-TC3A-WP3-C-Pro-B</t>
  </si>
  <si>
    <t>3rd gen. 4K 10Gbps AV-over-IP transceiver wall plate (ASIC model, copper version, black)</t>
  </si>
  <si>
    <t>IPX-TC3A-WP3-F-Pro-W</t>
  </si>
  <si>
    <t>3rd gen. 4K 10Gbps AV-over-IP transceiver wall plate (ASIC model, fiber version, white)</t>
  </si>
  <si>
    <t>IPX-TC3A-WP3-F-Pro-B</t>
  </si>
  <si>
    <t>3rd gen. 4K 10Gbps AV-over-IP transceiver wall plate (ASIC model, fiber version, black)</t>
  </si>
  <si>
    <t>HT-TC1-Pro</t>
  </si>
  <si>
    <t>4 input 4K60 4:4:4 uncompressed HDBaseT™ 2.0 transceiver 330ft</t>
  </si>
  <si>
    <t>HT-TX1-WP2-W</t>
  </si>
  <si>
    <t>2 input 4K60 4:4:4 uncompressed HDBaseT™ 2.0 transmitter wall plate 330ft (white)</t>
  </si>
  <si>
    <t>HT-TX1-WP2-B</t>
  </si>
  <si>
    <t>2 input 4K60 4:4:4 uncompressed HDBaseT™ 2.0 transmitter  wall plate 330ft (black)</t>
  </si>
  <si>
    <t>HTW-2-W</t>
  </si>
  <si>
    <t>3 input HDBaseT™ 2.0 wall plate transmitter (VGA &amp; 2 HDMI®, white)</t>
  </si>
  <si>
    <t>HTW-2-B</t>
  </si>
  <si>
    <t>3 input HDBaseT™ 2.0 wall plate transmitter (VGA &amp; 2 HDMI®, black)</t>
  </si>
  <si>
    <t>HTE-TX2</t>
  </si>
  <si>
    <t>2 input HDBaseT™ 2.0 transmitter (2 HDMI®, black)</t>
  </si>
  <si>
    <t>HTE-RX2</t>
  </si>
  <si>
    <t>2 output HDBaseT™ 2.0 receiver (2 HDMI®, black)</t>
  </si>
  <si>
    <t>DXW-2-S1-W-4K</t>
  </si>
  <si>
    <t>2 input HDBaseT™ transmitter wall plate &amp; receiver set (230-ft VGA &amp; HDMI, white)</t>
  </si>
  <si>
    <t>DXW-2-S1-B-4K</t>
  </si>
  <si>
    <t>2 input HDBaseT™ transmitter wall plate &amp; receiver set (230-ft VGA &amp; HDMI, black)</t>
  </si>
  <si>
    <t>DXW-2-S3-W</t>
  </si>
  <si>
    <t>2 input HDBaseT™ transmitter wall plate &amp; receiver set (330/600-ft VGA &amp; HDMI, white)</t>
  </si>
  <si>
    <t>DXW-2-S3-B</t>
  </si>
  <si>
    <t>2 input HDBaseT™ transmitter wall plate &amp; receiver set (330/600-ft VGA &amp; HDMI, black)</t>
  </si>
  <si>
    <t>DXW-2-S3-A-W</t>
  </si>
  <si>
    <t>2 input HDBaseT™ transmitter wall plate &amp; receiver set with amplifier (330/600-ft VGA &amp; HDMI, white)</t>
  </si>
  <si>
    <t>DXW-2-S3-A-B</t>
  </si>
  <si>
    <t>2 input HDBaseT™ transmitter wall plate &amp; receiver set with amplifier (330/600-ft VGA &amp; HDMI, black)</t>
  </si>
  <si>
    <t>DXW-2-S3C-W</t>
  </si>
  <si>
    <t>2 input HDBaseT™ transmitter wall plate &amp; receiver set with IP control (330/600-ft VGA &amp; HDMI, white)</t>
  </si>
  <si>
    <t>DXW-2-S3C-B</t>
  </si>
  <si>
    <t>2 input HDBaseT™ transmitter wall plate &amp; receiver set with IP control (330/600-ft VGA &amp; HDMI, black)</t>
  </si>
  <si>
    <t>DXW-2EU-S2-W-4K</t>
  </si>
  <si>
    <t>2 input HDBaseT™ transmitter wall plate &amp; receiver set with LAN &amp; USB extension (330/600-ft VGA &amp; HDMI, 230-ft USB device, white)</t>
  </si>
  <si>
    <t>DXW-2EU-S2-B-4K</t>
  </si>
  <si>
    <t>2 input HDBaseT™ transmitter wall plate &amp; receiver set with LAN &amp; USB extension (330/600-ft VGA &amp; HDMI, 230-ft USB device, black)</t>
  </si>
  <si>
    <t>DXW-2EUH-S2-W-4K</t>
  </si>
  <si>
    <t>2 input HDBaseT™ transmitter wall plate &amp; receiver set with LAN &amp; USB extension (330/600-ft VGA &amp; HDMI, 230-ft USB host, white)</t>
  </si>
  <si>
    <t>DXW-2EUH-S2-B-4K</t>
  </si>
  <si>
    <t>2 input HDBaseT™ transmitter wall plate &amp; receiver set with LAN &amp; USB extension (330/600-ft VGA &amp; HDMI, 230-ft USB host, black)</t>
  </si>
  <si>
    <t>DXW-2EU-S3-W</t>
  </si>
  <si>
    <t>DXW-2EU-S3-B</t>
  </si>
  <si>
    <t>DXW-2EUH-S3-W</t>
  </si>
  <si>
    <t>DXW-2EUH-S3-B</t>
  </si>
  <si>
    <t>DXW-2EUH-S3-A-W</t>
  </si>
  <si>
    <t>2 input HDBaseT™ transmitter wall plate &amp; receiver set with amplifier, LAN &amp; USB extension (330/600-ft VGA &amp; HDMI, 230-ft USB host, white)</t>
  </si>
  <si>
    <t>DXW-2EUH-S3-A-B</t>
  </si>
  <si>
    <t>2 input HDBaseT™ transmitter wall plate &amp; receiver set with amplifier, LAN &amp; USB extension (330/600-ft VGA &amp; HDMI, 230-ft USB host, black)</t>
  </si>
  <si>
    <t>DXW-2-W</t>
  </si>
  <si>
    <t>2 input HDBaseT™ transmitter wall plate (330/600-ft VGA &amp; HDMI, white)</t>
  </si>
  <si>
    <t>DXW-2-B</t>
  </si>
  <si>
    <t>2 input HDBaseT™ transmitter wall plate (330/600-ft VGA &amp; HDMI, black)</t>
  </si>
  <si>
    <t>DXW-2EU-W</t>
  </si>
  <si>
    <t>2 input HDBaseT™ transmitter wall plate with LAN and USB (330/600-ft VGA &amp; HDMI, 230-ft USB device, white)</t>
  </si>
  <si>
    <t>DXW-2EU-B</t>
  </si>
  <si>
    <t>2 input HDBaseT™ transmitter wall plate with LAN and USB device (330/600-ft VGA &amp; HDMI, 230-ft USB device, black)</t>
  </si>
  <si>
    <t>DXW-2EUH-W</t>
  </si>
  <si>
    <t>2 input HDBaseT™ transmitter wall plate with LAN and USB (330/600-ft VGA &amp; HDMI, 230-ft USB host, white)</t>
  </si>
  <si>
    <t>DXW-2EUH-B</t>
  </si>
  <si>
    <t>2 input HDBaseT™ transmitter wall plate with LAN and USB (330/600-ft VGA &amp; HDMI, 230-ft USB host, black)</t>
  </si>
  <si>
    <t>DXW-3-W</t>
  </si>
  <si>
    <t>3 input HDBaseT™ transmitter wall plate (330/600-ft DisplayPort, VGA &amp; HDMI, white)</t>
  </si>
  <si>
    <t>DXW-3-B</t>
  </si>
  <si>
    <t>3 input HDBaseT™ transmitter wall plate (330/600-ft DisplayPort, VGA &amp; HDMI, black)</t>
  </si>
  <si>
    <t>DXW-3EU-W</t>
  </si>
  <si>
    <t>3 input HDBaseT™ transmitter wall plate with USB (330/600-ft DisplayPort, VGA &amp; HDMI, 230-ft USB device, white)</t>
  </si>
  <si>
    <t>DXW-3EU-B</t>
  </si>
  <si>
    <t>3 input HDBaseT™ transmitter wall plate with USB (330/600-ft DisplayPort, VGA &amp; HDMI, 230-ft USB device, black)</t>
  </si>
  <si>
    <t>DXW-3EUH-W</t>
  </si>
  <si>
    <t>3 input HDBaseT™ transmitter wall plate with USB (330/600-ft DisplayPort, VGA &amp; HDMI, 230-ft USB host, white)</t>
  </si>
  <si>
    <t>DXW-3EUH-B</t>
  </si>
  <si>
    <t>3 input HDBaseT™ transmitter wall plate with USB (330/600-ft DisplayPort, VGA &amp; HDMI, 230-ft USB host, black)</t>
  </si>
  <si>
    <t>DXE-CAT-TX1-4K</t>
  </si>
  <si>
    <t>HDBaseT™ transmitter box (230-ft HDMI)</t>
  </si>
  <si>
    <t>DXE-CAT-TX2-4K</t>
  </si>
  <si>
    <t>HDBaseT™ transmitter box (330/600-ft HDMI)</t>
  </si>
  <si>
    <t>DXW-2-RX1-B-K</t>
  </si>
  <si>
    <t>HDBaseT™ receiver wall plate (230-ft HDMI, black)</t>
  </si>
  <si>
    <t>DXE-CAT-RX1-4K</t>
  </si>
  <si>
    <t>HDBaseT™ receiver box (230-ft HDMI)</t>
  </si>
  <si>
    <t>DXE-CAT-RX2-4K</t>
  </si>
  <si>
    <t>HDBaseT™ receiver box (330/600-ft HDMI)</t>
  </si>
  <si>
    <t>DXE-CAT-S1-4K</t>
  </si>
  <si>
    <t>230ft - 1080P 60hz / 4K, 36 Bit Color, IR &amp; RS-232 Kit includes DXE-CAT-TX1-4K, DXE-CAT-RX1-4K &amp; PS0080-1)</t>
  </si>
  <si>
    <t>DXE-CAT-S2-4K</t>
  </si>
  <si>
    <t>330/600ft - 1080P 60hz / 4K, 48 Bit Color, IR, RS-232 &amp; Dual Lan Kit includes DXE-CAT-TX2-4K, DXE-CAT-RX2-4K &amp; PS0080-1 Power Supply</t>
  </si>
  <si>
    <t>DXE-CAT-RX3</t>
  </si>
  <si>
    <t>HDBaseT™ receiver box with dual relay and audio line in/out (330/600-ft HDMI)</t>
  </si>
  <si>
    <t>DXE-CAT-RX3-A</t>
  </si>
  <si>
    <t>HDBaseT™ receiver box with dual relay, audio line in/out &amp; amplifier (330/600-ft HDMI)</t>
  </si>
  <si>
    <t>DXE-USB-H2</t>
  </si>
  <si>
    <t>USB 2.0 480Mb 230ft CAT Extender Transmitter</t>
  </si>
  <si>
    <t>DXE-USB-D2</t>
  </si>
  <si>
    <t>USB 2.0 480Mb 230ft CAT Extender Receiver</t>
  </si>
  <si>
    <t>VB130 Conference Videobar</t>
  </si>
  <si>
    <t>COMMVB130</t>
  </si>
  <si>
    <t>VC520 Pro2 Conference Camera and Speakerphone System</t>
  </si>
  <si>
    <t>COMVCPRO2</t>
  </si>
  <si>
    <t>CAM130 Conference Camera</t>
  </si>
  <si>
    <t>COMCAM130</t>
  </si>
  <si>
    <t>CAM340+ USB 4K Conference Camera Huddle Room with Microphone</t>
  </si>
  <si>
    <t>COMMIC34+</t>
  </si>
  <si>
    <t>CAM520 12x PTZ USB Conference Camera (BLACK)</t>
  </si>
  <si>
    <t>COMSCA52B</t>
  </si>
  <si>
    <t>CAM520 Pro2 Conference Camera</t>
  </si>
  <si>
    <t>COM520PR2</t>
  </si>
  <si>
    <t>XT1144</t>
  </si>
  <si>
    <t>FCAV1U</t>
  </si>
  <si>
    <t>FUSION PULLOUT</t>
  </si>
  <si>
    <t>FHB5147</t>
  </si>
  <si>
    <t>HARDWARE KIT</t>
  </si>
  <si>
    <t>LCM1U</t>
  </si>
  <si>
    <t>SINGLE CEILING MOUNT LARGE BLACK</t>
  </si>
  <si>
    <t>LTM1U</t>
  </si>
  <si>
    <t>Micro-Adjust Tilt Wall Mount Large</t>
  </si>
  <si>
    <t>MTM1U</t>
  </si>
  <si>
    <t>Micro-Adjust Tilt Wall Mount Medium</t>
  </si>
  <si>
    <t>PAC526</t>
  </si>
  <si>
    <t>WALL ENC16X16MTI-DPRE INST</t>
  </si>
  <si>
    <t>PDRUB</t>
  </si>
  <si>
    <t>LARGE DUAL ARM W/ UNIVERSAL</t>
  </si>
  <si>
    <t>PSBUB</t>
  </si>
  <si>
    <t>UNIVERSAL PSB BLACK</t>
  </si>
  <si>
    <t>RPMAU</t>
  </si>
  <si>
    <t>UNIVERSAL RPMA</t>
  </si>
  <si>
    <t>RPMCUW</t>
  </si>
  <si>
    <t>UNIVERSAL RPMC</t>
  </si>
  <si>
    <t>STMS1U</t>
  </si>
  <si>
    <t>FUSION 300 mm MOUNT TILT</t>
  </si>
  <si>
    <t>TS218SU</t>
  </si>
  <si>
    <t>MEDIUM DUAL ARM THIN SWINGARM</t>
  </si>
  <si>
    <t>TS525TU</t>
  </si>
  <si>
    <t>THIN SWING ARM (LARGE)</t>
  </si>
  <si>
    <t>VCMU</t>
  </si>
  <si>
    <t>VCMU INCL CUSTOM HBU BLK</t>
  </si>
  <si>
    <t>XTM1U</t>
  </si>
  <si>
    <t>Micro-Adjust Tilt Wall Mount X-Large</t>
  </si>
  <si>
    <t>CMS0709</t>
  </si>
  <si>
    <t>ADJ. PIPE 84" TO 108"</t>
  </si>
  <si>
    <t>BRKT-SX10-SMK</t>
  </si>
  <si>
    <t>Video Camera - Display-Mount Bracket</t>
  </si>
  <si>
    <t>CAB-MIC20-EXT</t>
  </si>
  <si>
    <t>Video Codec - Table Mic Ext. Cable</t>
  </si>
  <si>
    <t>CON-PZRN-CTSSX1NK</t>
  </si>
  <si>
    <t>Video Codec - 1 yr. Service</t>
  </si>
  <si>
    <t>CON-PZRN-SX2PHD12X</t>
  </si>
  <si>
    <t>CON-PZRN-SX2PHD4X</t>
  </si>
  <si>
    <t>CTS-CTRL-DV10</t>
  </si>
  <si>
    <t>Video Codec - Touch Panel 10"</t>
  </si>
  <si>
    <t>CTS-QSC20-MIC</t>
  </si>
  <si>
    <t>Video Codec - Table Mic</t>
  </si>
  <si>
    <t>CTS-SX10N-K9</t>
  </si>
  <si>
    <t>Video Codec - Integrated Camera 5x</t>
  </si>
  <si>
    <t>CTS-SX20-PHD12X-K9</t>
  </si>
  <si>
    <t>Video Codec - Camera 12x</t>
  </si>
  <si>
    <t>CTS-SX20-PHD4X-K9</t>
  </si>
  <si>
    <t>Video Codec - Camera 4x</t>
  </si>
  <si>
    <t>CTS-SX20-QS-WMK</t>
  </si>
  <si>
    <t>Video Codec - Wall-Mount Kit</t>
  </si>
  <si>
    <t>CTS-SX80-IP40-K9</t>
  </si>
  <si>
    <t>Video Codec - SX80 w/ Camera 4x, Touch 10</t>
  </si>
  <si>
    <t>CTS-SX80-IP60-K9</t>
  </si>
  <si>
    <t>Video Codec - SX80 w/ P60 Cam, Touch 10</t>
  </si>
  <si>
    <t>CTS-SX80-IPST60-K9</t>
  </si>
  <si>
    <t>Video Codec - SX80 w/ SpkrTrack60, Touch 10</t>
  </si>
  <si>
    <t>CTS-SX80-K9</t>
  </si>
  <si>
    <t>Video Codec - SX80</t>
  </si>
  <si>
    <t>CTS-TABL20</t>
  </si>
  <si>
    <t>LIC-SX20-MS</t>
  </si>
  <si>
    <t>Video Codec - Multisite License</t>
  </si>
  <si>
    <t>LIC-SX80-MS</t>
  </si>
  <si>
    <t>Video Codec - SX80 Multisite Software Option</t>
  </si>
  <si>
    <t>Precision 60</t>
  </si>
  <si>
    <t>Video Codec - Camera HD PTZ</t>
  </si>
  <si>
    <t>SG300-52MP</t>
  </si>
  <si>
    <t>AV Network Switch - Managed 48-Port PoE</t>
  </si>
  <si>
    <t>SG300-52P</t>
  </si>
  <si>
    <t>AV Network Switch - 48-port, PoE+</t>
  </si>
  <si>
    <t>375W PoE available</t>
  </si>
  <si>
    <t>WS-C2960X-24PS-L</t>
  </si>
  <si>
    <t>AV Network Switch - Managed 24-Port PoE</t>
  </si>
  <si>
    <t>For use with Aurora VLX series</t>
  </si>
  <si>
    <t>CC-70-X4</t>
  </si>
  <si>
    <t xml:space="preserve">Headset: Double Ear, Light weight, Wrap around, XLR (F) 4 pin  with Dynamic Mic. Inc. headset bag </t>
  </si>
  <si>
    <t>CC-110-X4</t>
  </si>
  <si>
    <t xml:space="preserve">Headset: Single Ear, Light weight, XLR (F) 4 pin  with Dynamic Mic, Boom switch. Inc. headset bag </t>
  </si>
  <si>
    <t>CC-220-X4</t>
  </si>
  <si>
    <t xml:space="preserve">Headset: Double Ear, Light weight, XLR (F) 4 pin  with Dynamic Mic, Boom switch. Inc. spare foam ear pads, headset bag </t>
  </si>
  <si>
    <t>CC-300-X4</t>
  </si>
  <si>
    <t xml:space="preserve">Headset: Single Ear, Medium weight, XLR (F) 4 pin  with Dynamic Mic, Boom switch. Inc. headset bag </t>
  </si>
  <si>
    <t>CC-400-X4</t>
  </si>
  <si>
    <t xml:space="preserve">Headset: Double Ear, Medium weight, XLR (F) 4 pin  with Dynamic Mic, Boom switch. Inc. headset bag </t>
  </si>
  <si>
    <t>CC-300-Y4</t>
  </si>
  <si>
    <t xml:space="preserve">Headset: Single Ear, Medium weight, XLR (M) 4 pin  with Dynamic Mic, Boom switch. Inc. headset bag </t>
  </si>
  <si>
    <t>CC-400-Y4</t>
  </si>
  <si>
    <t xml:space="preserve">Headset: Double Ear, Medium weight, XLR (M) 4 pin  with Dynamic Mic, Boom switch. Inc. headset bag </t>
  </si>
  <si>
    <t>CC-110-X5</t>
  </si>
  <si>
    <t xml:space="preserve">Headset: Single Ear, Light weight, XLR (M) 5 pin  with Dynamic Mic, Boom switch. Inc. spare foam ear pads, headset bag </t>
  </si>
  <si>
    <t>CC-220-X5</t>
  </si>
  <si>
    <t xml:space="preserve">Headset: Double Ear, Light weight, XLR (M) 5 pin  with Dynamic Mic, Boom switch. Inc. spare foam ear pads, headset bag </t>
  </si>
  <si>
    <t>CC-300-X5</t>
  </si>
  <si>
    <t xml:space="preserve">Headset: Single Ear, Medium weight, XLR (M) 5 pin  with Dynamic Mic, Boom switch. Inc. headset bag </t>
  </si>
  <si>
    <t>CC-400-X5</t>
  </si>
  <si>
    <t xml:space="preserve">Headset: Double Ear, Medium weight, XLR (M) 5 pin  with Dynamic Mic, Boom switch. Inc. headset bag </t>
  </si>
  <si>
    <t>CC-110-X6</t>
  </si>
  <si>
    <t xml:space="preserve">Headset: Single Ear, Light weight, XLR (M) 6 pin  with Dynamic Mic, Boom switch. Inc. spare foam ear pads, headset bag </t>
  </si>
  <si>
    <t>CC-220-X6</t>
  </si>
  <si>
    <t xml:space="preserve">Headset: Double Ear, Light weight, XLR (M) 6 pin  with Dynamic Mic, Boom switch. Inc. spare foam ear pads, headset bag </t>
  </si>
  <si>
    <t>CC-300-X6</t>
  </si>
  <si>
    <t xml:space="preserve">Headset: Single Ear, Medium weight, XLR (M) 6 pin  with Dynamic Mic, Boom switch. Inc. headset bag </t>
  </si>
  <si>
    <t>CC-400-X6</t>
  </si>
  <si>
    <t xml:space="preserve">Headset: Double Ear, Medium weight, XLR (M) 6 pin  with Dynamic Mic, Boom switch. Inc. headset bag </t>
  </si>
  <si>
    <t>CC-110-X7</t>
  </si>
  <si>
    <t xml:space="preserve">Headset: Single Ear, Light weight, XLR (F) 7 pin  with Dynamic Mic, Boom switch. Inc. spare foam ear pads, headset bag </t>
  </si>
  <si>
    <t>CC-220-X7</t>
  </si>
  <si>
    <t xml:space="preserve">Headset: Double Ear, Light weight, XLR (F) 7 pin  with Dynamic Mic, Boom switch. Inc. spare foam ear pads, headset bag </t>
  </si>
  <si>
    <t>CC-300-X7</t>
  </si>
  <si>
    <t xml:space="preserve">Headset: Single Ear, Medium weight, XLR (F) 7 pin  with Dynamic Mic, Boom switch. Inc. headset bag </t>
  </si>
  <si>
    <t>CC-400-X7</t>
  </si>
  <si>
    <t xml:space="preserve">Headset: Double Ear, Medium weight, XLR (F) 7 pin  with Dynamic Mic, Boom switch. Inc. headset bag </t>
  </si>
  <si>
    <t>CC-110-B6</t>
  </si>
  <si>
    <t xml:space="preserve">Headset: Single Ear, Light weight, Non-Terminated with Dynamic Mic, Boom switch. Inc. spare foam ear pads, headset bag </t>
  </si>
  <si>
    <t>CC-220-B6</t>
  </si>
  <si>
    <t xml:space="preserve">Headset: Double Ear, Light weight, Non-Terminated with Dynamic Mic, Boom switch. Inc. spare foam ear pads, headset bag </t>
  </si>
  <si>
    <t>CC-300-B6</t>
  </si>
  <si>
    <t xml:space="preserve">Headset: Single Ear, Medium weight, Non-Terminated with Dynamic Mic, Boom switch. Inc. headset bag </t>
  </si>
  <si>
    <t>CC-400-B6</t>
  </si>
  <si>
    <t xml:space="preserve">Headset: Double Ear, Medium weight, Non-Terminated with Dynamic Mic, Boom switch. Inc. headset bag </t>
  </si>
  <si>
    <t>CC-300-Y5</t>
  </si>
  <si>
    <t xml:space="preserve">Headset: Single Ear, Medium weight, XLR (F) 5 pin  with Dynamic Mic, Boom switch. Inc. headset bag </t>
  </si>
  <si>
    <t>CC-400-Y5</t>
  </si>
  <si>
    <t xml:space="preserve">Headset: Double Ear, Medium weight, XLR (F) 5 pin  with Dynamic Mic, Boom switch. Inc. headset bag </t>
  </si>
  <si>
    <t>CC-110-MD4</t>
  </si>
  <si>
    <t xml:space="preserve">Headset: Single Ear, Light weight, Mini DIN (M) 4 pin  with Dynamic Mic, Boom switch. Inc. spare foam ear pads, headset bag </t>
  </si>
  <si>
    <t>CC-220-MD4</t>
  </si>
  <si>
    <t xml:space="preserve">Headset: Double Ear, Light weight, Mini DIN (M) 4 pin with Dynamic Mic, Boom switch. Inc. spare foam ear pads, headset bag </t>
  </si>
  <si>
    <t>CC-300-MD4</t>
  </si>
  <si>
    <t xml:space="preserve">Headset: Single Ear, Medium weight, Mini DIN (M) 4 pin with Dynamic Mic, Boom switch. Inc. headset bag </t>
  </si>
  <si>
    <t>CC-400-MD4</t>
  </si>
  <si>
    <t xml:space="preserve">Headset: Double Ear, Medium weight, Mini DIN (M) 4 pin with Dynamic Mic, Boom switch. Inc. headset bag </t>
  </si>
  <si>
    <t>CC-28-X4</t>
  </si>
  <si>
    <t xml:space="preserve">Headset: Single ear, Light weight, XLR (F) 4 Pin  with Dynamic Mic &amp; rotation boom switch </t>
  </si>
  <si>
    <t>CC-40</t>
  </si>
  <si>
    <t>Headset: Single ear, Heavy weight, Economy XLR (F) 4 Pin  with Dynamic Mic</t>
  </si>
  <si>
    <t>CC-60</t>
  </si>
  <si>
    <t>Headset: Double ear, Heavy weight, Economy XLR (F) 4 Pin  with Dynamic Mic</t>
  </si>
  <si>
    <t>PT-8-X4</t>
  </si>
  <si>
    <t xml:space="preserve">Mic: Fist Microphone, Push-to-Talk, XLR (F) 4 pin  </t>
  </si>
  <si>
    <t>HS-6</t>
  </si>
  <si>
    <t xml:space="preserve">Handset: Telephone style, XLR (F) 4 pin  </t>
  </si>
  <si>
    <t>PT-8-X7</t>
  </si>
  <si>
    <t xml:space="preserve">Mic: Fist Microphone, Push-to-Talk, XLR (F) 7pin  </t>
  </si>
  <si>
    <t>KB-701</t>
  </si>
  <si>
    <t>Encore Speaker Station: 1Ch, Flush Mount with Speaker, Program Audio, Flushed Mounted Microphone</t>
  </si>
  <si>
    <t>KB-702</t>
  </si>
  <si>
    <t>Encore Speaker Station: 2Ch Switched, Flush Mount with Speaker, Program Audio. For Headset</t>
  </si>
  <si>
    <t>KB-702GM</t>
  </si>
  <si>
    <t>Encore Speaker Station: 2Ch Switched, Flush Mount with Speaker, Program Audio. For Headset and Gooseneck Mic.</t>
  </si>
  <si>
    <t>V-BOX</t>
  </si>
  <si>
    <t>Encore Surface Mount: 1Ch, Desk/Wall for KB Speaker Stations</t>
  </si>
  <si>
    <t>V-BOX-X6</t>
  </si>
  <si>
    <t>Encore Surface Mount: 2Ch, Desk/Wall for KB Speaker Stations</t>
  </si>
  <si>
    <t>V-BOX-RJ45</t>
  </si>
  <si>
    <t>Encore Surface Mount: 1Ch, 4-wire, Desk/Wall for KB Speaker Stations</t>
  </si>
  <si>
    <t>EB7-4W</t>
  </si>
  <si>
    <t>Encore Adapter Module: 1Ch, 4-wire for KB Speaker Stations, HB Headset Stations</t>
  </si>
  <si>
    <t>453G042</t>
  </si>
  <si>
    <t xml:space="preserve">PSU: In-Line for PK-7, AB-120, EB7-4W, V-BOX-RJ45 </t>
  </si>
  <si>
    <t>HB-702</t>
  </si>
  <si>
    <t>Encore Headset Station: 2Ch Switched, Flush Mount with Program Audio</t>
  </si>
  <si>
    <t>HB-704</t>
  </si>
  <si>
    <t>Encore Headset Station: 4Ch Switched, Flush Mount with Program Audio</t>
  </si>
  <si>
    <t>GM-9</t>
  </si>
  <si>
    <t>Encore Microphone: Short 9" / 230mm with screw-in jack</t>
  </si>
  <si>
    <t>GM-18</t>
  </si>
  <si>
    <t>Encore Microphone: Long 18" / 460mm with screw-in jack</t>
  </si>
  <si>
    <t>HKB-2X</t>
  </si>
  <si>
    <t>HelixNet Speaker Station: 2/4Ch, Program Audio, Flush Mount with 4 pin XLR-Male headset</t>
  </si>
  <si>
    <t>HKB-2X-X7</t>
  </si>
  <si>
    <t>HelixNet Speaker Station: 2/4Ch, Program Audio, (2) GPI, Flush Mount with 7 pin XLR-Male headset</t>
  </si>
  <si>
    <t>S-MOUNT</t>
  </si>
  <si>
    <t>HelixNet Surface Mount: Desk/Wall for HKB-2X</t>
  </si>
  <si>
    <t>110/340</t>
  </si>
  <si>
    <t>110 Series Gooseneck Microphone: Standard 13" / 340mm for HelixNet, V-Series, V-Series Iris</t>
  </si>
  <si>
    <t>110/100</t>
  </si>
  <si>
    <t>110 Series Gooseneck Microphone: Short 4" / 100mm for HelixNet, V-Series, V-Series Iris</t>
  </si>
  <si>
    <t>110/490</t>
  </si>
  <si>
    <t>110 Series Gooseneck Microphone: Long 19" / 490mm for HelixNet, V-Series, V-Series Iris</t>
  </si>
  <si>
    <t>CS-702</t>
  </si>
  <si>
    <t>Encore Main Station: 2Ch, Power supply 1.0 Amp with Stage Announce, Program Audio</t>
  </si>
  <si>
    <t>MS-702</t>
  </si>
  <si>
    <t>Encore Main Station: 2Ch, Power supply 1.2 Amp, 1RU with Stage Announce, Program Audio, Hot-Mic</t>
  </si>
  <si>
    <t>MS-704</t>
  </si>
  <si>
    <t>Encore Main Station: 4Ch, Power supply 1.2 Amp, 2RU with Stage Announce, (5) Program Audio, Hot-Mic</t>
  </si>
  <si>
    <t>SB-704</t>
  </si>
  <si>
    <t>Encore Switchboard Station: 4Ch, Power supply 1.2 Amp, 2RU with (10) Assign Out, Stage Announce, (5) Program Audio, Hot-Mic</t>
  </si>
  <si>
    <t>RM-702</t>
  </si>
  <si>
    <t>Encore Remote Station: 2Ch, 1RU with Stage Announce, Program Audio, Hot-Mic</t>
  </si>
  <si>
    <t>RM-704</t>
  </si>
  <si>
    <t>Encore Remote Station: 4Ch, 1RU with Stage Announce, (5) Program Audio, Hot-Mic</t>
  </si>
  <si>
    <t>HMS-4X</t>
  </si>
  <si>
    <t>HelixNet Main Station: 12Ch, 1RU with Stage Announce, Program Audio, Hot-Mic, (3) HLI-Module slots</t>
  </si>
  <si>
    <t>HMS-24-UG</t>
  </si>
  <si>
    <t>HelixNet Main Station Upgrade: 24Ch upgrades any HMS-4X</t>
  </si>
  <si>
    <t>HRM-4X</t>
  </si>
  <si>
    <t>HelixNet Remote Station: 4Ch, Program Audio with Stage Announce, Program Audio, Hot-Mic, 4 pin XLR-Male headset</t>
  </si>
  <si>
    <t>RS-701</t>
  </si>
  <si>
    <t xml:space="preserve">Encore Beltpack: 1Ch </t>
  </si>
  <si>
    <t>RS-702</t>
  </si>
  <si>
    <t>Encore Beltpack: 2Ch with Program Audio</t>
  </si>
  <si>
    <t>RS-703</t>
  </si>
  <si>
    <t>Encore TW Beltpack: 2Ch with Program Audio</t>
  </si>
  <si>
    <t>HXII-BP-X4</t>
  </si>
  <si>
    <t>HelixNet Beltpack: 2Ch, Program Audio with 4 pin XLR-Male headset</t>
  </si>
  <si>
    <t>HXII-BP-X5</t>
  </si>
  <si>
    <t>HelixNet Beltpack: 2Ch, Program Audio, Split-Ear with 5 pin XLR-Female headset</t>
  </si>
  <si>
    <t>EF-701M</t>
  </si>
  <si>
    <t>Encore Interface: 1Ch, 2-wire / 4-wire with Call Signal</t>
  </si>
  <si>
    <t>IF4W4</t>
  </si>
  <si>
    <t xml:space="preserve">Encore Interface: 4Ch, 2-wire / 4-wire, 1RU </t>
  </si>
  <si>
    <t>TW-12C</t>
  </si>
  <si>
    <t xml:space="preserve">Encore Interface: 1Ch, 2-wire / 2-wire, 1RU </t>
  </si>
  <si>
    <t>TW-47</t>
  </si>
  <si>
    <t xml:space="preserve">Encore Interface: 1Ch, 2-Way Radio Gateway </t>
  </si>
  <si>
    <t>TWC-703</t>
  </si>
  <si>
    <t xml:space="preserve">Encore Adaptor: 2Ch, CC / TW </t>
  </si>
  <si>
    <t>MT-701</t>
  </si>
  <si>
    <t>Encore Isolator: 1Ch with call Signal pass-through</t>
  </si>
  <si>
    <t>HLI-4W2</t>
  </si>
  <si>
    <t xml:space="preserve">HelixNet Interface Module: (2) 4-wire </t>
  </si>
  <si>
    <t>HLI-2W2</t>
  </si>
  <si>
    <t xml:space="preserve">HelixNet Interface Module: (2) 2-wire </t>
  </si>
  <si>
    <t>HLI-ET2</t>
  </si>
  <si>
    <t xml:space="preserve">HelixNet Interface Module: (2) Ethernet </t>
  </si>
  <si>
    <t>HLI-FBS</t>
  </si>
  <si>
    <t>HelixNet Interface Module: (2) SFP for fiber transceivers modules</t>
  </si>
  <si>
    <t>LQ-4W2</t>
  </si>
  <si>
    <t>LQ IP Interface: 4Wire, IP, throw down box  with IVC, SIP*, Agent-IC*, Station-IC*</t>
  </si>
  <si>
    <t>LQ-2W2</t>
  </si>
  <si>
    <t>LQ IP Interface: 2Wire, IP, throw down box  with 2W Power Supply, IVC, SIP*, Agent-IC*, Station-IC*</t>
  </si>
  <si>
    <t>LQ-4WG2</t>
  </si>
  <si>
    <t>LQ IP Interface: 4Wire, GPIO, throw down box  with IVC, SIP*, Agent-IC*, Station-IC*</t>
  </si>
  <si>
    <t>LQ-R4W8</t>
  </si>
  <si>
    <t>LQ IP Interface: 4Wire, IP, 1RU with IVC, SIP*, Agent-IC*, Station-IC*</t>
  </si>
  <si>
    <t>LQ-R4WG8</t>
  </si>
  <si>
    <t>LQ IP Interface: 4Wire, GPIO, IP, 1RU with IVC, SIP*, Agent-IC*, Station-IC*</t>
  </si>
  <si>
    <t>LQ-R2W4</t>
  </si>
  <si>
    <t>LQ IP Interface: 2Wire, IP, 1RU with 2W Power Supply, IVC, SIP*, Agent-IC*, Station-IC*</t>
  </si>
  <si>
    <t>LQ-R2W4-4W4</t>
  </si>
  <si>
    <t>LQ IP Interface: 2Wire, 4Wire, IP, 1RU with 2W Power Supply, IVC, SIP*, Agent-IC*, Station-IC*</t>
  </si>
  <si>
    <t>LQ-R2W4-4WG4</t>
  </si>
  <si>
    <t>LQ IP Interface: 2Wire, 4Wire, GPIO, IP, 1RU with 2W Power Supply, IVC, SIP*, Agent-IC*, Station-IC*</t>
  </si>
  <si>
    <t>CG-X1-M4W1</t>
  </si>
  <si>
    <t xml:space="preserve">Clear-Com X1 4-wire Gateway </t>
  </si>
  <si>
    <t>CG-X1-MIP1</t>
  </si>
  <si>
    <t xml:space="preserve">Clear-Com X1 IP Gateway </t>
  </si>
  <si>
    <t>CG-X4-M4W4</t>
  </si>
  <si>
    <t xml:space="preserve">Clear-Com X4 Gateway- 8 ports 4-wire </t>
  </si>
  <si>
    <t>CG-X4-MIP1-M4W3</t>
  </si>
  <si>
    <t xml:space="preserve">Clear-Com X4 Gateway- 1 port IP, 7 ports 4-wire </t>
  </si>
  <si>
    <t>CG-X41-RU</t>
  </si>
  <si>
    <t xml:space="preserve">19” Rack mount for one X4 Gateway </t>
  </si>
  <si>
    <t>CG-X42-RU</t>
  </si>
  <si>
    <t xml:space="preserve">19” Rack mount two X4 Gateways </t>
  </si>
  <si>
    <t>CGX-MF</t>
  </si>
  <si>
    <t xml:space="preserve">Mounting Flanges for X4 Gateways </t>
  </si>
  <si>
    <t>CG-PS-L</t>
  </si>
  <si>
    <t xml:space="preserve">Gateway Power Connector </t>
  </si>
  <si>
    <t>140112</t>
  </si>
  <si>
    <t>Access V, 109", 16:10, Matt White XT1000VB, 110 V</t>
  </si>
  <si>
    <t>140112Q</t>
  </si>
  <si>
    <t>Access V, 109", 16:10, Matt White XT1000VB, 110 V, with Quiet Motor</t>
  </si>
  <si>
    <t>140112U</t>
  </si>
  <si>
    <t>Access V, 109", 16:10, Matt White XT1000VB, 110 V, with LVC-IV Low Voltage Controller</t>
  </si>
  <si>
    <t>140112QU</t>
  </si>
  <si>
    <t>Access V, 109", 16:10, Matt White XT1000VB, 110 V, with Quiet Motor &amp; LVC-IV Low Voltage Controller</t>
  </si>
  <si>
    <t>140113Q</t>
  </si>
  <si>
    <t>Access V, 113", 16:10, Matt White XT1000VB, 110 V, with Quiet Motor</t>
  </si>
  <si>
    <t>140113U</t>
  </si>
  <si>
    <t>Access V, 113", 16:10, Matt White XT1000VB, 110 V, with LVC-IV Low Voltage Controller</t>
  </si>
  <si>
    <t>140113QU</t>
  </si>
  <si>
    <t>Access V, 113", 16:10, Matt White XT1000VB, 110 V, with Quiet Motor &amp; LVC-IV Low Voltage Controller</t>
  </si>
  <si>
    <t>140113</t>
  </si>
  <si>
    <t>Access V, 113", 16:10, Matt White XT1000VB, 110 V</t>
  </si>
  <si>
    <t>140114</t>
  </si>
  <si>
    <t>Access V, 123", 16:10, Matt White XT1000VB, 110 V</t>
  </si>
  <si>
    <t>140114Q</t>
  </si>
  <si>
    <t>Access V, 123", 16:10, Matt White XT1000VB, 110 V, with Quiet Motor</t>
  </si>
  <si>
    <t>140114U</t>
  </si>
  <si>
    <t>Access V, 123", 16:10, Matt White XT1000VB, 110 V, with LVC-IV Low Voltage Controller</t>
  </si>
  <si>
    <t>140114QU</t>
  </si>
  <si>
    <t>Access V, 123", 16:10, Matt White XT1000VB, 110 V, with Quiet Motor &amp; LVC-IV Low Voltage Controller</t>
  </si>
  <si>
    <t>140039Q</t>
  </si>
  <si>
    <t>Access V, 137", 16:10, Matt White XT1000VB, 110 V, with Quiet Motor</t>
  </si>
  <si>
    <t>140039U</t>
  </si>
  <si>
    <t>Access V, 137", 16:10, Matt White XT1000VB, 110 V, with LVC-IV Low Voltage Controller</t>
  </si>
  <si>
    <t>140039QU</t>
  </si>
  <si>
    <t>Access V, 137", 16:10, Matt White XT1000VB, 110 V, with Quiet Motor &amp; LVC-IV Low Voltage Controller</t>
  </si>
  <si>
    <t>140039</t>
  </si>
  <si>
    <t>Access V, 137", 16:10, Matt White XT1000VB, 110 V</t>
  </si>
  <si>
    <t>140040</t>
  </si>
  <si>
    <t>Access V, 165", 16:10, Matt White XT1000VB, 110 V</t>
  </si>
  <si>
    <t>140040U</t>
  </si>
  <si>
    <t>Access V, 165", 16:10, Matt White XT1000VB, 110 V, with LVC-IV Low Voltage Controller</t>
  </si>
  <si>
    <t>140040QU</t>
  </si>
  <si>
    <t>Access V, 165", 16:10, Matt White XT1000VB, 110 V, with Quiet Motor &amp; LVC-IV Low Voltage Controller</t>
  </si>
  <si>
    <t>140040Q</t>
  </si>
  <si>
    <t>Access V, 165", 16:10, Matt White XT1000VB, 110 V, with Quiet Motor</t>
  </si>
  <si>
    <t>140089U</t>
  </si>
  <si>
    <t>Access V, 189", 16:10, Matt White XT1000VB, 110 V, with LVC-IV Low Voltage Controller</t>
  </si>
  <si>
    <t>140089</t>
  </si>
  <si>
    <t>Access V, 189", 16:10, Matt White XT1000VB, 110 V</t>
  </si>
  <si>
    <t>140042</t>
  </si>
  <si>
    <t>Access V, 198", 16:10, Matt White XT1000VB, 110 V</t>
  </si>
  <si>
    <t>140042U</t>
  </si>
  <si>
    <t>Access V, 198", 16:10, Matt White XT1000VB, 110 V, with LVC-IV Low Voltage Controller</t>
  </si>
  <si>
    <t>140043U</t>
  </si>
  <si>
    <t>Access V, 226", 16:10, Matt White XT1000VB, 110 V, with LVC-IV Low Voltage Controller</t>
  </si>
  <si>
    <t>140043</t>
  </si>
  <si>
    <t>Access V, 226", 16:10, Matt White XT1000VB, 110 V</t>
  </si>
  <si>
    <t>140111</t>
  </si>
  <si>
    <t>Access V, 94", 16:10, Matt White XT1000VB, 110 V</t>
  </si>
  <si>
    <t>140111U</t>
  </si>
  <si>
    <t>Access V, 94", 16:10, Matt White XT1000VB, 110 V, with LVC-IV Low Voltage Controller</t>
  </si>
  <si>
    <t>140111QU</t>
  </si>
  <si>
    <t>Access V, 94", 16:10, Matt White XT1000VB, 110 V, with Quiet Motor &amp; LVC-IV Low Voltage Controller</t>
  </si>
  <si>
    <t>140111Q</t>
  </si>
  <si>
    <t>Access V, 94", 16:10, Matt White XT1000VB, 110 V, with Quiet Motor</t>
  </si>
  <si>
    <t>140107</t>
  </si>
  <si>
    <t>Access V, 100", HDTV, Matt White XT1000VB, 110 V</t>
  </si>
  <si>
    <t>140107Q</t>
  </si>
  <si>
    <t>Access V, 100", HDTV, Matt White XT1000VB, 110 V, with Quiet Motor</t>
  </si>
  <si>
    <t>140107U</t>
  </si>
  <si>
    <t>Access V, 100", HDTV, Matt White XT1000VB, 110 V, with LVC-IV Low Voltage Controller</t>
  </si>
  <si>
    <t>140107QU</t>
  </si>
  <si>
    <t>Access V, 100", HDTV, Matt White XT1000VB, 110 V, with Quiet Motor &amp; LVC-IV Low Voltage Controller</t>
  </si>
  <si>
    <t>140108Q</t>
  </si>
  <si>
    <t>Access V, 106", HDTV, Matt White XT1000VB, 110 V, with Quiet Motor</t>
  </si>
  <si>
    <t>140108U</t>
  </si>
  <si>
    <t>Access V, 106", HDTV, Matt White XT1000VB, 110 V, with LVC-IV Low Voltage Controller</t>
  </si>
  <si>
    <t>140108QU</t>
  </si>
  <si>
    <t>Access V, 106", HDTV, Matt White XT1000VB, 110 V, with Quiet Motor &amp; LVC-IV Low Voltage Controller</t>
  </si>
  <si>
    <t>140108</t>
  </si>
  <si>
    <t>Access V, 106", HDTV, Matt White XT1000VB, 110 V</t>
  </si>
  <si>
    <t>140109</t>
  </si>
  <si>
    <t>Access V, 110", HDTV, Matt White XT1000VB, 110 V</t>
  </si>
  <si>
    <t>140109Q</t>
  </si>
  <si>
    <t>Access V, 110", HDTV, Matt White XT1000VB, 110 V, with Quiet Motor</t>
  </si>
  <si>
    <t>140109U</t>
  </si>
  <si>
    <t>Access V, 110", HDTV, Matt White XT1000VB, 110 V, with LVC-IV Low Voltage Controller</t>
  </si>
  <si>
    <t>140109QU</t>
  </si>
  <si>
    <t>Access V, 110", HDTV, Matt White XT1000VB, 110 V, with Quiet Motor &amp; LVC-IV Low Voltage Controller</t>
  </si>
  <si>
    <t>140110Q</t>
  </si>
  <si>
    <t>Access V, 119", HDTV, Matt White XT1000VB, 110 V, with Quiet Motor</t>
  </si>
  <si>
    <t>140110U</t>
  </si>
  <si>
    <t>Access V, 119", HDTV, Matt White XT1000VB, 110 V, with LVC-IV Low Voltage Controller</t>
  </si>
  <si>
    <t>140110QU</t>
  </si>
  <si>
    <t>Access V, 119", HDTV, Matt White XT1000VB, 110 V, with Quiet Motor &amp; LVC-IV Low Voltage Controller</t>
  </si>
  <si>
    <t>140110</t>
  </si>
  <si>
    <t>Access V, 119", HDTV, Matt White XT1000VB, 110 V</t>
  </si>
  <si>
    <t>140030</t>
  </si>
  <si>
    <t>Access V, 133", HDTV, Matt White XT1000VB, 110 V</t>
  </si>
  <si>
    <t>140030Q</t>
  </si>
  <si>
    <t>Access V, 133", HDTV, Matt White XT1000VB, 110 V, with Quiet Motor</t>
  </si>
  <si>
    <t>140030U</t>
  </si>
  <si>
    <t>Access V, 133", HDTV, Matt White XT1000VB, 110 V, with LVC-IV Low Voltage Controller</t>
  </si>
  <si>
    <t>140030QU</t>
  </si>
  <si>
    <t>Access V, 133", HDTV, Matt White XT1000VB, 110 V, with Quiet Motor &amp; LVC-IV Low Voltage Controller</t>
  </si>
  <si>
    <t>140031Q</t>
  </si>
  <si>
    <t>Access V, 161", HDTV, Matt White XT1000VB, 110 V, with Quiet Motor</t>
  </si>
  <si>
    <t>140031U</t>
  </si>
  <si>
    <t>Access V, 161", HDTV, Matt White XT1000VB, 110 V, with LVC-IV Low Voltage Controller</t>
  </si>
  <si>
    <t>140031QU</t>
  </si>
  <si>
    <t>Access V, 161", HDTV, Matt White XT1000VB, 110 V, with Quiet Motor &amp; LVC-IV Low Voltage Controller</t>
  </si>
  <si>
    <t>140031</t>
  </si>
  <si>
    <t>Access V, 161", HDTV, Matt White XT1000VB, 110 V</t>
  </si>
  <si>
    <t>140087</t>
  </si>
  <si>
    <t>Access V, 184", HDTV, Matt White XT1000VB, 110 V</t>
  </si>
  <si>
    <t>140087U</t>
  </si>
  <si>
    <t>Access V, 184", HDTV, Matt White XT1000VB, 110 V, with LVC-IV Low Voltage Controller</t>
  </si>
  <si>
    <t>140033U</t>
  </si>
  <si>
    <t>Access V, 193", HDTV, Matt White XT1000VB, 110 V, with LVC-IV Low Voltage Controller</t>
  </si>
  <si>
    <t>140033</t>
  </si>
  <si>
    <t>Access V, 193", HDTV, Matt White XT1000VB, 110 V</t>
  </si>
  <si>
    <t>140034</t>
  </si>
  <si>
    <t>Access V, 220", HDTV, Matt White XT1000VB, 110 V</t>
  </si>
  <si>
    <t>140034U</t>
  </si>
  <si>
    <t>Access V, 220", HDTV, Matt White XT1000VB, 110 V, with LVC-IV Low Voltage Controller</t>
  </si>
  <si>
    <t>140106Q</t>
  </si>
  <si>
    <t>Access V, 92", HDTV, Matt White XT1000VB, 110 V, with Quiet Motor</t>
  </si>
  <si>
    <t>140106U</t>
  </si>
  <si>
    <t>Access V, 92", HDTV, Matt White XT1000VB, 110 V, with LVC-IV Low Voltage Controller</t>
  </si>
  <si>
    <t>140106QU</t>
  </si>
  <si>
    <t>Access V, 92", HDTV, Matt White XT1000VB, 110 V, with Quiet Motor &amp; LVC-IV Low Voltage Controller</t>
  </si>
  <si>
    <t>140106</t>
  </si>
  <si>
    <t>Access V, 92", HDTV, Matt White XT1000VB, 110 V</t>
  </si>
  <si>
    <t>X460</t>
  </si>
  <si>
    <t>Data Switch - 48 port, 1gig, PoE dual 1100w power, AVB, Advanced Routing</t>
  </si>
  <si>
    <t>PS 128</t>
  </si>
  <si>
    <t>Equipment Rack - Horiz. DC PDU 12VDC 96W</t>
  </si>
  <si>
    <t>USB Extender Plus R</t>
  </si>
  <si>
    <t>USB Extender - USB 3.0 Receiver</t>
  </si>
  <si>
    <t>USB Extender Plus T</t>
  </si>
  <si>
    <t>USB Extender - USB 3.0 Transmitter</t>
  </si>
  <si>
    <t>60-1898-02</t>
  </si>
  <si>
    <t>Video Wall Processor</t>
  </si>
  <si>
    <t>8010AP</t>
  </si>
  <si>
    <t>3" LF/ 12W  &amp; .75" HF/ 12W. ISS™ Power Management. Producer Finish.</t>
  </si>
  <si>
    <t>8010AW</t>
  </si>
  <si>
    <t>As 8010AP above but in white finish. Special Order - 10-12 week delivery time.</t>
  </si>
  <si>
    <t>8020DPM</t>
  </si>
  <si>
    <t>4" LF/ 50W  &amp; .75" HF/ 50W. ISS™ Power Management. Producer Finish.</t>
  </si>
  <si>
    <t>8020DWM</t>
  </si>
  <si>
    <t>As 8020DPM above but in white finish. Special Order - 10-12 week delivery time.</t>
  </si>
  <si>
    <t>8020DRwM</t>
  </si>
  <si>
    <t>NEW - As 8020DPM above but in RAW finish. Special Order - 10-12 week delivery time.</t>
  </si>
  <si>
    <t>8030CP</t>
  </si>
  <si>
    <t>5" LF/ 50W &amp; .75" HF/ 50W. ISS™ Power Management. Producer Finish.</t>
  </si>
  <si>
    <t>8030CW</t>
  </si>
  <si>
    <t>As 8030CP above but in white finish. Special Order - 10-12 week delivery time.</t>
  </si>
  <si>
    <t>8030CRw</t>
  </si>
  <si>
    <t>NEW - As 8030CP above but in RAW finish. Special Order - 10-12 week delivery time.</t>
  </si>
  <si>
    <t>8040BPM</t>
  </si>
  <si>
    <t>6.5" LF/ 90W &amp; .75" HF/ 90W. ISS™ Power Management. Producer Finish.</t>
  </si>
  <si>
    <t>8040BWM</t>
  </si>
  <si>
    <t>As 8040BPM above but in white finish. Special Order - 10-12 week delivery time.</t>
  </si>
  <si>
    <t>8040BRwM</t>
  </si>
  <si>
    <t>NEW - As 8040BPM above but in RAW finish. Special Order - 10-12 week delivery time.</t>
  </si>
  <si>
    <t>8050BPM</t>
  </si>
  <si>
    <t>8" LF/150W &amp; 1" HF/120W. ISS™ Power Management. Producer Finish.</t>
  </si>
  <si>
    <t>8050BWM</t>
  </si>
  <si>
    <t>As 8050BPM above but in white finish. Special Order - 10-12 week delivery time.</t>
  </si>
  <si>
    <t>7040APM</t>
  </si>
  <si>
    <t>6.5" driver/ 50W, For use with 8010 &amp; 8020 stereo systems only.</t>
  </si>
  <si>
    <t>7050CPM</t>
  </si>
  <si>
    <t>8" driver/ 130W class D amplifier.</t>
  </si>
  <si>
    <t>8010.LSE™ StereoPak</t>
  </si>
  <si>
    <t>Two 8010APs &amp; one 7040 subwoofer.  Producer Finish.</t>
  </si>
  <si>
    <t>8020.LSE™ StereoPak</t>
  </si>
  <si>
    <t>Two 8020DPMs &amp; one 7040 subwoofer. Producer Finish.</t>
  </si>
  <si>
    <t xml:space="preserve">8020.LSE™Espresso </t>
  </si>
  <si>
    <t>5.1 System - Five 8020DPMs &amp; one 7050CPM subwoofer. Producer Finish.</t>
  </si>
  <si>
    <t>8030.LSE™Triple Play</t>
  </si>
  <si>
    <t>Two 8030CPs &amp; one 7050CPM subwoofer. Producer Finish.</t>
  </si>
  <si>
    <t>8030.LSE™Broadcast Pak</t>
  </si>
  <si>
    <t>5.1 System - Five 8030CPs &amp; one 7050CPM subwoofer. Producer Finish.</t>
  </si>
  <si>
    <t>8030.LSE™Power Pak Plus</t>
  </si>
  <si>
    <t>5.1 System - Five 8030CPs &amp; one 7360 subwoofer. Producer Finish.</t>
  </si>
  <si>
    <t>8320APM</t>
  </si>
  <si>
    <t>4" LF / 50W &amp; .75" HF / 50W. Analog Input. Producer Finish.</t>
  </si>
  <si>
    <t>8320AWM</t>
  </si>
  <si>
    <t>As 8320APM above but in white finish. Special Order - 10-12 week delivery time.</t>
  </si>
  <si>
    <t>8320ARwM</t>
  </si>
  <si>
    <t>New - As 8320APM above but in RAW finish. Special Order - 10-12 week delivery time.</t>
  </si>
  <si>
    <t>8330AP</t>
  </si>
  <si>
    <t>5" LF / 50W &amp; .75" HF / 50W. Analog &amp; AES/EBU Digital Input. Producer Finish.</t>
  </si>
  <si>
    <t>8330AW</t>
  </si>
  <si>
    <t>As 8330APM above but in white finish. Special Order - 10-12 week delivery time.</t>
  </si>
  <si>
    <t>8330ARw</t>
  </si>
  <si>
    <t>New - As 8330APM above but in RAW finish. Special Order - 10-12 week delivery time.</t>
  </si>
  <si>
    <t>8340APM</t>
  </si>
  <si>
    <t>6.5" LF/ 150W  &amp; .75" HF/ 150W. Analog &amp; AES/EBU Digital Input. Producer Finish.</t>
  </si>
  <si>
    <t>8340AWM</t>
  </si>
  <si>
    <t>As 8340APM above but in white finish. Special Order - 10-12 week delivery time.</t>
  </si>
  <si>
    <t>8340ARwM</t>
  </si>
  <si>
    <t>New - As 8340APM above but in RAW finish. Special Order - 10-12 week delivery time.</t>
  </si>
  <si>
    <t>8350APM</t>
  </si>
  <si>
    <t>8" LF/ 200W  &amp; 1" HF/ 150W. Analog &amp; AES/EBU Digital Input. Producer Finish.</t>
  </si>
  <si>
    <t>8350AWM</t>
  </si>
  <si>
    <t>As 8350APM above but in white finish. Special Order - 10-12 week delivery time.</t>
  </si>
  <si>
    <t>1032CPM</t>
  </si>
  <si>
    <t>10" LF/ 200W  &amp; 1" HF/ 150W. Analog &amp; AES/EBU Digital Input. Producer Finish.</t>
  </si>
  <si>
    <t>8430AP</t>
  </si>
  <si>
    <t>5" LF &amp; .75" HF. AES67 compatible Audio-over-IP digital audio stream input. *** Special Order Only ***</t>
  </si>
  <si>
    <t>8331AP</t>
  </si>
  <si>
    <t>2 x ACW™ LF / 72W, MDC™ Coaxial Driver- 3.5" MF/ 36W,  .75" HF/ 36W.</t>
  </si>
  <si>
    <t>8331AW</t>
  </si>
  <si>
    <t>As 8331AP above but in white finish. Special Order - 10-12 week delivery time.</t>
  </si>
  <si>
    <t>8331AM</t>
  </si>
  <si>
    <t>As 8331AP above but in black finish. Special Order - 10-12 week delivery time.</t>
  </si>
  <si>
    <t>8341AP</t>
  </si>
  <si>
    <t>2 x ACW™ LF / 250W, MDC™ Coaxial Driver- 3.5" MF/ 150W,  .75" HF/ 150W.</t>
  </si>
  <si>
    <t>8341AW</t>
  </si>
  <si>
    <t>As 8341AP above but in white finish. Special Order - 10-12 week delivery time.</t>
  </si>
  <si>
    <t>8341AM</t>
  </si>
  <si>
    <t>As 8341AP above but in black finish. Special Order - 10-12 week delivery time.</t>
  </si>
  <si>
    <t>8351BP</t>
  </si>
  <si>
    <t>2 x ACW™ LF / 250W, MDC™ Coaxial Driver- 5" MF/ 150W,  1" HF/ 150W.</t>
  </si>
  <si>
    <t>8351BW</t>
  </si>
  <si>
    <t>As 8351BP above but in white finish. Special Order - 10-12 week delivery time.</t>
  </si>
  <si>
    <t>8351BM</t>
  </si>
  <si>
    <t>As 8351BP above but in black finish. Special Order - 10-12 week delivery time.</t>
  </si>
  <si>
    <t>8361AP</t>
  </si>
  <si>
    <t>2 x ACW™ LF / 500W, MDC™ Coaxial Driver- 5" MF/ 150W,  1" HF/ 150W.</t>
  </si>
  <si>
    <t>8361AW</t>
  </si>
  <si>
    <t>As 8361AP above but in white finish. Special Order - 10-12 week delivery time.</t>
  </si>
  <si>
    <t>8361AM</t>
  </si>
  <si>
    <t>As 8361AP above but in black finish. Special Order - 10-12 week delivery time.</t>
  </si>
  <si>
    <t>W371AM</t>
  </si>
  <si>
    <t>Adaptive Woofer System - black finish - For use with 8341A, 8351B &amp; 8361A.</t>
  </si>
  <si>
    <t>W371AP</t>
  </si>
  <si>
    <t>As W371AM above but in dark grey finish. Special Order - 10-12 week delivery time.</t>
  </si>
  <si>
    <t>W371AW</t>
  </si>
  <si>
    <t>As W371AM above but in white finish. Special Order - 10-12 week delivery time.</t>
  </si>
  <si>
    <t>S360AP</t>
  </si>
  <si>
    <t>10" LF/250W  &amp; 1.7" High Compression Tweeter/100W. Analog &amp; AES/EBU Inputs.</t>
  </si>
  <si>
    <t>S360AW</t>
  </si>
  <si>
    <t>As S360AP above but in white finish. Special Order - 10-12 week delivery time.</t>
  </si>
  <si>
    <t>1237APM</t>
  </si>
  <si>
    <t xml:space="preserve">12" LF/500W, 5" MF/250W, 1" HF/200W. Analog &amp; AES/EBU Digital Input. </t>
  </si>
  <si>
    <t>1238APM</t>
  </si>
  <si>
    <t>15" LF/500W, 5" MF/250W, 1" HF/200W. Analog &amp; AES/EBU Digital Input.</t>
  </si>
  <si>
    <t>1238ACPM</t>
  </si>
  <si>
    <t>2 x 10" LF/500W, 5" MF/250W, 1" HF/200W. Remote RAM-L Amp. Special Order - 10-12 week delivery time.</t>
  </si>
  <si>
    <t>1238DFM</t>
  </si>
  <si>
    <t>2 x 8" LF/500W, 5" MF/250W, 1" HF/200W. Remote RAM-L Amplifier. Special Order - 10-12 week delivery time.</t>
  </si>
  <si>
    <t>1234APM</t>
  </si>
  <si>
    <t>2 x 12" LF/1500W, 5" MF/400W, 1" HF/300W. Remote RAM-XL Amp. (Includes one GLM User Kit per pair) **Built to order - contact us for lead time.</t>
  </si>
  <si>
    <t>1234ACPM</t>
  </si>
  <si>
    <t>2 x 12" LF/1500W, 5" MF/400W, 1" HF/300W. Remote RAM-XL Amp. (Includes one GLM User Kit per pair)**Built to order - contact us for lead time.</t>
  </si>
  <si>
    <t>1235AP</t>
  </si>
  <si>
    <t>2 x 15" LF/2 x 1000W, 2 x 5" MF/400W, 1" HF/250W. Remote RAM-XL Amp. (Includes one GLM User Kit per pair) **Built to order - contact us for lead time.</t>
  </si>
  <si>
    <t>1236AP</t>
  </si>
  <si>
    <t>2 x 18" LF/2 x 1000W, 2 x 5" MF/400W, 1" HF/250W. Remote RAM-XL Amp. (Includes one GLM User Kit per pair) **Built to order - contact us for lead time.</t>
  </si>
  <si>
    <t>7350APM</t>
  </si>
  <si>
    <t>8" driver / 150 W. DSP Sub ***For use with 8320 / 8330 systems ONLY***</t>
  </si>
  <si>
    <t>7360APM</t>
  </si>
  <si>
    <t>10" driver / 300W. 7.1 analog XLR Inputs. Single Stereo AES/EBU In/Out connectors.</t>
  </si>
  <si>
    <t>7370AP</t>
  </si>
  <si>
    <t>12" driver / 400W. 7.1 analog XLR Inputs. Single Stereo AES/EBU In/Out connectors.</t>
  </si>
  <si>
    <t>7380AP</t>
  </si>
  <si>
    <t>15" driver / 800W. 7.1 analog XLR Inputs. Single Stereo AES/EBU In/Out connectors.</t>
  </si>
  <si>
    <t>7382AP</t>
  </si>
  <si>
    <t>3 x 15" drivers / 2500W. 2.1 analog XLR Inputs. Single Stereo AES/EBU In/Out.</t>
  </si>
  <si>
    <t>8320 Stereo SAM</t>
  </si>
  <si>
    <t>Two 8320APMs &amp; GLM V2.0 User Kit with Volume Control.</t>
  </si>
  <si>
    <t>8320.LSE™ Tri SAM</t>
  </si>
  <si>
    <t>Two 8320APMs, One 7350A Subwoofer &amp; GLM V2.0 User Kit with Volume Control.</t>
  </si>
  <si>
    <t>8320.LSE™ Surround SAM</t>
  </si>
  <si>
    <t>Five 8320APMs, One 7350A Subwoofer &amp; GLM V2.0 User Kit with Volume Control.</t>
  </si>
  <si>
    <t>8330 Stereo SAM</t>
  </si>
  <si>
    <t>Two 8330APMs &amp; GLM V2.0 User Kit with Volume Control.</t>
  </si>
  <si>
    <t>8330.LSE™ Triple SAM</t>
  </si>
  <si>
    <t>Two 8330APMs, One 7350A Subwoofer &amp; GLM V2.0 User Kit with Volume Control.</t>
  </si>
  <si>
    <t>8330.LSE™ Surround SAM</t>
  </si>
  <si>
    <t>Five 8330APMs, One 7360A Subwoofer &amp; GLM V2.0 User Kit with Volume Control.</t>
  </si>
  <si>
    <t>8300-601</t>
  </si>
  <si>
    <t>GLM™ Genelec Loudspeaker Manager User Kit - Supports GLM V2 &amp; V3 Software.</t>
  </si>
  <si>
    <t>9310AM</t>
  </si>
  <si>
    <t>Rotary Volume Control for GLM User Kit.</t>
  </si>
  <si>
    <t>9101AM-B</t>
  </si>
  <si>
    <t>New - Wireless Volume Control for GLM User Kit. Black.</t>
  </si>
  <si>
    <t>9101AW-B</t>
  </si>
  <si>
    <t>New - Wireless Volume Control for GLM User Kit. White.</t>
  </si>
  <si>
    <t>9301A</t>
  </si>
  <si>
    <t>Multichannel Interface -Expands number of AES/EBU channels for 7300 Subwoofers.</t>
  </si>
  <si>
    <t>MAI-0137</t>
  </si>
  <si>
    <t>GLM Control Hub</t>
  </si>
  <si>
    <t>S-MX1E-R-SDI1-CPK</t>
  </si>
  <si>
    <t>Makito X1 Rugged SDI Encoder Appliance Kit ; Terminated break-out cable set (3 cables for bench testing) from rugged mating connectors to commercial grade connectors ; bench power supply +5 VDC / 15 W with mating rugged power connector from 90-240 VAC; 120 day delivery ARO</t>
  </si>
  <si>
    <t>B-MX4E-SDI4</t>
  </si>
  <si>
    <t>Makito X4 SDI Encoder Blade - H.264/AVC &amp; H.265/HEVC IP Video Encoder – Quad channel 3G/HD/SD-SDI</t>
  </si>
  <si>
    <t>S-MX4E-SDI4</t>
  </si>
  <si>
    <t>Makito X4 SDI Encoder Appliance - H.264/AVC &amp; H.265/HEVC IP Video Encoder – Quad channel 3G/HD/SD-SDI</t>
  </si>
  <si>
    <t>B-MX4E-SDI4-UHD</t>
  </si>
  <si>
    <t>Makito X4 SDI Encoder Blade - H.264/AVC &amp; H.265/HEVC IP Video Encoder – Single channel 6/12G-SDI or Quad channel 3G/HD/SD-SDI</t>
  </si>
  <si>
    <t>S-MX4E-SDI4-UHD</t>
  </si>
  <si>
    <t>Makito X4 SDI Encoder Appliance - H.264/AVC &amp; H.265/HEVC IP Video Encoder – Single channel 6/12G-SDI or Quad channel 3G/HD/SD-SDI</t>
  </si>
  <si>
    <t>SWO-MX4E-UHD</t>
  </si>
  <si>
    <t>Option supporting up to UHDp60 (3840x2160p60) resolution for the Makito X4 Encoder</t>
  </si>
  <si>
    <t>S-292E-SDI1-HEVC</t>
  </si>
  <si>
    <t>Makito X with HEVC Single Channel SDI Encoder Appliance - H.264 High / HEVC Main Profile Single Channel IP Video Encoder – Single 3G/HD/SD-SDI or Composite input; up to 1080p60 HD Video; 32 kbps to 25 Mbps; 16 channel AES digital / 2 channel analog audio input ; 1 channel audio output ; 10/100/1000 Ethernet; 12 VDC w/ 90-240 VAC External Power with Locking Connector.</t>
  </si>
  <si>
    <t>B-292E-SDI1-HEVC</t>
  </si>
  <si>
    <t>Makito X with HEVC Single Channel SDI Encoder Blade - H.264 High / HEVC Main Profile Single Channel IP Video Encoder – Single 3G/HD/SD-SDI or Composite input; up to 1080p60 HD Video; 32 kbps to 25 Mbps; 16 channel AES digital / 2 channel analog audio input; 1 channel audio output ; 10/100/1000 Ethernet; 12 VDC; Chassis Required.</t>
  </si>
  <si>
    <t>S-292E-SDI2-HEVC</t>
  </si>
  <si>
    <t>Makito X with HEVC Dual Channel SDI Encoder Appliance - H.264 High / HEVC Main Profile Dual Channel IP Video Encoder – Dual 3G/HD/SD-SDI or Composite input; up to 1080p60 HD Video; 32 kbps to 25 Mbps; 16 channel AES digital / 2 channel analog audio input ; 1 channel audio output ; 10/100/1000 Ethernet; 12 VDC w/ 90-240 VAC External Power with Locking Connector.</t>
  </si>
  <si>
    <t>B-292E-SDI2-HEVC</t>
  </si>
  <si>
    <t>Makito X with HEVC Dual Channel SDI Encoder Blade - H.264 High / HEVC Main Profile Dual Channel IP Video Encoder – Dual 3G/HD/SD-SDI or Composite input; up to 1080p60 HD Video; 32 kbps to 25 Mbps; 16 channel AES digital / 2 channel analog audio input ; 1 channel audio output ; 10/100/1000 Ethernet; 12 VDC; Chassis Required.</t>
  </si>
  <si>
    <t>S-292E-HDSDI1</t>
  </si>
  <si>
    <t>Makito X Single SDI Encoder Appliance - H.264 High Profile SIngle Channel IP Video Encoder with SRT – Single 3G/HD/SD-SDI or Composite input; up to 1080p60 HD Video; 32 kbps to 25 Mbps; 16 channel AES digital / 2 channel analog audio input, 1 channel audio output ; 10/100/1000 Ethernet; 12 VDC w/ 90-240 VAC External Power with Locking Connector.</t>
  </si>
  <si>
    <t>B-292E-HDSDI1</t>
  </si>
  <si>
    <t>Makito X Single SDI Encoder Blade - H.264 High Profile Single Channel IP Video Encoder with SRT – Single 3G/HD/SD-SDI or Composite input; up to 1080p60 HD Video; 32 kbps to 25 Mbps; 16 channel AES digital / 2 channel analog audio input; 1 channel audio output ; 10/100/1000 Ethernet; 12 VDC; Chassis Required</t>
  </si>
  <si>
    <t>S-292E-HDSDI2</t>
  </si>
  <si>
    <t>Makito X Dual SDI Encoder Appliance - H.264 High Profile Dual Channel IP Video Encoder with SRT – Dual 3G/HD/SD-SDI or Composite input; up to 1080p60 HD Video; 32 kbps to 25 Mbps; 16 channel AES digital / 2 channel analog audio input, 1 channel audio output ; 10/100/1000 Ethernet; 12 VDC w/ 90-240 VAC External Power with Locking Connector.</t>
  </si>
  <si>
    <t>B-292E-HDSDI2</t>
  </si>
  <si>
    <t>Makito X Dual SDI Encoder Blade - H.264 High Profile Dual Channel IP Video Encoder with SRT – Dual 3G/HD/SD-SDI or Composite input; up to 1080p60 HD Video; 32 kbps to 25 Mbps; 16 channel AES digital / 2 channel analog audio input, 1 channel audio output ; 10/100/1000 Ethernet; 12 VDC; Chassis Required</t>
  </si>
  <si>
    <t>S-292E-DVI</t>
  </si>
  <si>
    <t>Makito X Single DVI Encoder Appliance - H.264 High Profile SIngle Channel IP Video Encoder with SRT – Single DVI-I input; up to 1920x1200 Video; 32 kbps to 25 Mbps; 2 channel DVI digital / 2 channel analog audio input, 1 channel audio output ; 10/100/1000 Ethernet; 12 VDC w/ 90-240 VAC External Power with Locking Connector.</t>
  </si>
  <si>
    <t>B-292E-DVI</t>
  </si>
  <si>
    <t>Makito X Single DVI Encoder Blade - H.264 High Profile Single Channel IP Video Encoder with SRT – Single DVI-I input; up to 1920x1200 Video; 32 kbps to 25 Mbps; 2 channel DVI digital / 2 channel analog audio input, 1 channel audio output ; 10/100/1000 Ethernet; 12 VDC; Chassis Required</t>
  </si>
  <si>
    <t>S-292E-X1H</t>
  </si>
  <si>
    <t>Makito X Single SDI Encoder Appliance for Hot/Harsh Environments - H.264 High Profile Single Channel IP Video Encoder with SRT – Single 3G/HD/SD-SDI or Composite input; up to 1080p60 HD Video; 32 kbps to 25 Mbps; 16 channel AES digital / 2 channel analog audio input, 1 channel audio output ; 10/100/1000 Ethernet; 12 VDC w/ 90-240 VAC External Power with Locking Connector.</t>
  </si>
  <si>
    <t>S-292E-X2H</t>
  </si>
  <si>
    <t>Makito X Dual SDI Encoder Appliance for Hot/Harsh Environments - H.264 High Profile Dual Channel IP Video Encoder with SRT – Dual 3G/HD/SD-SDI or Composite input; up to 1080p60 HD Video; 32 kbps to 25 Mbps; 16 channel AES digital / 2 channel analog audio input, 1 channel audio output ; 10/100/1000 Ethernet; 12 VDC w/ 90-240 VAC External Power with Locking Connector.</t>
  </si>
  <si>
    <t>S-292E-DVI-H</t>
  </si>
  <si>
    <t>Makito X Single Channel DVI Encoder Appliance for Harsh Environments - H.264 High Profile Single Channel IP Video Encoder – Single DVI-I input; up to 1920x1200 Video; 32 kbps to 25 Mbps; 2 channel DVI digital audio / 2 channel analog audio input ; 1 channel audio output ; 10/100/1000 Ethernet; 12 VDC w/ 90-240 VAC External Power with Locking Connector; 0-70C</t>
  </si>
  <si>
    <t>S-292E-SDI1-FS</t>
  </si>
  <si>
    <t>Makito X Single Channel SDI Encoder Appliance with Fixed Storage - H.264 High Profile Single Channel IP Video Encoder – Single 3G/HD/SD-SDI or Composite input; up to 1080p60 HD Video; 32 kbps to 25 Mbps; 16 channel AES digital / 2 channel analog audio input ; 1 channel audio output ; Fixed 250 GB mSATA SSD storage ; SD card ; USB 2.0 ; 10/100/1000 Ethernet; 12 VDC w/ 90-240 VAC External Power with Locking Connector.</t>
  </si>
  <si>
    <t>B-292E-SDI1-FS</t>
  </si>
  <si>
    <t>Makito X Single Channel SDI Encoder Blade with Fixed Storage - H.264 High Profile Single Channel IP Video Encoder – Single 3G/HD/SD-SDI or Composite input; up to 1080p60 HD Video; 32 kbps to 25 Mbps; 16 channel AES digital / 2 channel analog audio input; 1 channel audio output ; Fixed 250 GB mSATA SSD storage ; SD card ; USB 2.0 ; 10/100/1000 Ethernet; 12 VDC; Chassis Required</t>
  </si>
  <si>
    <t>S-292E-SDI2-FS</t>
  </si>
  <si>
    <t>Makito X Dual Channel SDI Encoder Appliance with Fixed Storage - H.264 High Profile Dual Channel IP Video Encoder – Dual 3G/HD/SD-SDI or Composite input; up to 1080p60 HD Video; 32 kbps to 25 Mbps; 16 channel AES digital / 2 channel analog audio input ; 1 channel audio output ; Fixed 250 GB mSATA SSD storage ; SD card ; USB 2.0 ; 10/100/1000 Ethernet; 12 VDC w/ 90-240 VAC External Power with Locking Connector.</t>
  </si>
  <si>
    <t>B-292E-SDI2-FS</t>
  </si>
  <si>
    <t>Makito X Dual Channel SDI Encoder Blade with Fixed Storage - H.264 High Profile Dual Channel IP Video Encoder – Dual 3G/HD/SD-SDI or Composite input; up to 1080p60 HD Video; 32 kbps to 25 Mbps; 16 channel AES digital / 2 channel analog audio input ; 1 channel audio output ; Fixed 250 GB mSATA SSD storage ; SD card ; USB 2.0 ; 10/100/1000 Ethernet; 12 VDC; Chassis Required</t>
  </si>
  <si>
    <t>S-292E-DVI-FS</t>
  </si>
  <si>
    <t>Makito X Single Channel DVI Encoder Appliance with Fixed Storage - H.264 High Profile Single Channel IP Video Encoder – Single DVI-I input; up to 1920x1200 Video; 32 kbps to 25 Mbps; 2 channel DVI digital / 2 channel analog audio input ; 1 channel audio output ; Fixed 250 GB mSATA SSD storage ; SD card ; USB 2.0 ; 10/100/1000 Ethernet; 12 VDC w/ 90-240 VAC External Power with Locking Connector.</t>
  </si>
  <si>
    <t>B-292E-DVI-FS</t>
  </si>
  <si>
    <t>Makito X Single Channel DVI Encoder Blade with Fixed Storage - H.264 High Profile Single Channel IP Video Encoder – Single DVI-I input; up to 1920x1200 Video; 32 kbps to 25 Mbps; 2 channel DVI digital / 2 channel analog audio input ; 1 channel audio output ; Fixed 250 GB mSATA SSD storage ; SD card ; USB 2.0 ; 10/100/1000 Ethernet; 12 VDC; Chassis Required</t>
  </si>
  <si>
    <t>S-292E-SDI1-RS</t>
  </si>
  <si>
    <t>Makito X Single Channel SDI Encoder Appliance with Removable Storage - H.264 High Profile Single Channel IP Video Encoder – Single 3G/HD/SD-SDI or Composite input; up to 1080p60 HD Video; 32 kbps to 25 Mbps; 16 channel AES digital / 2 channel analog audio input ; 1 channel audio output ; Removable 250 GB 2.5" SATA SSD storage ; 10/100/1000 Ethernet; 12 VDC w/ 90-240 VAC External Power with Locking Connector.</t>
  </si>
  <si>
    <t>B-292E-SDI1-RS</t>
  </si>
  <si>
    <t>Makito X Single Channel SDI Encoder Blade with Removable Storage - H.264 High Profile Single Channel IP Video Encoder – Single 3G/HD/SD-SDI or Composite input; up to 1080p60 HD Video; 32 kbps to 25 Mbps; 16 channel AES digital / 2 channel analog audio input; 1 channel audio output ; Removable 250 GB 2.5" SATA SSD storage ; 10/100/1000 Ethernet; 12 VDC; Chassis Required</t>
  </si>
  <si>
    <t>S-292E-SDI2-RS</t>
  </si>
  <si>
    <t>Makito X Dual Channel SDI Encoder Appliance with Removable Storage - H.264 High Profile Dual Channel IP Video Encoder – Dual 3G/HD/SD-SDI or Composite input; up to 1080p60 HD Video; 32 kbps to 25 Mbps; 16 channel AES digital / 2 channel analog audio input ; 1 channel audio output ; Removable 250 GB 2.5" SATA SSD storage ; 10/100/1000 Ethernet; 12 VDC w/ 90-240 VAC External Power with Locking Connector.</t>
  </si>
  <si>
    <t>B-292E-SDI2-RS</t>
  </si>
  <si>
    <t>Makito X Dual Channel SDI Encoder Blade with Removable Storage - H.264 High Profile Dual Channel IP Video Encoder – Dual 3G/HD/SD-SDI or Composite input; up to 1080p60 HD Video; 32 kbps to 25 Mbps; 16 channel AES digital / 2 channel analog audio input ; 1 channel audio output ; Removable 250 GB 2.5" SATA SSD storage ; 10/100/1000 Ethernet; 12 VDC; Chassis Required</t>
  </si>
  <si>
    <t>S-292E-DVI-RS</t>
  </si>
  <si>
    <t>Makito X Single Channel DVI Encoder Appliance with Removable Storage - H.264 High Profile Single Channel IP Video Encoder – Single DVI-I input; up to 1920x1200 Video; 32 kbps to 25 Mbps; 2 channel DVI digital / 2 channel analog audio input ; 1 channel audio output ; Removable 250 GB 2.5" SATA SDD storage ; 10/100/1000 Ethernet; 12 VDC w/ 90-240 VAC External Power with Locking Connector.</t>
  </si>
  <si>
    <t>B-292E-DVI-RS</t>
  </si>
  <si>
    <t>Makito X Single Channel DVI Encoder Blade with Removable Storage - H.264 High Profile Single Channel IP Video Encoder – Single DVI-I input; up to 1920x1200 Video; 32 kbps to 25 Mbps; 2 channel DVI digital / 2 channel analog audio input ; 1 channel audio output ; Removable 250 GB 2.5" SATA SSD storage ; 10/100/1000 Ethernet; 12 VDC; Chassis Required</t>
  </si>
  <si>
    <t>S-MX4D-SDI4</t>
  </si>
  <si>
    <t>Makito X4 SDI Decoder Appliance - HEVC/H.265 &amp; AVC/H.264 IP Video Decoder – Quad channel 3G/HD/SD-SDI; up to 1920x1080p60 video; 16 channel AES digital audio ; 10/100/1000 Ethernet.</t>
  </si>
  <si>
    <t>B-MX4D-SDI4</t>
  </si>
  <si>
    <t>Makito X4 SDI Decoder Blade - HEVC/H.265 &amp; AVC/H.264 IP Video Decoder – Quad channel 3G/HD/SD-SDI; up to 1920x1080p60 video; 16 channel AES digital audio ; 10/100/1000 Ethernet; 12 VDC; Chassis Required.</t>
  </si>
  <si>
    <t>S-MX4D-SDI4-UHD</t>
  </si>
  <si>
    <t>Makito X4 UHD SDI Decoder Appliance - HEVC/H.265 &amp; AVC/H.264 IP Video Decoder – Single channel UHD or Quad channel 3G/HD/SD-SDI; up to 3840x2160p60 video; 16 channel AES digital audio ; 10/100/1000 Ethernet.</t>
  </si>
  <si>
    <t>B-MX4D-SDI4-UHD</t>
  </si>
  <si>
    <t>Makito X4 UHD SDI Decoder Blade - HEVC/H.265 &amp; AVC/H.264 IP Video Decoder – Single channel UHD or Quad channel 3G/HD/SD-SDI; up to 3840x2160p60 video; 16 channel AES digital audio ; 10/100/1000 Ethernet; 12 VDC; Chassis Required.</t>
  </si>
  <si>
    <t>SWO-MX4D-UHD</t>
  </si>
  <si>
    <t xml:space="preserve">	Option supporting up to UHDp60 (3840x2160p60) resolution for the Makito X4 Decoder</t>
  </si>
  <si>
    <t>S-292D-HD1</t>
  </si>
  <si>
    <t>Makito X Single Channel Decoder Appliance - HD/SD H.264 IP Video Decoder – HDMI and 3G/HD/SD-SDI output; 16 channel SDI embedded and 2 channel analog audio output.</t>
  </si>
  <si>
    <t>B-292D-HD1</t>
  </si>
  <si>
    <t>Makito X Single Channel Decoder Blade - HD/SD H.264 IP Video Decoder – HDMI and 3G/HD/SD-SDI output; 16 channel SDI embedded and 2 channel analog audio output; Chassis Required</t>
  </si>
  <si>
    <t>S-292D-HD2</t>
  </si>
  <si>
    <t>Makito X Dual Decoder Appliance - Dual HD/SD H.264 IP Video Decoder with SRT – HDMI and 2 x 3G/HD/SD-SDI output; up to 1080p60 HD Video or up to 1920x1200 60Hz Computer; 32 kbps to 25 Mbps; 16 channel SDI embedded and 2 channel analog audio output; 10/100/1000 Ethernet; 12 VDC w/ 90-240 VAC External Power with Locking Connector</t>
  </si>
  <si>
    <t>B-292D-HD2</t>
  </si>
  <si>
    <t>Makito X Dual Decoder Blade - Dual HD/SD H.264 IP Video Decoder with SRT – HDMI and 2 x 3G/HD/SD-SDI output; up to 1080p60 HD Video or up to 1920x1200 60Hz Computer; 32 kbps to 25 Mbps; 16 channel SDI embedded and 2 channel analog audio output; 10/100/1000 Ethernet; 12 VDC; Chassis Required.</t>
  </si>
  <si>
    <t>S-292D-X1H</t>
  </si>
  <si>
    <t>Makito X Single Channel Decoder Appliance for Harsh Environments - HD/SD H.264 IP Video Decoder – HDMI and 3G/HD/SD-SDI output; up to 1080p60 HD Video or up to 1920x1200 60Hz Computer; 32 kbps to 25 Mbps; 16 channel SDI embedded and 2 channel analog audio output; 10/100/1000 Ethernet; 12 VDC w/ 90-240 VAC External Power with Locking Connector; -20 to +70C; 30 day delivery ARO</t>
  </si>
  <si>
    <t>S-292D-X2H</t>
  </si>
  <si>
    <t>Makito X Dual Channel Decoder Appliance for Harsh Environment - HD/SD H.264 IP Video Decoder – HDMI and 3G/HD/SD-SDI output; up to 1080p60 HD Video or up to 1920x1200 60Hz Computer; 32 kbps to 25 Mbps; 16 channel SDI embedded and 2 channel analog audio output; 10/100/1000 Ethernet; 12 VDC w/ 90-240 VAC External Power with Locking Connector; 0-70C.</t>
  </si>
  <si>
    <t>S-292D-HD1-HEVC</t>
  </si>
  <si>
    <t>Makito X HEVC Single Channel Decoder Double Height Appliance - HD/SD H.264/HEVC IP Video Decoder – HDMI and 3G/HD/SD-SDI output; up to 1080p60 HD Video; 16 channel SDI embedded and 2 channel analog audio output;10/100/1000 Ethernet; 12 VDC w/ 90-240 VAC External Power with Locking Connector</t>
  </si>
  <si>
    <t>B-292D-HD1-HEVC</t>
  </si>
  <si>
    <t>Makito X HEVC Single Channel Decoder Double Height Blade - HD/SD H.264/HEVC IP Video Decoder – HDMI and 3G/HD/SD-SDI output; up to 1080p60 HD Video; 16 channel SDI embedded and 2 channel analog audio output; 10/100/1000 Ethernet; 12 VDC ; Chassis Required</t>
  </si>
  <si>
    <t>S-292D-HD2-HEVC</t>
  </si>
  <si>
    <t>Makito X HEVC Dual Channel Decoder Double Height Appliance - HD/SD H.264/HEVC IP Video Decoder – HDMI and 3G/HD/SD-SDI output; up to 1080p60 HD Video; 16 channel SDI embedded and 2 channel analog audio output; 10/100/1000 Ethernet; 12 VDC w/ 90-240 VAC External Power with Locking Connector</t>
  </si>
  <si>
    <t>B-292D-HD2-HEVC</t>
  </si>
  <si>
    <t>Makito X HEVC Dual Channel Decoder Double Height Blade - Dual HD/SD H.264/HEVC IP Video Decoder – HDMI and 2 x 3G/HD/SD-SDI output; up to 1080p60 HD Video; 16 channel SDI embedded and 2 channel analog audio output; 10/100/1000 Ethernet; 12 VDC ; Chassis Required</t>
  </si>
  <si>
    <t>SWO-292D-CH2</t>
  </si>
  <si>
    <t>Upgrade a Makito X single channel decoder to a dual channel decoder</t>
  </si>
  <si>
    <t>F-MB21X-R</t>
  </si>
  <si>
    <t>MB21X - Makito X 21 Slot Chassis - Rackmount 4U Chassis - Up to 21 Makito X +12V mini-blades only, removable fans, station alarm interface, dual redundant AC power supply, 100-240 V; 47-63Hz AC, 600 Watt max. (**Makito Classic and Torpedo Not Supported**)</t>
  </si>
  <si>
    <t>F-MB6X-RAC</t>
  </si>
  <si>
    <t>MB6 - Makito X/Makito/Barracuda/Torpedo2 6 Slot Chassis - Rackmount 1U Chassis - Up to 6 Makito X/Makito/Barracuda/Torpedo2 mini-blades, Dual Redundant AC power supply, 90-264VAC, 47Hz-63Hz, 300 Watt max.</t>
  </si>
  <si>
    <t>F-MB6X-DC</t>
  </si>
  <si>
    <t>MB6 - Makito X/Makito/Barracuda/Torpedo2 6 Slot Chassis - Rackmount 1U Chassis - Up to 6 Makito X/Makito/Barracuda/Torpedo2 mini-blades, Dual Non-redundant DC power supply, 20-36 VDC,300 Watt max.</t>
  </si>
  <si>
    <t>F-MB6X-MED</t>
  </si>
  <si>
    <t>MB6 - Makito X/Makito/Barracuda/Torpedo2 6 Slot Chassis - Rackmount 1U Chassis - Up to 6 Makito X/Makito/Barracuda/Torpedo2 mini-blades, Single Non-redundant Medical grade AC power supply, 90-264VAC, 47Hz-63Hz, 300 Watt max.</t>
  </si>
  <si>
    <t>RU-MB1-1</t>
  </si>
  <si>
    <t>1 RU mounting bracket for one single height mini-blade appliance chassis</t>
  </si>
  <si>
    <t>RU-MB1-2</t>
  </si>
  <si>
    <t>1 RU mounting bracket for two single height mini-blade appliance chassis</t>
  </si>
  <si>
    <t>RU-MB2-1</t>
  </si>
  <si>
    <t>2 RU mounting bracket for one double height mini-blade appliance chassis</t>
  </si>
  <si>
    <t>RU-MB2-2</t>
  </si>
  <si>
    <t>2 RU mounting bracket for two double height mini-blade appliance chassis</t>
  </si>
  <si>
    <t>F-292-1</t>
  </si>
  <si>
    <t>Single Height Makito X Appliance Chassis - For one Makito X Series single height mini-blade, w/ +12V power supply.</t>
  </si>
  <si>
    <t>F-292-2</t>
  </si>
  <si>
    <t>Dual Blade Appliance Chassis - For up to two Makito X single height or one Makito X double height mini-blades w/ +12V/60W power supply.</t>
  </si>
  <si>
    <t>F-MB21X-FAN</t>
  </si>
  <si>
    <t>MB21X - Replacement fan and station alarm unit</t>
  </si>
  <si>
    <t>P-MB21X-PS</t>
  </si>
  <si>
    <t>MB21X - Replacement 100-240 V; 47-63Hz AC power supply unit, 600 W max</t>
  </si>
  <si>
    <t>F-FILLPLATE-1</t>
  </si>
  <si>
    <t>MB2/MB6/MB21 single slot filler plate</t>
  </si>
  <si>
    <t>F-FILLPLATE-2</t>
  </si>
  <si>
    <t>MB2/MB6/MB21 double slot filler plate</t>
  </si>
  <si>
    <t>CA-292-2RTB</t>
  </si>
  <si>
    <t>Makito X Encoder/Decoder Audio Breakout Cable - Unbalanced, mini-DIN-8 to 2 channel RCA Female, with single channel Female RCA for Talk Back</t>
  </si>
  <si>
    <t>CA-292-2XFTB</t>
  </si>
  <si>
    <t>Makito X Encoder Audio Breakout Cable - Balanced, mini-DIN-8 to XLR Female 2 Channel, with single channel Female RCA for Talk Back</t>
  </si>
  <si>
    <t>CA-292-2XMTB</t>
  </si>
  <si>
    <t>Makito X Decoder Audio Breakout Cable - Balanced, mini-DIN-8 to XLR Male 2 Channel, with single channel Female RCA for Talk Back</t>
  </si>
  <si>
    <t>H583-BG</t>
  </si>
  <si>
    <t>H584-BG</t>
  </si>
  <si>
    <t>H585-BG</t>
  </si>
  <si>
    <t>H599-BG</t>
  </si>
  <si>
    <t>AxPD-UT</t>
  </si>
  <si>
    <t>UL Listed, 70V, shallow in-ceiling speaker feat. 4" woofers &amp; 22mm tweeters</t>
  </si>
  <si>
    <t>AxPD-60</t>
  </si>
  <si>
    <t>UL Listed, 70V, in-ceiling speaker featuring 6" woofers &amp; 22mm tweeters</t>
  </si>
  <si>
    <t>AxPD-80</t>
  </si>
  <si>
    <t>UL Listed, 70V, in-ceiling speaker featuring 8" woofers &amp; 22mm tweeters</t>
  </si>
  <si>
    <t>AxPD-UT60-PCB</t>
  </si>
  <si>
    <t>Axis Pre-Construction Bracket for AxPD-UT or AxPD-60</t>
  </si>
  <si>
    <t>AxPD-80-PCB</t>
  </si>
  <si>
    <t>Axis Pre-Construction Bracket for AxPD-80</t>
  </si>
  <si>
    <t>AxPD-UT60-GRL-SQ</t>
  </si>
  <si>
    <t>Square grille for AxPD-UT or AxPD-60</t>
  </si>
  <si>
    <t>AxPD-80-GRL-SQ</t>
  </si>
  <si>
    <t>Square grille for AxPD-80</t>
  </si>
  <si>
    <t>AxPD-TILE</t>
  </si>
  <si>
    <t>Tile bridge for AxPD-UT, AxPD-60 or AxPD-80</t>
  </si>
  <si>
    <t>v400UX</t>
  </si>
  <si>
    <t>In-wall speaker (1) 4" audiophile woofer; (1) 28mm audiophile tweeter</t>
  </si>
  <si>
    <t>v500UX</t>
  </si>
  <si>
    <t>In-wall speaker (1) 5" audiophile woofer; (1) 28mm audiophile tweeter</t>
  </si>
  <si>
    <t>vUltima</t>
  </si>
  <si>
    <t>Reference-grade in-wall speaker (1) 5" reference woofer; (1) 28mm reference tweeter</t>
  </si>
  <si>
    <t>v4-PCB</t>
  </si>
  <si>
    <t>Vault Pre-Construction Bracket for v400UX and v400</t>
  </si>
  <si>
    <t>v5-PCB</t>
  </si>
  <si>
    <t>Vault Pre-Construction Bracket for v500UX and vUltima</t>
  </si>
  <si>
    <t>HI400UX</t>
  </si>
  <si>
    <t>Horizon Interactive: Two-Channel Soundbar with Integrated Space for PTZ Cameras</t>
  </si>
  <si>
    <t>HI400UX-OS</t>
  </si>
  <si>
    <t>HI500UX</t>
  </si>
  <si>
    <t>HI500UX-OS</t>
  </si>
  <si>
    <t>HI-Ultima</t>
  </si>
  <si>
    <t>HI-Ultima-OS</t>
  </si>
  <si>
    <t>HI-CAM</t>
  </si>
  <si>
    <t>HI-CAM-OS</t>
  </si>
  <si>
    <t>HI400UX-MD</t>
  </si>
  <si>
    <t>Horizon Interactive for Multi-Displays: Two-Channel Soundbar with Integrated Space for PTZ Cameras</t>
  </si>
  <si>
    <t>HI500UX-MD</t>
  </si>
  <si>
    <t>HI-Ultima-MD</t>
  </si>
  <si>
    <t>HI-CAM-MD</t>
  </si>
  <si>
    <t>(4) 3" woofers; (3) 28mm tweeters</t>
  </si>
  <si>
    <t>(6) 3" woofers; (3) 28mm tweeters; For TVs 75"+ diag.</t>
  </si>
  <si>
    <t>HzUMB</t>
  </si>
  <si>
    <t>UnderMount Bracket: Mounts any Horizon or Horizon Ultra-Thin speaker directly below TV</t>
  </si>
  <si>
    <t>HzOMB</t>
  </si>
  <si>
    <t>OverMount Bracket: Mounts any Horizon or Horizon Ultra-Thin speaker directly above TV</t>
  </si>
  <si>
    <t>HzUMB-OS</t>
  </si>
  <si>
    <t>UnderMount Bracket for over-sized speakers: Mounts Horizon speakers directly below 85"+ TVs</t>
  </si>
  <si>
    <t>HzOMB-OS</t>
  </si>
  <si>
    <t>OverMount Bracket for over-sized speakers: Mounts Horizon speaker directly above 85"+ TVs</t>
  </si>
  <si>
    <t>HzMMB</t>
  </si>
  <si>
    <t>MatchMount Bracket: Adjustable bracket mounts Horizon speakers directly to wall</t>
  </si>
  <si>
    <t>HzMMB-2X</t>
  </si>
  <si>
    <t>MatchMount Bracket: 2 Adjustable brackets mount Horizon designed for dual displays directly to the wall</t>
  </si>
  <si>
    <t>HzMMB-UT</t>
  </si>
  <si>
    <t>MatchMount Bracket: Ultra-thin, adjustable bracket mounts Horizon UT speakers directly to wall</t>
  </si>
  <si>
    <t>HzMMB-UT-2X</t>
  </si>
  <si>
    <t>MatchMount Bracket: 2 Ultra-thin, adjustable brackets mount Horizon designed for dual displays directly to the wall</t>
  </si>
  <si>
    <t>HzFLSH</t>
  </si>
  <si>
    <t>FlushMount Bracket: Wall mount bracket to mount speakers under 1/8" off wall</t>
  </si>
  <si>
    <t>LA-430</t>
  </si>
  <si>
    <t>Ear Phone/Neck Loop Lanyard</t>
  </si>
  <si>
    <t>LA-342</t>
  </si>
  <si>
    <t>Stationary IR Dual Radiator Mounting Bracket</t>
  </si>
  <si>
    <t>LA-140-GY/WH</t>
  </si>
  <si>
    <t>ListenIR Radiator (For LT-82) (GY= Grey WH = White)</t>
  </si>
  <si>
    <t>LR-4200-IR</t>
  </si>
  <si>
    <t>Intelligent DSP IR Receiver</t>
  </si>
  <si>
    <t>LA-381-01</t>
  </si>
  <si>
    <t>Advanced Intelligent 12-Unit Charging Tray</t>
  </si>
  <si>
    <t>LT-82-01</t>
  </si>
  <si>
    <t>ListenIR 1-Channel Transmitter</t>
  </si>
  <si>
    <t>LA-402</t>
  </si>
  <si>
    <t>Universal Stereo Headphones</t>
  </si>
  <si>
    <t>LA-405</t>
  </si>
  <si>
    <t>Universal Stereo Ear Buds</t>
  </si>
  <si>
    <t>LA-432</t>
  </si>
  <si>
    <t>Replacement Leatherette Cushions for Stereo Headphones</t>
  </si>
  <si>
    <t>SP-8000-E1</t>
  </si>
  <si>
    <t>Solstice Pod Gen3 Unlimited Enterprise with 1 year Solstice Subscription</t>
  </si>
  <si>
    <t>SP-8000-E2</t>
  </si>
  <si>
    <t>Solstice Pod Gen3 Unlimited Enterprise with 2 year Solstice Subscription</t>
  </si>
  <si>
    <t>SP-8000-E3</t>
  </si>
  <si>
    <t>Solstice Pod Gen3 Unlimited Enterprise with 3 year Solstice Subscription</t>
  </si>
  <si>
    <t>SP-8000-E4</t>
  </si>
  <si>
    <t>Solstice Pod Gen3 Unlimited Enterprise with 4 year Solstice Subscription</t>
  </si>
  <si>
    <t>SP-8000-E5</t>
  </si>
  <si>
    <t>Solstice Pod Gen3 Unlimited Enterprise with 5 year Solstice Subscription</t>
  </si>
  <si>
    <t>SP-8100-E1</t>
  </si>
  <si>
    <t>Solstice Pod Gen3 SGE Enterprise with 1 year Solstice Subscription</t>
  </si>
  <si>
    <t>SP-8100-E2</t>
  </si>
  <si>
    <t>Solstice Pod Gen3 SGE Enterprise with 2 year Solstice Subscription</t>
  </si>
  <si>
    <t>SP-8100-E3</t>
  </si>
  <si>
    <t>Solstice Pod Gen3 SGE Enterprise with 3 year Solstice Subscription</t>
  </si>
  <si>
    <t>SP-8100-E4</t>
  </si>
  <si>
    <t>Solstice Pod Gen3 SGE Enterprise with 4 year Solstice Subscription</t>
  </si>
  <si>
    <t>SP-8100-E5</t>
  </si>
  <si>
    <t>Solstice Pod Gen3 SGE Enterprise with 5 year Solstice Subscription</t>
  </si>
  <si>
    <t>SM-801-UPE</t>
  </si>
  <si>
    <t>Gen3 Unlimited Enterprise extended Solstice Subscription - 1 year</t>
  </si>
  <si>
    <t>SM-802-UPE</t>
  </si>
  <si>
    <t>Gen3 Unlimited Enterprise extended Solstice Subscription - 2 years</t>
  </si>
  <si>
    <t>SM-803-UPE</t>
  </si>
  <si>
    <t>Gen3 Unlimited Enterprise extended Solstice Subscription - 3 years</t>
  </si>
  <si>
    <t>SM-804-UPE</t>
  </si>
  <si>
    <t>Gen3 Unlimited Enterprise extended Solstice Subscription - 4 years</t>
  </si>
  <si>
    <t>SM-801-SPE</t>
  </si>
  <si>
    <t>Gen3 SGE Enterprise extended Solstice Subscription - 1 year</t>
  </si>
  <si>
    <t>SM-802-SPE</t>
  </si>
  <si>
    <t>Gen3 SGE Enterprise extended Solstice Subscription - 2 years</t>
  </si>
  <si>
    <t>SM-803-SPE</t>
  </si>
  <si>
    <t>Gen3 SGE Enterprise extended Solstice Subscription - 3 years</t>
  </si>
  <si>
    <t>SM-804-SPE</t>
  </si>
  <si>
    <t>Gen3 SGE Enterprise extended Solstice Subscription - 4 years</t>
  </si>
  <si>
    <t>SP-8201-E</t>
  </si>
  <si>
    <t>Unlimited Upgrade for Enterprise Pod Gen3</t>
  </si>
  <si>
    <t>SP-8301-E</t>
  </si>
  <si>
    <t>Solstice Pod Gen3 Power Supply</t>
  </si>
  <si>
    <t>SP-8302-E</t>
  </si>
  <si>
    <t>HDMI  3FT</t>
  </si>
  <si>
    <t>SP-8000-E1-AL</t>
  </si>
  <si>
    <t>Solstice Pod Gen3 Unlimited with 1 year Active Learning Subscription</t>
  </si>
  <si>
    <t>SP-8000-E2-AL</t>
  </si>
  <si>
    <t>Solstice Pod Gen3 Unlimited with 2 years Active Learning Subscription</t>
  </si>
  <si>
    <t>SP-8000-E3-AL</t>
  </si>
  <si>
    <t>Solstice Pod Gen3 Unlimited with 3 years Active Learning Subscription</t>
  </si>
  <si>
    <t>SP-8000-E4-AL</t>
  </si>
  <si>
    <t>Solstice Pod Gen3 Unlimited with 4 years Active Learning Subscription</t>
  </si>
  <si>
    <t>SP-8000-E5-AL</t>
  </si>
  <si>
    <t>Solstice Pod Gen3 Unlimited with 5 years Active Learning Subscription</t>
  </si>
  <si>
    <t>SP-8100-E1-AL</t>
  </si>
  <si>
    <t>Solstice Pod Gen3 SGE with 1 year Active Learning Subscription</t>
  </si>
  <si>
    <t>SP-8100-E2-AL</t>
  </si>
  <si>
    <t>Solstice Pod Gen3 SGE with 2 years Active Learning Subscription</t>
  </si>
  <si>
    <t>SP-8100-E3-AL</t>
  </si>
  <si>
    <t>Solstice Pod Gen3 SGE with 3 years Active Learning Subscription</t>
  </si>
  <si>
    <t>SP-8100-E4-AL</t>
  </si>
  <si>
    <t>Solstice Pod Gen3 SGE with 4 years Active Learning Subscription</t>
  </si>
  <si>
    <t>SP-8100-E5-AL</t>
  </si>
  <si>
    <t>Solstice Pod Gen3 SGE with 5 years Active Learning Subscription</t>
  </si>
  <si>
    <t>TBD</t>
  </si>
  <si>
    <t>2200-69370-001</t>
  </si>
  <si>
    <t>Poly Studio P15, Open Ecosystem, 4K Camera, Integrated Speaker, 3 x Mic; (1) USB 3.0 Type C to Type C, 1.5m; Power:Amer-Type B,NEMA 5-15.</t>
  </si>
  <si>
    <t>7200-85830-001</t>
  </si>
  <si>
    <t>Polycom Studio: Audio/Video USB Soundbar, with auto-track 120-deg FOV 4K Camera, USB stereo speakerphone, BT speakerphone, Wi-Fi device management, remote, Cable: 5m USB Type-A to Type-C, Power: AMER-Type B, NEMA 5-15</t>
  </si>
  <si>
    <t>2200-85898-001</t>
  </si>
  <si>
    <t>Polycom Studio replacement wall mounting kit. Includes: Metal wall bracket, 4 * anchors and screws, 2 * 4 cable ties</t>
  </si>
  <si>
    <t>7230-86040-001</t>
  </si>
  <si>
    <t>Polycom Studio Display Mounting Kit, holds the STUDIO above or below a monitor (fit to VESA mounting patterns from 100mm x 100mm to 600mm x 600mm)</t>
  </si>
  <si>
    <t>AD-C4T-LP</t>
  </si>
  <si>
    <t>MP-A80V</t>
  </si>
  <si>
    <t>SPA2-60</t>
  </si>
  <si>
    <t>SX28</t>
  </si>
  <si>
    <t>SX112</t>
  </si>
  <si>
    <t>SX118</t>
  </si>
  <si>
    <t>Thin Offset Plate for Wallmate 16B</t>
  </si>
  <si>
    <t>RPWM-32B-PM</t>
  </si>
  <si>
    <t>Wallmate 32B large Peripheral Plate</t>
  </si>
  <si>
    <t>RPWM-AUXBOX</t>
  </si>
  <si>
    <t>Auxiliary box</t>
  </si>
  <si>
    <t>RPWM-EUPWR</t>
  </si>
  <si>
    <t>European Power Adapter plate</t>
  </si>
  <si>
    <t>RPWM-TILT</t>
  </si>
  <si>
    <t>Wallmate B tilt brackets</t>
  </si>
  <si>
    <t>T-Up: Wall attach swing up mount</t>
  </si>
  <si>
    <t>T-Up Large: Wall attach swing up mount</t>
  </si>
  <si>
    <t xml:space="preserve">UC Bracket </t>
  </si>
  <si>
    <t>UC attach bracket for Universal Mount Assembly</t>
  </si>
  <si>
    <t xml:space="preserve">Universal Mount Assembly </t>
  </si>
  <si>
    <t>RPWM-UNV64-C4422</t>
  </si>
  <si>
    <t>VESA Converter</t>
  </si>
  <si>
    <t>E328</t>
  </si>
  <si>
    <t>32” LED Public Display Monitor with built-in ATSC (8-VSB, Clear-QAM)/NTSC tuner.  1920 x 1080 native resolution, HDMI x3, VGA, Shared Composite/Component, Intuitive Joystick, ON/OFF Scheduler, USB Media Player, USB-C Power Delivery, CEC, Integrated 5W x 2 Speakers, Wake On HDMI Functionality, RS-232C / LAN Control, 3 Year Warranty.  Tabletop Stand not included (ST-32E2)</t>
  </si>
  <si>
    <t>E438</t>
  </si>
  <si>
    <t>43” LED Public Display Monitor with built-in ATSC (8-VSB, Clear-QAM)/NTSC tuner.  3840 x 2160 native resolution (4K / UHD), HDMI 2.0 x3, VGA, Shared Composite/Component, Intuitive Joystick, ON/OFF Scheduler, USB Media Player, USB-C Power Delivery, CEC, Integrated 10W x 2 Speakers, Wake On HDMI Functionality, RS-232C / LAN Control, 3 Year Warranty.  Tabletop Stand not included (ST-32E2)</t>
  </si>
  <si>
    <t>E498</t>
  </si>
  <si>
    <t>49” LED Public Display Monitor with built-in ATSC (8-VSB, Clear-QAM)/NTSC tuner.  3840 x 2160 native resolution (4K / UHD), HDMI 2.0 x3, VGA, Shared Composite/Component, Intuitive Joystick ON/OFF Scheduler, USB Media Player, USB-C Power Delivery, CEC, Integrated 10W x 2 Speakers, Wake On HDMI Functionality, RS-232C / LAN Control, 3 Year Warranty.  Tabletop Stand not included (ST-32E2)</t>
  </si>
  <si>
    <t>E558</t>
  </si>
  <si>
    <t>55” LED Public Display Monitor with built-in ATSC (8-VSB, Clear-QAM)/NTSC tuner.  3840 x 2160 native resolution (4K / UHD), HDMI 2.0 x3, VGA, Shared Composite/Component, Intuitive Joystick ON/OFF Scheduler, USB Media Player, USB-C Power Delivery, CEC, Integrated 10W x 2 Speakers, Wake On HDMI Functionality, RS-232C / LAN Control, 3 Year Warranty.  Tabletop Stand not included (ST-55E)</t>
  </si>
  <si>
    <t>E658</t>
  </si>
  <si>
    <t>65” LED Public Display Monitor with built-in ATSC (8-VSB, Clear-QAM)/NTSC tuner.  3840 x 2160 native resolution (4K / UHD), HDMI 2.0 x3, VGA, Shared Composite/Component, Intuitive Joystick, ON/OFF Scheduler, USB Media Player, USB-C Power Delivery, CEC, Integrated 10W x 2 Speakers, Wake On HDMI Functionality, RS-232C / LAN Control, 3 Year Warranty.  Tabletop Stand not included (ST-55E) (Suggested replacement model for E657Q)</t>
  </si>
  <si>
    <t>ME431</t>
  </si>
  <si>
    <t>MultiSync ME431 - 43” LED LCD Public Display Monitor, 3840 x 2160 (UHD), 18/7, 400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Even Bezel Design, Metal Chassis, 3 Year Commercial Warranty, Stand not included (ST-43M)</t>
  </si>
  <si>
    <t>ME501</t>
  </si>
  <si>
    <t>MultiSync ME501 - 50” LED LCD Public Display Monitor, 3840 x 2160 (UHD), 18/7, 400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Even Bezel Design, Metal Chassis, 3 Year Commercial Warranty, Stand not included (ST-43M)</t>
  </si>
  <si>
    <t>ME551</t>
  </si>
  <si>
    <t>MultiSync ME551 - 55” LED LCD Public Display Monitor, 3840 x 2160 (UHD), 18/7, 400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Even Bezel Design, Metal Chassis, 3 Year Commercial Warranty, Stand not included (ST-43M or ST-401)</t>
  </si>
  <si>
    <t>ME651</t>
  </si>
  <si>
    <t>MultiSync ME651 - 65” LED LCD Public Display Monitor, 3840 x 2160 (UHD), 18/7, 400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Even Bezel Design, Metal Chassis, 3 Year Commercial Warranty, Stand not included (ST-65M)</t>
  </si>
  <si>
    <t>M431</t>
  </si>
  <si>
    <t>MultiSync M431 - 43” LED LCD Public Display Monitor, 3840 x 2160 (UHD), 24/7, 500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Integrated Ambient Light Sensor, Metal Chassis, 3 Year Commercial Warranty, Stand not included (ST-43M or ST-401)</t>
  </si>
  <si>
    <t>M491</t>
  </si>
  <si>
    <t>MultiSync M491 - 49” LED LCD Public Display Monitor, 3840 x 2160 (UHD), 24/7, 500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Cisco Certified Compatible Display, Integrated Ambient Light Sensor, Metal Chassis, 3 Year Commercial Warranty, Stand not included (ST-43M or ST-401)</t>
  </si>
  <si>
    <t>M551</t>
  </si>
  <si>
    <t>MultiSync M551 - 55” LED LCD Public Display Monitor, 3840 x 2160 (UHD), 24/7, 500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Integrated Ambient Light Sensor, Metal Chassis, 3 Year Commercial Warranty, Stand not included (ST-43M or ST-401)</t>
  </si>
  <si>
    <t>M651</t>
  </si>
  <si>
    <t>MultiSync M651 - 65” LED LCD Public Display Monitor, 3840 x 2160 (UHD), 24/7, 500 cd/m2, Landscape/Portrait, HDMI In x2, DisplayPort In, Audio Mini-Jack Out, Full bidirectional control through RS232C and LAN, Accepts Intel® Smart Display Module Small, Large or Raspberry Pi Compute Module 4 (requires separate MPi4E accessory), Integrated 10W x 2 Speakers, Full Input Detect Functionality, Integrated Ambient Light Sensor, Metal Chassis, 3 Year Commercial Warranty, Stand not included (ST-65M)</t>
  </si>
  <si>
    <t>MA431</t>
  </si>
  <si>
    <t>MultiSync MA431 - 43” LED LCD Public Display Monitor, 3840 x 2160 (UHD), Wide Color Gamut, 24/7, 500 cd/m2, Landscape/Portrait, HDMI In x2/Out, DisplayPort In x2/Out (SST/MST), Audio Mini-Jack Out, Full Bidirectional Control through RS232C and LAN In/Out, Accepts Intel® Smart Display Module Small, Large or Raspberry Pi Compute Module 4 (requires separate MPi4E accessory), Integrated Audio Amplifier, Full Input Detect Functionality, USB Hub, Metal Chassis, 3 Year Commercial Warranty, Stand not included (ST-43M or ST-401)</t>
  </si>
  <si>
    <t>MA491</t>
  </si>
  <si>
    <t>MultiSync MA491 - 49” LED LCD Public Display Monitor, 3840 x 2160 (UHD), Wide Color Gamut, 24/7, 500 cd/m2, Landscape/Portrait, HDMI In x2/Out, DisplayPort In x2/Out (SST/MST), Audio Mini-Jack Out, Full Bidirectional Control through RS232C and LAN In/Out, Accepts Intel® Smart Display Module Small, Large or Raspberry Pi Compute Module 4 (requires separate MPi4E accessory), Integrated Audio Amplifier, Full Input Detect Functionality, USB Hub, Metal Chassis, 3 Year Commercial Warranty, Stand not included (ST-43M or ST-401)</t>
  </si>
  <si>
    <t>MA551</t>
  </si>
  <si>
    <t>MultiSync MA551 - 55” LED LCD Public Display Monitor, 3840 x 2160 (UHD), Wide Color Gamut, 24/7, 500 cd/m2, Landscape/Portrait, HDMI In x2/Out, DisplayPort In x2/Out (SST/MST), Audio Mini-Jack Out, Full Bidirectional Control through RS232C and LAN In/Out, Accepts Intel® Smart Display Module Small, Large or Raspberry Pi Compute Module 4 (requires separate MPi4E accessory), Integrated Audio Amplifier, Full Input Detect Functionality, USB Hub, Metal Chassis, 3 Year Commercial Warranty, Stand not included (ST-43M or ST-401)</t>
  </si>
  <si>
    <t>C981Q</t>
  </si>
  <si>
    <t>MultiSync C981Q - 98” Direct LED LCD Public Display Monitor, 3840 x 2160 (4K / UHD), 350 cd/m2, Anti Glare screen, HDMI In x3, DisplayPort x2 / out, OPS and RPi Slot Capable, Local Dimming, Cisco Certified Compatible Display, 3 Year Commercial Warranty</t>
  </si>
  <si>
    <t>V864Q</t>
  </si>
  <si>
    <t xml:space="preserve">MultiSync V864Q - 86” Slim LED LCD Public Display Monitor, 3840 x 2160 (4K / UHD), 500 cd/m2, Anti Glare screen, HDMI In x3, DisplayPort x2 / out, OPS and RPi Slot Capable, Local Dimming, Cisco Certified Compatible Display, 3 Year Commercial Warranty </t>
  </si>
  <si>
    <t>V984Q</t>
  </si>
  <si>
    <t>MultiSync V984Q - 98” Direct LED LCD Public Display Monitor, 3840 x 2160 (4K / UHD), 500 cd/m2, Anti Glare screen, HDMI In x3, DisplayPort x2 / out, OPS and RPi Slot Capable, Local Dimming, Cisco Certified Compatible Display, 3 Year Commercial Warranty</t>
  </si>
  <si>
    <t>NP-PA804UL-B</t>
  </si>
  <si>
    <t>WUXGA LCD, 8,200 Lumen Advanced Professional Laser Installation Projector (THIS PRODUCT SHIPS WITHOUT A LENS) ADD optional Lens - 3,000,000:1 Contrast (with Dynamic Contrast), Laser Phosphor Light Source, 4K Ready, Cinema Quality Video, Center lens design, HDBaseT Input and HDBaseT Repeater, Dual HDMI, VGA, DisplayPort, 3D Sync, Motorized and Manual Lenses, Full Geometric Correction (Including Edge-blending and Stacking), BLACK CABINET, 53.1 lbs, 5yr Warranty</t>
  </si>
  <si>
    <t>NP-PA804UL-W</t>
  </si>
  <si>
    <t>WUXGA LCD, 8,200 Lumen Advanced Professional Laser Installation Projector (THIS PRODUCT SHIPS WITHOUT A LENS) ADD optional Lens- 3,000,000:1 Contrast (with Dynamic Contrast), Laser Phosphor Light Source, 4K Ready, Cinema Quality Video, Center lens design, HDBaseT Input and HDBaseT Repeater, Dual HDMI, VGA, DisplayPort, 3D Sync, Motorized and Manual Lenses, Full Geometric Correction (Including Edge-blending and Stacking), WHITE CABINET, 53.1 lbs, 5yr Warranty</t>
  </si>
  <si>
    <t xml:space="preserve">NP-PA804UL-B-41 </t>
  </si>
  <si>
    <t>NP-PA804UL with NP41ZL lens.  Bundle includes PA804UL projector and NP41ZL lens, BLACK CABINET, 5 Year Warranty</t>
  </si>
  <si>
    <t xml:space="preserve">NP-PA804UL-W-41 </t>
  </si>
  <si>
    <t>NP-PA804UL with NP41ZL lens.  Bundle includes PA804UL projector and NP41ZL lens, WHITE CABINET, 5 Year Warranty</t>
  </si>
  <si>
    <t>NP-PA1004UL-B</t>
  </si>
  <si>
    <t>WUXGA LCD, 10,000 Lumen Advanced Professional Laser Installation Projector (THIS PRODUCT SHIPS WITHOUT A LENS)  ADD Optional Lens- 3,000,000:1 Contrast (with Dynamic Contrast), Laser Phosphor Light Source, 4K Ready, Center lens design, HDBaseT Input and HDBaseT Repeater, Dual HDMI, VGA, DisplayPort, 3D Sync, Motorized Lenses, Full Geometric Correction (Including Edge-blending and Stacking), BLACK CABINET, 50.7 lbs, 5yr Warranty</t>
  </si>
  <si>
    <t>NP-PA1004UL-W</t>
  </si>
  <si>
    <t>WUXGA LCD, 10,000 Lumen Advanced Professional Laser Installation Projector (THIS PRODUCT SHIPS WITHOUT A LENS) ADD Optional Lens- 3,000,000:1 Contrast (with Dynamic Contrast), Laser Phosphor Light Source, 4K Ready, Center lens design, HDBaseT Input and HDBaseT Repeater, Dual HDMI, VGA, DisplayPort, 3D Sync, Motorized Lenses, Full Geometric Correction (Including Edge-blending and Stacking), WHITE CABINET, 50.7 lbs, 5yr Warranty</t>
  </si>
  <si>
    <t xml:space="preserve">NP-PA1004UL-B-41 </t>
  </si>
  <si>
    <t>NP-PA1004UL with NP41ZL lens.  Bundle includes PA1004UL projector and NP41ZL lens, BLACK CABINET, 5 Year Warranty</t>
  </si>
  <si>
    <t xml:space="preserve">NP-PA1004UL-W-41 </t>
  </si>
  <si>
    <t>NP-PA1004UL with NP41ZL lens.  Bundle includes PA1004UL projector and NP41ZL lens, WHITE CABINET, 5 Year Warranty</t>
  </si>
  <si>
    <t>23150</t>
  </si>
  <si>
    <t>Microphone table stand (3/8")</t>
  </si>
  <si>
    <t>MV7</t>
  </si>
  <si>
    <t>Podcast Microphone</t>
  </si>
  <si>
    <t>MV7-K-BNDL</t>
  </si>
  <si>
    <t>XLR/USB SPEECH MICROPHONE, BLACK + STAND</t>
  </si>
  <si>
    <t>MX150B/C-TQG</t>
  </si>
  <si>
    <t>Cardioid 5mm Subminiature Lavalier Microphone, TQG for Shure Bodypacks, Black</t>
  </si>
  <si>
    <t>MX150B/C-XLR</t>
  </si>
  <si>
    <t>Cardioid 5mm Subminiature Lavalier Microphone with XLR Preamp, Black</t>
  </si>
  <si>
    <t>MX153C/O-TQG</t>
  </si>
  <si>
    <t>Omnidirectional Earset Headworn Microphone, Cocoa</t>
  </si>
  <si>
    <t>MX184</t>
  </si>
  <si>
    <t>Supercardioid Condenser Lavalier Microphone with 4’ (1.2m) attached cable, Belt-Clip Preamp with XLR, Rotable Tie Clip, Dual Tie Clip, Snap-Fit Windscreen</t>
  </si>
  <si>
    <t>MXA910AL-60CM</t>
  </si>
  <si>
    <t>CEILING ARRAY,ALM,60CM</t>
  </si>
  <si>
    <t>MXA910W-US</t>
  </si>
  <si>
    <t>Ceiling Mic Array, 2x2 Dante</t>
  </si>
  <si>
    <t>SB900B</t>
  </si>
  <si>
    <t>RECHARGEABLE BATTERY</t>
  </si>
  <si>
    <t>SBC800-US</t>
  </si>
  <si>
    <t>8-Bay Shure Battery Charger</t>
  </si>
  <si>
    <t>SM7B</t>
  </si>
  <si>
    <t>Cardioid Dynamic Studio Vocal Microphone, includes standard and close-talk windscreens</t>
  </si>
  <si>
    <t>SRH440</t>
  </si>
  <si>
    <t>SRH440 Professional Studio Headphones designed for Home and Studio Recording</t>
  </si>
  <si>
    <t>UA845UWB</t>
  </si>
  <si>
    <t xml:space="preserve">Five-way active antenna and power distribution system for QLX-D®, ULX®, ULX-D®, SLX®, and BLX® (BLX4R only) receivers. Switchable frequency ranges:  174-216 MHz, 470-960 MHz, 1240-1260 MHz, 1492-1525 MHz, 1785-1805 MHz                                    </t>
  </si>
  <si>
    <t>UA874US</t>
  </si>
  <si>
    <t>Active Directional Antenna with Gain Switch 470-698 MHz</t>
  </si>
  <si>
    <t>UA874V</t>
  </si>
  <si>
    <t>Active Directional Antenna</t>
  </si>
  <si>
    <t>UA874XA</t>
  </si>
  <si>
    <t xml:space="preserve">Active directional antenna with gain switch.  (902-960 MHz)    </t>
  </si>
  <si>
    <t>Digital Wireless Bodypack Transmitter with Miniature 4-Pin Connector</t>
  </si>
  <si>
    <t>Handheld Transmitter with BETA 58A® Microphone</t>
  </si>
  <si>
    <t>ULXD2/B87C</t>
  </si>
  <si>
    <t>Handheld Transmitter with BETA 87C Microphone</t>
  </si>
  <si>
    <t>ULXD2/B87A</t>
  </si>
  <si>
    <t>Handheld Transmitter with BETA 87A Microphone</t>
  </si>
  <si>
    <t>ULXD4Q</t>
  </si>
  <si>
    <t>Quad Digital Wireless Receiver with internal power supply, 1/2 Wave Antenna and Rack Mounting Hardware</t>
  </si>
  <si>
    <t>FW-43BZ35J</t>
  </si>
  <si>
    <t>FW-55BZ40H</t>
  </si>
  <si>
    <t>FW-65BZ40H</t>
  </si>
  <si>
    <t>FW-75BZ40H</t>
  </si>
  <si>
    <t>FW-85BZ40H</t>
  </si>
  <si>
    <t>FW-100BZ40J</t>
  </si>
  <si>
    <t>FW-32BZ30J</t>
  </si>
  <si>
    <t>FW-43BZ30J</t>
  </si>
  <si>
    <t>FW-55BZ30J</t>
  </si>
  <si>
    <t>FW-65BZ30J</t>
  </si>
  <si>
    <t>FW-75BZ30J</t>
  </si>
  <si>
    <t>55” LED, 4K HDR, Pro Display w/Tuner</t>
  </si>
  <si>
    <t>65" LED 4K HDR Pro Display w/Tuner</t>
  </si>
  <si>
    <t>75" LED 4K HDR Pro Display w/Tuner</t>
  </si>
  <si>
    <t>85" LED 4K HDR Pro Display w/Tuner</t>
  </si>
  <si>
    <t>RC5-P60</t>
  </si>
  <si>
    <t>RCM-CP6</t>
  </si>
  <si>
    <t>RC-RK2</t>
  </si>
  <si>
    <t>FP6020-II</t>
  </si>
  <si>
    <t>999-9690-000</t>
  </si>
  <si>
    <t>ONELINK BRIDGE FOR ROBOSHOT HDMI</t>
  </si>
  <si>
    <t>999-99000-500</t>
  </si>
  <si>
    <t>ROBOSHOT 12E AVBMP</t>
  </si>
  <si>
    <t>999-99000-500W</t>
  </si>
  <si>
    <t>ROBOSHOT 12E AVBMP WHT</t>
  </si>
  <si>
    <t>999-99010-000</t>
  </si>
  <si>
    <t>ROBOSHOT 12E QMINI SYSTEM</t>
  </si>
  <si>
    <t>999-99010-000W</t>
  </si>
  <si>
    <t>ROBOSHOT 12E QMINI SYSTEM WHT</t>
  </si>
  <si>
    <t>999-99060-000</t>
  </si>
  <si>
    <t>ROBOSHOT 12E QDVI SYSTEM</t>
  </si>
  <si>
    <t>999-99060-000W</t>
  </si>
  <si>
    <t>ROBOSHOT 12E QDVI SYSTEM WHT</t>
  </si>
  <si>
    <t>999-99070-000</t>
  </si>
  <si>
    <t>ROBOSHOT 12E QCCU SYSTEM</t>
  </si>
  <si>
    <t>999-99070-000W</t>
  </si>
  <si>
    <t>ROBOSHOT 12E QCCU SYSTEM WHT</t>
  </si>
  <si>
    <t>999-99090-000</t>
  </si>
  <si>
    <t>ROBOSHOT 12E QUSB SYSTEM</t>
  </si>
  <si>
    <t>999-99090-000W</t>
  </si>
  <si>
    <t>ROBOSHOT 12E QUSB SYSTEM WHT</t>
  </si>
  <si>
    <t>999-99100-500</t>
  </si>
  <si>
    <t>ROBOSHOT 30E AVBMP</t>
  </si>
  <si>
    <t>999-99100-500W</t>
  </si>
  <si>
    <t>ROBOSHOT 30E AVBMP WHT</t>
  </si>
  <si>
    <t>999-99110-000</t>
  </si>
  <si>
    <t>ROBOSHOT 30E QMINI SYSTEM</t>
  </si>
  <si>
    <t>999-99110-000W</t>
  </si>
  <si>
    <t>ROBOSHOT 30E QMINI SYSTEM WHT</t>
  </si>
  <si>
    <t>999-99160-000</t>
  </si>
  <si>
    <t>ROBOSHOT 30E QDVI SYSTEM</t>
  </si>
  <si>
    <t>999-99160-000W</t>
  </si>
  <si>
    <t>ROBOSHOT 30E QDVI SYSTEM WHT</t>
  </si>
  <si>
    <t>999-99170-000</t>
  </si>
  <si>
    <t>ROBOSHOT 30E QCCU SYSTEM</t>
  </si>
  <si>
    <t>999-99170-000W</t>
  </si>
  <si>
    <t>ROBOSHOT 30E QCCU SYSTEM WHT</t>
  </si>
  <si>
    <t>999-99190-000</t>
  </si>
  <si>
    <t>ROBOSHOT 30E QUSB SYSTEM</t>
  </si>
  <si>
    <t>999-99190-000W</t>
  </si>
  <si>
    <t>ROBOSHOT 30E QUSB SYSTEM WHT</t>
  </si>
  <si>
    <t>999-99200-000</t>
  </si>
  <si>
    <t>RoboSHOT 12E USB</t>
  </si>
  <si>
    <t>999-99200-000W</t>
  </si>
  <si>
    <t>RoboSHOT 12E USB WHT</t>
  </si>
  <si>
    <t>999-99230-000</t>
  </si>
  <si>
    <t>RoboSHOT 30E USB</t>
  </si>
  <si>
    <t>999-99230-000W</t>
  </si>
  <si>
    <t>RoboSHOT 30E USB WHT</t>
  </si>
  <si>
    <t>999-99300-000</t>
  </si>
  <si>
    <t>ROBOSHOT 12E SDI</t>
  </si>
  <si>
    <t>999-99300-000W</t>
  </si>
  <si>
    <t>ROBOSHOT 12E SDI WHT</t>
  </si>
  <si>
    <t>999-99330-000</t>
  </si>
  <si>
    <t>ROBOSHOT 30E SDI</t>
  </si>
  <si>
    <t>999-99330-000W</t>
  </si>
  <si>
    <t>ROBOSHOT 30E SDI WHT</t>
  </si>
  <si>
    <t>999-99400-000</t>
  </si>
  <si>
    <t>ROBOSHOT 12E HDMI</t>
  </si>
  <si>
    <t>999-99400-000W</t>
  </si>
  <si>
    <t>ROBOSHOT 12E HDMI WHT</t>
  </si>
  <si>
    <t>999-99400-400</t>
  </si>
  <si>
    <t>ROBOSHOT 12E HDMI CISCO</t>
  </si>
  <si>
    <t>999-99400-400W</t>
  </si>
  <si>
    <t>ROBOSHOT 12E HDMI CISCO WHT</t>
  </si>
  <si>
    <t>999-99400-500</t>
  </si>
  <si>
    <t>ROBOSHOT 12E HDMI PLYCM</t>
  </si>
  <si>
    <t>999-99400-500W</t>
  </si>
  <si>
    <t>ROBOSHOT 12E HDMI PLYCM WHT</t>
  </si>
  <si>
    <t>999-99407-000</t>
  </si>
  <si>
    <t>ROBOSHOT 12E NDI SYSTEM</t>
  </si>
  <si>
    <t>999-99407-000W</t>
  </si>
  <si>
    <t>ROBOSHOT 12E NDI SYSTEM WHITE</t>
  </si>
  <si>
    <t>999-99430-000</t>
  </si>
  <si>
    <t>ROBOSHOT 30E HDMI</t>
  </si>
  <si>
    <t>999-99430-000W</t>
  </si>
  <si>
    <t>ROBOSHOT 30E HDMI WHT</t>
  </si>
  <si>
    <t>999-99437-000</t>
  </si>
  <si>
    <t>ROBOSHOT 30E NDI SYSTEM</t>
  </si>
  <si>
    <t>999-99437-000W</t>
  </si>
  <si>
    <t>ROBOSHOT 30E NDI SYSTEM WHT</t>
  </si>
  <si>
    <t>999-9950-000</t>
  </si>
  <si>
    <t>ROBOSHOT 20 UHD SYSTEM</t>
  </si>
  <si>
    <t>999-9950-000W</t>
  </si>
  <si>
    <t>ROBOSHOT 20 UHD SYSTEM WHITE</t>
  </si>
  <si>
    <t>999-9950-100</t>
  </si>
  <si>
    <t>ROBOSHOT 20 UHD ONELINK HDMI SYSTEM N/A</t>
  </si>
  <si>
    <t>999-9950-100W</t>
  </si>
  <si>
    <t>ROBOSHOT 20 UHD ONELINK HDMI SYS-WHT N/A</t>
  </si>
  <si>
    <t>999-9950-200</t>
  </si>
  <si>
    <t>RoboSHOT 20 UHD OneLINK Bridge Sys N/A</t>
  </si>
  <si>
    <t>999-9950-200W</t>
  </si>
  <si>
    <t>RoboSHOT 20 UHD OL BRIDGE SYS WHT N/A</t>
  </si>
  <si>
    <t>999-9952-000</t>
  </si>
  <si>
    <t>ROBOSHOT 40 UHD SYSTEM</t>
  </si>
  <si>
    <t>999-9952-000W</t>
  </si>
  <si>
    <t>ROBOSHOT 40 UHD WHITE</t>
  </si>
  <si>
    <t>999-9952-100</t>
  </si>
  <si>
    <t>ROBOSHOT 40 UHD ONELINK HDMI SYSTEM N/A</t>
  </si>
  <si>
    <t>999-9952-100W</t>
  </si>
  <si>
    <t>ROBOSHOT 40 UHD ONELINK HDMI SYS-WHT N/A</t>
  </si>
  <si>
    <t>999-9952-200</t>
  </si>
  <si>
    <t>RoboSHOT 40 UHD OneLINK Bridge Sys N/A</t>
  </si>
  <si>
    <t>999-9952-200W</t>
  </si>
  <si>
    <t>RoboSHOT 40 UHD OL BRIDGE SYS WHT N/A</t>
  </si>
  <si>
    <t>999-99600-000</t>
  </si>
  <si>
    <t>ROBOSHOT 12E HDBT</t>
  </si>
  <si>
    <t>999-99600-000W</t>
  </si>
  <si>
    <t>ROBOSHOT 12E HDBT WHT</t>
  </si>
  <si>
    <t>999-99600-100</t>
  </si>
  <si>
    <t>RoboSHOT 12E OneLINK HDMI SYS</t>
  </si>
  <si>
    <t>999-99600-100W</t>
  </si>
  <si>
    <t>RoboSHOT 12E OneLINK HDMI SYS WHT</t>
  </si>
  <si>
    <t>999-99600-200</t>
  </si>
  <si>
    <t>RoboSHOT 12E OneLINK BRIDGE SYS</t>
  </si>
  <si>
    <t>999-99600-200W</t>
  </si>
  <si>
    <t>RoboSHOT 12E OneLINK BRIDGE SYS WHT</t>
  </si>
  <si>
    <t>999-99630-000</t>
  </si>
  <si>
    <t>ROBOSHOT 30E HDBT</t>
  </si>
  <si>
    <t>999-99630-000W</t>
  </si>
  <si>
    <t>ROBOSHOT 30E HDBT WHT</t>
  </si>
  <si>
    <t>999-99630-100</t>
  </si>
  <si>
    <t>RoboSHOT 30E OneLINK HDMI SYS</t>
  </si>
  <si>
    <t>999-99630-100W</t>
  </si>
  <si>
    <t>RoboSHOT 30E OneLINK HDMI SYS WHT</t>
  </si>
  <si>
    <t>999-99630-200</t>
  </si>
  <si>
    <t>RoboSHOT 30E OneLINK BRIDGE SYS</t>
  </si>
  <si>
    <t>999-99630-200W</t>
  </si>
  <si>
    <t>RoboSHOT 30E OneLINK BRIDGE SYS WHT</t>
  </si>
  <si>
    <t>999-9965-100</t>
  </si>
  <si>
    <t>RS IW SG OneLINK HDMI SYS -BK FRAME -NA</t>
  </si>
  <si>
    <t>999-9965-180</t>
  </si>
  <si>
    <t>RS IW SG OneLINK HDMI SYS -PR FRAME -NA</t>
  </si>
  <si>
    <t>999-9965-200</t>
  </si>
  <si>
    <t>RS IW SG OneLINK BRIDGE SYS -BK FRAME-NA</t>
  </si>
  <si>
    <t>999-9965-280</t>
  </si>
  <si>
    <t>RS IW SG OneLINK BRIDGE SYS -PR FRAME-NA</t>
  </si>
  <si>
    <t>999-9965-800</t>
  </si>
  <si>
    <t>RoboShot IW SG HDBT Cam - BK FRAME-WW</t>
  </si>
  <si>
    <t>999-9965-880</t>
  </si>
  <si>
    <t>RoboShot IW SG HDBT Cam - PR FRAME-WW</t>
  </si>
  <si>
    <t>999-9966-100</t>
  </si>
  <si>
    <t>RS IW CG OneLINK HDMI SYS -BK FRAME -NA</t>
  </si>
  <si>
    <t>999-9966-180</t>
  </si>
  <si>
    <t>RS IW CG OneLINK HDMI SYS -PR FRAME -NA</t>
  </si>
  <si>
    <t>999-9966-200</t>
  </si>
  <si>
    <t>RS IW CG OneLINK BRIDGE SYS -BK FRAME-NA</t>
  </si>
  <si>
    <t>999-9966-280</t>
  </si>
  <si>
    <t>RS IW CG OneLINK BRIDGE SYS -PR FRAME-NA</t>
  </si>
  <si>
    <t>999-9966-800</t>
  </si>
  <si>
    <t>RoboShot IW CG HDBT Cam - BK FRAME-WW</t>
  </si>
  <si>
    <t>999-9966-880</t>
  </si>
  <si>
    <t>RoboShot IW CG HDBT Cam - PR FRAME-WW</t>
  </si>
  <si>
    <t>999-9968-000</t>
  </si>
  <si>
    <t>DocCAM 20 HDBT Camera</t>
  </si>
  <si>
    <t>999-9968-200</t>
  </si>
  <si>
    <t>DocCAM 20 HDBT OneLINK HDMI System N/A</t>
  </si>
  <si>
    <t>999-9968-300</t>
  </si>
  <si>
    <t>DocCAM 20 HDBT OneLINK Bridge System N/A</t>
  </si>
  <si>
    <t>999-99800-000</t>
  </si>
  <si>
    <t>RoboFLIP Camera</t>
  </si>
  <si>
    <t>999-99800-100</t>
  </si>
  <si>
    <t>RoboFLIP - OneLINK HDMI</t>
  </si>
  <si>
    <t>999-99800-200</t>
  </si>
  <si>
    <t>RoboFLIP - OneLINK Bridge</t>
  </si>
  <si>
    <t>999-9990-000B</t>
  </si>
  <si>
    <t>CONFERENCESHOT 10 SYSTEM</t>
  </si>
  <si>
    <t>999-9990-000W</t>
  </si>
  <si>
    <t>CONFERENCESHOT 10 SYSTEM WHITE</t>
  </si>
  <si>
    <t>999-9995-000B</t>
  </si>
  <si>
    <t>CONFERENCESHOT AV CAMERA</t>
  </si>
  <si>
    <t>999-9995-000W</t>
  </si>
  <si>
    <t>CONFERENCESHOT AV CAMERA WHITE</t>
  </si>
  <si>
    <t>999-9995-003</t>
  </si>
  <si>
    <t>CONFERENCESHOT AV SPEAKER KIT</t>
  </si>
  <si>
    <t>999-9995-003W</t>
  </si>
  <si>
    <t>CONFERENCESHOT AV SPEAKER KIT WHITE</t>
  </si>
  <si>
    <t>999-99950-100B</t>
  </si>
  <si>
    <t>CSAV SYSTEM - CEILINGMIC 1</t>
  </si>
  <si>
    <t>999-99950-100W</t>
  </si>
  <si>
    <t>CSAV SYSTEM - CEILINGMIC 1 WHT</t>
  </si>
  <si>
    <t>999-99950-200B</t>
  </si>
  <si>
    <t>CSAV SYSTEM - CEILINGMIC 2</t>
  </si>
  <si>
    <t>999-99950-200W</t>
  </si>
  <si>
    <t>CSAV SYSTEM - CEILINGMIC 2 WHT</t>
  </si>
  <si>
    <t>999-99950-300B</t>
  </si>
  <si>
    <t>CSAV-TableMIC 1</t>
  </si>
  <si>
    <t>999-99950-300W</t>
  </si>
  <si>
    <t>CSAV-TableMIC 1 White</t>
  </si>
  <si>
    <t>999-99950-400B</t>
  </si>
  <si>
    <t>CSAV-TableMIC 2</t>
  </si>
  <si>
    <t>999-99950-400W</t>
  </si>
  <si>
    <t>CSAV-TableMIC 2 White</t>
  </si>
  <si>
    <t>999-99950-500B</t>
  </si>
  <si>
    <t>CSAV-TableMIC 1 w/o Speaker</t>
  </si>
  <si>
    <t>999-99950-500W</t>
  </si>
  <si>
    <t>CSAV-TableMIC 1 w/o Speaker White</t>
  </si>
  <si>
    <t>999-99950-600B</t>
  </si>
  <si>
    <t>CSAV-TableMIC 2 w/o Speaker</t>
  </si>
  <si>
    <t>999-99950-600W</t>
  </si>
  <si>
    <t>CSAV-TableMIC 2 w/o Speaker White</t>
  </si>
  <si>
    <t>CSAV SYS CEILINGMIC 2 (W/O SPKR)</t>
  </si>
  <si>
    <t>999-99950-700W</t>
  </si>
  <si>
    <t>CSAV SYS CEILINGMIC 2 (W/O SPKR) WHT</t>
  </si>
  <si>
    <t>999-99950-800B</t>
  </si>
  <si>
    <t>CSAV SYS CEILINGMIC 1 (W/O SPKR)</t>
  </si>
  <si>
    <t>999-99950-800W</t>
  </si>
  <si>
    <t>CSAV SYS CEILINGMIC 1 (W/O SPKR) WHT</t>
  </si>
  <si>
    <t>Cynap Pure</t>
  </si>
  <si>
    <t>BYOD wirelss screen sharing</t>
  </si>
  <si>
    <t>Cynap Pure PRO</t>
  </si>
  <si>
    <t>BYOD collaboration and web conferencing</t>
  </si>
  <si>
    <t>Cynap Core Pro</t>
  </si>
  <si>
    <t>BYOD collaboration, web conferencing and lecture capture</t>
  </si>
  <si>
    <t>Use this button to update the summary sheet.  The summary sheet also auto updates on system add, system delete, publish estimate, or publish BoM</t>
  </si>
  <si>
    <t>10. Do not save this file in OneDrive due to folder checking that does not work with URL based locations</t>
  </si>
  <si>
    <t>QTY.</t>
  </si>
  <si>
    <t>System</t>
  </si>
  <si>
    <t>BOM Count</t>
  </si>
  <si>
    <t>Drawing Count</t>
  </si>
  <si>
    <t>Sennheiser</t>
  </si>
  <si>
    <t>SI1015/NT</t>
  </si>
  <si>
    <t>Rack-mountable, half rack size two channel 2.3/2.8 MHz modulator, with NT1015-120 power supply.  Requires GA1031-CC rack adapter (order separately)</t>
  </si>
  <si>
    <t>SZI 1015</t>
  </si>
  <si>
    <t>Emitter panel for single, dual or multi channel use.  Covers 4,000 sq. ft. (mono), 2,000 sq. ft. (two channel or stereo), black (3 lbs).  Up to two powered by SI1015/NT (order separately) or NT1015-120 power supply (order separately)</t>
  </si>
  <si>
    <t>SZI 1015-T</t>
  </si>
  <si>
    <t>IR emitter panel, 2 Watt, integrated control transmitter 2.3 MHz, 1x XLR, 3/8" thread, 24 VDC, black, supply area: max. 400m² max.</t>
  </si>
  <si>
    <t>SZI 1015-W</t>
  </si>
  <si>
    <t>Emitter panel for single, dual or multi channel use.  Covers 4,000 sq. ft. (mono), 2,000 sq. ft. (two channel or stereo), white (3 lbs). Up to two powered by SI1015/NT (order separately) or NT1015-120 power supply (order separately).</t>
  </si>
  <si>
    <t>SZI 1029-10-US-B</t>
  </si>
  <si>
    <t>10 watt emitter panel for single, dual or multi channel use.  The SZA1060 (50 ohm) terminating resistor required on last emitter in a daisy chain configuration (order separately).  Covers 18,000 sq ft (mono), 9,000 sq ft (two channel or stereo) or 12,000 sq ft/# of channels (multi), black.</t>
  </si>
  <si>
    <t>SZI 1029-120</t>
  </si>
  <si>
    <t>Emitter panel for single, dual or multi channel use.  The SZA1060 (50 ohm) terminating resistor required on last emitter in daisy chain configuration (order separately).  Covers 12,500 sq ft (mono), 6,250 sq ft (two channel or stereo) or 8,000 sq ft/# of channels (multi), black (5 lbs)</t>
  </si>
  <si>
    <t>EKI 830</t>
  </si>
  <si>
    <t>Bodypack infrared receiver for two channel/stereo (2.3/2.8 MHz) systems.  Includes BA300 rechargeable battery.  Requires headphones or induction neckloop (ordered separately).</t>
  </si>
  <si>
    <t>EKI830ADA</t>
  </si>
  <si>
    <t>Bundle includes EKI830 2.3/2.8 MHz bodypack infrared receiver and the EZT3011 induction neckloop.  Includes BA300 rechargeable battery.</t>
  </si>
  <si>
    <t>HDI 830</t>
  </si>
  <si>
    <t>Stethophone infrared receiver for two channel/stereo (2.3/2.8 MHz) systems.  Includes BA300 rechargeable battery.</t>
  </si>
  <si>
    <t>SI1015-12500 DUAL</t>
  </si>
  <si>
    <t>2.3/2.8 MHz infrared system package to cover 12,500 sq ft in dual channel mode</t>
  </si>
  <si>
    <t>SI1015-12500 SINGLE</t>
  </si>
  <si>
    <t>2.3 MHz infrared system package to cover 12,500 sq ft in single channel mode</t>
  </si>
  <si>
    <t>SI1015-4000 DUAL</t>
  </si>
  <si>
    <t>2.3/2.8 MHz infrared system package to cover 4,000 sq ft in dual channel mode</t>
  </si>
  <si>
    <t>SI1015-4000 SINGLE</t>
  </si>
  <si>
    <t>2.3 MHz infrared system package to cover 4,000 sq ft in single channel mode</t>
  </si>
  <si>
    <t>SI1015-8000 DUAL</t>
  </si>
  <si>
    <t>2.3/2.8 MHz infrared system package to cover 8,000 sq ft in dual channel mode</t>
  </si>
  <si>
    <t>EZI 120</t>
  </si>
  <si>
    <t>Silhouette induction coil for use with hearing aids with telecoils. Requires connecting cables HZL30-6 or HZL32-6 for RR820, RI810-S, RI250-J, RI250S receivers, and KA100-SEC or KAB100-SEC for the RI100-J receiver</t>
  </si>
  <si>
    <t>EZT 3012</t>
  </si>
  <si>
    <t>Induction neck loop for use with most Sennheiser bodypack receivers</t>
  </si>
  <si>
    <t>GA 1031-CC</t>
  </si>
  <si>
    <t>Empty housing for 19" mounting with SI 1015/EM 1031, 1/2 19"/1HE</t>
  </si>
  <si>
    <t>GZG 1029</t>
  </si>
  <si>
    <t>Stand mount/swivel ball joint with 3/8 inch thread (11.0 oz.). GZP10 required for wall/ceiling mounting (ordered separately).</t>
  </si>
  <si>
    <t>GZP 10</t>
  </si>
  <si>
    <t>Ceiling/wall mounting plate for GZG1029 (5.0 oz)</t>
  </si>
  <si>
    <t>BA 300</t>
  </si>
  <si>
    <t>Rechargeable battery for Set830(S), Set840(S), Set900,  IS410, HDI830, EKI830, RI410, RI830/830S, RI840/840-S, RI900</t>
  </si>
  <si>
    <t>NT 1015-120</t>
  </si>
  <si>
    <t>29V DC power supply</t>
  </si>
  <si>
    <t>528123</t>
  </si>
  <si>
    <t>Spare Part: RI830 (S), RI840 (S), RI900, HDI830.  Black silicone replacement ear cushions (Quantity: 10)</t>
  </si>
  <si>
    <t>528124</t>
  </si>
  <si>
    <t>Spare Part: RI830 (S), RI840 (S), RI900, HDI830. White silicone replacement ear cushions (Quantity: 10)</t>
  </si>
  <si>
    <t>528125</t>
  </si>
  <si>
    <t>Spare Part: RI830 (S), RI840 (S), RI900, HDI830. Black foam replacement ear cushions (Quantity: 10)</t>
  </si>
  <si>
    <t>HNP 02-EP</t>
  </si>
  <si>
    <t>Spare ear pads HP 02 / NP 02 (40 pieces)</t>
  </si>
  <si>
    <t>BB100</t>
  </si>
  <si>
    <t>100 ft coaxial cable (RG58) with BNC connectors</t>
  </si>
  <si>
    <t>BB25</t>
  </si>
  <si>
    <t>25 ft. coaxial cable (RG58) with BNC connectors</t>
  </si>
  <si>
    <t>BB3</t>
  </si>
  <si>
    <t>3 ft. coaxial cable (RG58) with BNC connectors</t>
  </si>
  <si>
    <t>BB6</t>
  </si>
  <si>
    <t>6 ft. coaxial cable (RG58) with BNC connectors</t>
  </si>
  <si>
    <t>HP 02-100</t>
  </si>
  <si>
    <t>On-ear headphones with adjustable headband (standard 39 in. cable) - Box of 20</t>
  </si>
  <si>
    <t>HP 02-140</t>
  </si>
  <si>
    <t>On-ear headphones with adjustable headband (55 in. cable, 90° plug). Box of 20</t>
  </si>
  <si>
    <t>HP02-100 SINGLE</t>
  </si>
  <si>
    <t>Headphones headband (standard 39 in. cable). Single unit</t>
  </si>
  <si>
    <t>NP 02-100</t>
  </si>
  <si>
    <t>On-ear neckband headphones (standard 39 in. cable). Box of 20</t>
  </si>
  <si>
    <t>NP 02-140</t>
  </si>
  <si>
    <t>On-ear neckband headphones (55 in. cable, 90° plug). Box of 20</t>
  </si>
  <si>
    <t>CSM25</t>
  </si>
  <si>
    <t>25 ft XLR microphone cable (9.0 oz)</t>
  </si>
  <si>
    <t>BA 1029</t>
  </si>
  <si>
    <t>Replacement battery for EKI1029 (1.0 oz),</t>
  </si>
  <si>
    <t>BA 90</t>
  </si>
  <si>
    <t>Rechargeable battery for RI100-A and RI100-J</t>
  </si>
  <si>
    <t>EP405F</t>
  </si>
  <si>
    <t>Foam ear cushions for RR820, RI810, RI150, RI250, RI250-J, RI100A, RI100-J and A200 (pair)</t>
  </si>
  <si>
    <t>EP405L</t>
  </si>
  <si>
    <t>Black classic ear cushions (bag of 10) for RR820, RI810, RI150, RI250, RI250-J, RI100A, RI100-J and A200 (pair)</t>
  </si>
  <si>
    <t>EP405L-TRA</t>
  </si>
  <si>
    <t>Translucent, hypoallergenic ear cushions (bag of 10) for RR820, RI810, RI150, RI250, RI250-J, RI100A, RI100-J and A200 (pair)</t>
  </si>
  <si>
    <t>EZL 2020-20L</t>
  </si>
  <si>
    <t>Carrying case with charger for (20) HDE2020-D-II-US or EK2020-D-II-US receivers. Offers auto "set all" to same frequency feature.</t>
  </si>
  <si>
    <t>ADN PS KIT</t>
  </si>
  <si>
    <t>Power supply for the ADN discussion system , bundled with RMB2 rackmount kit</t>
  </si>
  <si>
    <t>ADN RMB-2</t>
  </si>
  <si>
    <t>Rack installation set, for ADN CU1, 19"/ 2HE</t>
  </si>
  <si>
    <t>SL Interpreter</t>
  </si>
  <si>
    <t>Compact interpreter console, 2-channel, cascadable, reference mode, XLR-In, phantom power</t>
  </si>
  <si>
    <t>ADN C1</t>
  </si>
  <si>
    <t>ADN chair unit with 15-inch gooseneck and KE10 super-cardioid microphone capsule</t>
  </si>
  <si>
    <t>ADN CU1-US</t>
  </si>
  <si>
    <t>Central Unit For 40 ADN Delegates, Integrated PC With Pre-Installed Control Software. Electronically Balanced XLR In And Out, Ethernet, USB, VGA Interfaces &amp; Rackmount Bracket</t>
  </si>
  <si>
    <t>ADN D1</t>
  </si>
  <si>
    <t>ADN delegate unit with 15-inch gooseneck and KE10 super-cardioid microphone capsule</t>
  </si>
  <si>
    <t>ADN TR1</t>
  </si>
  <si>
    <t>ADN strain relief adapter accessory for ADN D1 / ADN C1units. Designed for permanent installations.</t>
  </si>
  <si>
    <t>SDC CBL RJ45-10</t>
  </si>
  <si>
    <t>Connecting cable with two RJ45 plugs, 33 ft (10m)</t>
  </si>
  <si>
    <t>SDC CBL RJ45-2</t>
  </si>
  <si>
    <t>Connecting cable with two RJ45 plugs, 6.6 ft (2m)</t>
  </si>
  <si>
    <t>SDC CBL RJ45-20</t>
  </si>
  <si>
    <t>Connecting cable with two RJ45 plugs, 66 ft (20m)</t>
  </si>
  <si>
    <t>SDC CBL RJ45-3</t>
  </si>
  <si>
    <t>Connecting cable with two RJ45 plugs, 9.9 ft (3m)</t>
  </si>
  <si>
    <t>SDC CBL RJ45-5</t>
  </si>
  <si>
    <t>Connecting cable with two RJ45 plugs, 16.5 ft (5m)</t>
  </si>
  <si>
    <t>SDC CBL RJ45-50</t>
  </si>
  <si>
    <t>Connecting cable with two RJ45 plugs, 165 ft (50m)</t>
  </si>
  <si>
    <t>TEAM CONNECT CEILING 2 WITH EXTENSION BRACKETS</t>
  </si>
  <si>
    <t>TeamConnect Ceiling 2 Microphone kit. Includes (1) TeamConnect Ceiling 2 microphone, (1)Set of SL CM EB mounting brackets, and (1) TCC2 box kit.</t>
  </si>
  <si>
    <t>TeamConnect Ceiling 2</t>
  </si>
  <si>
    <t>TeamConnect Ceiling 2, a beamforming ceiling array mic with two Dante and one analog audio output, PoE powered, white</t>
  </si>
  <si>
    <t>TeamConnect Ceiling 2 BLACK</t>
  </si>
  <si>
    <t>TeamConnect Ceiling 2, a beamforming ceiling array mic with two Dante and one analog audio output, PoE powered, black</t>
  </si>
  <si>
    <t>SL CM EB 625</t>
  </si>
  <si>
    <t>Ceiling Mic Extension brackets 625</t>
  </si>
  <si>
    <t>SL CM EB US</t>
  </si>
  <si>
    <t>Ceiling Mic Extension brackets US</t>
  </si>
  <si>
    <t>SL CM FB</t>
  </si>
  <si>
    <t>Ceiling fixing bracket for SL ceiling mic, for installing the microphone directly under the ceiling</t>
  </si>
  <si>
    <t>SL CM SK</t>
  </si>
  <si>
    <t>Ceiling Mic Suspension Kit</t>
  </si>
  <si>
    <t>SL CM VB</t>
  </si>
  <si>
    <t>Ceiling Mic VESA Bracket</t>
  </si>
  <si>
    <t>MobileConnect Station</t>
  </si>
  <si>
    <t>MobileConnect Connect Station with  (2) Dante Interfaces and PoE power supply</t>
  </si>
  <si>
    <t>PoE Injector EU/US/UK/AU </t>
  </si>
  <si>
    <t>Single-Port PoE adapter, IEEE 802.3af, 100 - 240 VAC, plug-in power supply including country adapter EU / UK / US / AU</t>
  </si>
  <si>
    <t xml:space="preserve">SL Bodypack - HM 1 KIT DW-4 </t>
  </si>
  <si>
    <t>SpeechLine Digital Wireless Bodypack kit. Includes (1) SL Bodypack DW and (1)  SL Headmic 1 (omnidirectional, condenser)</t>
  </si>
  <si>
    <t xml:space="preserve">SL Bodypack - ME 2 KIT DW-4 </t>
  </si>
  <si>
    <t>SpeechLine Digital Wireless Bodypack kit. Includes (1) SL Bodypack DW and (1)  ME 2 lavalier microphone (omnidirectional, condenser)</t>
  </si>
  <si>
    <t xml:space="preserve">SL Bodypack - MKE 2 KIT DW-4 </t>
  </si>
  <si>
    <t>SpeechLine Digital Wireless Bodypack kit. Includes (1) SL Bodypack DW and (1)  MKE 2 lavalier microphone (omnidirectional, condenser)</t>
  </si>
  <si>
    <t xml:space="preserve">SL Bodypack - MKE 40 KIT DW-4 </t>
  </si>
  <si>
    <t>SpeechLine Digital Wireless Bodypack kit. Includes (1) SL Bodypack DW and (1)  MKE 40 (cardioid, condenser)</t>
  </si>
  <si>
    <t>SL BOUNDARY SET DW-4 US</t>
  </si>
  <si>
    <t>SpeechLine Digital Wireless microphone set. Includes (1) SL Boundary 114-S DW, (1) SL Rack Receiver DW with power supply, (1) USB cable, (1) BA 40 rechargeable battery and (1) GA 4 rackmounting kit</t>
  </si>
  <si>
    <t>SL HANDHELD SET DW-4-US C</t>
  </si>
  <si>
    <t>Wireless vocal set. Includes (1) SL Handheld  DW transmitter with MME 865-1 capsule (supercardioid, condenser), (1) BA 10 rechargeable battery, (1) SL Rack Receiver DW, (1) power supply, (1) pouch and (1) case</t>
  </si>
  <si>
    <t>SL HANDHELD SET DW-4-US R</t>
  </si>
  <si>
    <t>Wireless vocal set. Includes (1) SL Handheld DW transmitter with MME 865-1 capsule (supercardioid, condenser), (1) BA 10 rechargeable battery, (1) SL Rack Receiver DW, (1) power supply, (1) pouch and (1) GA 4 rackmount kit</t>
  </si>
  <si>
    <t>SL HEADMIC SET DW-4-US C</t>
  </si>
  <si>
    <t>Wireless headmic set. Includes (1) SL Headmic 1 (omnidirectional, condenser), (1) SL bodypack DW, (1) SL Rack Receiver DW,  (1) BA 30 rechargeable battery, (1) power supply, (1) pouch and (1) case</t>
  </si>
  <si>
    <t>SL HEADMIC SET DW-4-US R</t>
  </si>
  <si>
    <t>Wireless headmic set. Includes (1) SL Headmic 1 (omnidirectional, condenser), (1) SL Bodypack DW, (1) SL Rack Receiver DW, (1) BA 30 rechargeable battery,  (1) power supply, (1) pouch and (1) GA 4 rackmount kit</t>
  </si>
  <si>
    <t>SL LAVALIER SET DW-4-US C</t>
  </si>
  <si>
    <t>Wireless lavalier set. Includes (1) MKE 1 lavalier microphone (omnidirectional, condenser), (1) SL  Bodypack DW, (1)  SL Rack Receiver DW, (1) BA 30 rechargeable battery, (1) power supply, (1) pouch and (1) case</t>
  </si>
  <si>
    <t>SL LAVALIER SET DW-4-US R</t>
  </si>
  <si>
    <t>Wireless lavalier set. Includes (1) MKE 1 lavalier microphone (omnidirectional, condenser), (1) SL  Bodypack DW, (1)  SL Rack Receiver DW, (1) BA 30 rechargeable battery, (1) power supply, (1) pouch and (1) GA 4 rackmount kit</t>
  </si>
  <si>
    <t>SL TS 133 GN SET DW-4 US</t>
  </si>
  <si>
    <t>Wireless table mic set. Includes (1) SL Tablestand 133-S DW, (1) MEG 14-40 B gooseneck microphone (cardioid, condenser), (1) BA 40 rechargeable battery, (1) SL Rack Receiver DW, (1) power supply and (1) and GA 4 rackmount kit</t>
  </si>
  <si>
    <t>SL TS 153 GN-L SET DW-4 US</t>
  </si>
  <si>
    <t>Wireless table mic set. Includes (1) SL Tablestand 153-S DW, (1) MEG 14-40-L-II B gooseneck microphone (cardioid, condenser) with LED light ring, (1) BA 40 rechargeable battery, (1) SL Rack Receiver DW, (1) power supply and (1) and GA 4 rackmount kit</t>
  </si>
  <si>
    <t>AWM 2</t>
  </si>
  <si>
    <t>Antenna wall fixing, passive, includes 2 rod antennas, metal housing, white</t>
  </si>
  <si>
    <t>AWM 4</t>
  </si>
  <si>
    <t>Antenna wall mount, metal housing, white, including 4 rod antennas</t>
  </si>
  <si>
    <t>BA 40</t>
  </si>
  <si>
    <t>Rechargeable battery for the SL Tablestand 133-S DW and the SL Tablestand 153-S DW.</t>
  </si>
  <si>
    <t>CHG 2 US</t>
  </si>
  <si>
    <t>Charger with 2 charger cores, for SK/SKM D1, SK/SKM AVX, SL DW, BA 10, BA 30, including power supply NT 12-4C</t>
  </si>
  <si>
    <t>CHG 2W</t>
  </si>
  <si>
    <t>2-compartment charger for SL TABLESTAND and interfaces, inductive, Qi standard, including power supply</t>
  </si>
  <si>
    <t>CHG 4N US</t>
  </si>
  <si>
    <t>Network Charger. Features universal charging bays for SL Bodypack DW or SL Handheld DW.</t>
  </si>
  <si>
    <t>CL 1 PP</t>
  </si>
  <si>
    <t>Antenna cable 1 m, RSMAm-RSMAm, 1 ea., black</t>
  </si>
  <si>
    <t>CL 10</t>
  </si>
  <si>
    <t>10 meter antenna cable</t>
  </si>
  <si>
    <t>CL 10 PP</t>
  </si>
  <si>
    <t>Antenna cable 10 m, RSMAm-RSMAm, 1 ea., black</t>
  </si>
  <si>
    <t>CL 20</t>
  </si>
  <si>
    <t>20 meter antenna cable</t>
  </si>
  <si>
    <t>CL 20 PP</t>
  </si>
  <si>
    <t>Antenna cable 20 m, RSMAm-RSMAm, 1 ea., black</t>
  </si>
  <si>
    <t>CL 5</t>
  </si>
  <si>
    <t>5 meter antenna cable</t>
  </si>
  <si>
    <t>CL 5 PP</t>
  </si>
  <si>
    <t>Antenna cable 5 m, RSMAm-RSMAm, 1 ea., black</t>
  </si>
  <si>
    <t>GA 4</t>
  </si>
  <si>
    <t>Rack mounting kit for EM D1 and SL DW rack receiver, includes antenna front mounting</t>
  </si>
  <si>
    <t>SL BODYPACK DW-4-US</t>
  </si>
  <si>
    <t>Digital bodypack transmitter, 1.9 GHz, with ew jack plug. Includes (1) BA 30 rechargeable battery and (1) pouch</t>
  </si>
  <si>
    <t>SL BOUNDARY 114-S DW-4 B</t>
  </si>
  <si>
    <t>SpeechLine Digital Wireless conferencing microphone. Includes (1) SL Boundary 114-S DW and (1) BA 40 rechargeable battery</t>
  </si>
  <si>
    <t>SL HANDHELD 865 DW-4-US</t>
  </si>
  <si>
    <t>Digital handheld transmitter, 1.9 GHz, with MME 865-1 capsule (supercardioid, condenser). Includes (1) BA 10 rechargeable battery and (1) pouch</t>
  </si>
  <si>
    <t>SL HANDHELD DW-4-US</t>
  </si>
  <si>
    <t>Digital handheld transmitter, 1.9 GHz. Capsule not included. Includes (1) BA 10 rechargeable battery and (1) pouch</t>
  </si>
  <si>
    <t>SL MCR 2 DW-4</t>
  </si>
  <si>
    <t>SpeechLine Multi-Channel Receiver with 2 SL DW RF Links. Features Analog output with (2) Dante Interfaces and PoE power supply.</t>
  </si>
  <si>
    <t>SL MCR 4 DW-4</t>
  </si>
  <si>
    <t>SpeechLine Multi-Channel Receiver with 4 SL DW RF Links. Features Analog output with (2) Dante Interfaces and PoE power supply.</t>
  </si>
  <si>
    <t>SL PASC 2</t>
  </si>
  <si>
    <t>Passive 2-way True Diversity antenna splitter/combiner for the SpeechLine Digital Wireless microphone series with 2 RF inputs and 4 RF outputs, DECT Range (1880 - 1930 MHz)</t>
  </si>
  <si>
    <t>SL PASC 4</t>
  </si>
  <si>
    <t>Passive 4-way True Diversity antenna splitter/combiner for the SpeechLine Digital Wireless microphone series with 2 RF inputs and 8 RF outputs, DECT Range (1880 - 1930 MHz)</t>
  </si>
  <si>
    <t>SL RACK RECEIVER DW-4-US</t>
  </si>
  <si>
    <t>SL rack receiver for rack installation, including power pack, digital, 1.9 GHz</t>
  </si>
  <si>
    <t>SL TABLESTAND 133-S DW-4 B</t>
  </si>
  <si>
    <t>Wireless table stand. Compatible with all Sennheiser XLR-3 gooseneck microphones. Includes (1)  BA 40 rechargeable battery.</t>
  </si>
  <si>
    <t>SL TABLESTAND 153-S DW-4 B</t>
  </si>
  <si>
    <t>Wireless table stand. Compatible with the MEG 14-40-L-II B gooseneck microphone. Includes (1) BA 40 rechargeable battery.</t>
  </si>
  <si>
    <t>Wall Mount adapter</t>
  </si>
  <si>
    <t>Wall Mounting Bracket for SpeechLine Multi-Channel Receiver</t>
  </si>
  <si>
    <t>MEB 102 W</t>
  </si>
  <si>
    <t>Installed boundary layer microphone (omnidirectional, pre-polarized condenser) with 24-48 V phantom power and 3-pin XLR-M. Includes (2) rubber rings for mounting and (1) hex nut for mounting, white</t>
  </si>
  <si>
    <t>MEB 102-L B</t>
  </si>
  <si>
    <t>Installed boundary layer microphone (omnidirectional, pre-polarized condenser) with 24-48 V phantom power, 3-pin XLR-M and bi-color LED ring for status indication. Includes (2) rubber rings for mounting and (1) hex nut for mounting, black</t>
  </si>
  <si>
    <t>MEB 102-L W</t>
  </si>
  <si>
    <t>Installed boundary layer microphone (omnidirectional, pre-polarized condenser) with 24-48 V phantom power, 3-pin XLR-M and bi-color LED ring for status indication. Includes (2) rubber rings for mounting and (1) hex nut for mounting, white</t>
  </si>
  <si>
    <t>MEB 104 B</t>
  </si>
  <si>
    <t>Installed boundary layer microphone (cardioid, pre-polarized condenser) with 24-48 V phantom power, 3-pin XLR-M and programmable on, off, PTT and PTM modes. Includes (2) rubber rings for mounting and (1) hex nut for mounting, black</t>
  </si>
  <si>
    <t>MEB 104 W</t>
  </si>
  <si>
    <t>Installed boundary layer microphone (cardioid, pre-polarized condenser) with 24-48 V phantom power, 3-pin XLR-M and programmable on, off, PTT and PTM modes. Includes (2) rubber rings for mounting and (1) hex nut for mounting, white</t>
  </si>
  <si>
    <t>MEB 104-L B</t>
  </si>
  <si>
    <t>Installed boundary layer microphone (cardioid, pre-polarized condenser) with 24-48 V phantom power, 3-pin XLR-M,  programmable on, off, PTT and PTM modes and bi-color LED ring for status indication. Includes (2) rubber rings for mounting and (1) hex nut for mounting, black</t>
  </si>
  <si>
    <t>MEB 104-L W</t>
  </si>
  <si>
    <t>Installed boundary layer microphone (cardioid, pre-polarized condenser) with 24-48 V phantom power, 3-pin XLR-M,  programmable on, off, PTT and PTM modes and bi-color LED ring for status indication. Includes (2) rubber rings for mounting and (1) hex nut for mounting, white</t>
  </si>
  <si>
    <t>MEB 114 B</t>
  </si>
  <si>
    <t>Installed on-table boundary layer microphone (cardioid pre-polarized condenser) with 24-48 V phantom power and 3-pin mini XLR-M. Includes (1) 9.8' mini XLR to 3-pin XLR cable, black</t>
  </si>
  <si>
    <t>MEB 114 W</t>
  </si>
  <si>
    <t>SpeechLine installed on-table boundary layer microphone (cardioid pre-polarized condenser) with 24-48 V phantom power and 3-pin mini XLR-M. Includes (1) 9.8' mini XLR to 3-pin XLR cable, white</t>
  </si>
  <si>
    <t>MEB 114-S B</t>
  </si>
  <si>
    <t xml:space="preserve">Installed on-table boundary layer microphone (cardioid pre-polarized condenser) with 24-48 V phantom power,  3-pin mini XLR-M, programmable on, off, PTT and PTM modes and bi-color LED ring for status indication. Includes (1) 9.8' mini XLR to 3-pin XLR cable, black  </t>
  </si>
  <si>
    <t>MEB 114-S W</t>
  </si>
  <si>
    <t xml:space="preserve">Installed on-table boundary layer microphone (cardioid pre-polarized condenser) with 24-48 V phantom power,  3-pin mini XLR-M, programmable on, off, PTT and PTM modes and bi-color LED ring for status indication. Includes (1) 9.8' mini XLR to 3-pin XLR cable, white  </t>
  </si>
  <si>
    <t>SL HEADMIC 1 BE</t>
  </si>
  <si>
    <t>Neckband microphone with MKE 1 microphone capsule (omnidirectional, condenser) with EW jack. Includes (1) 3.5mm connection cable, (1) MZC 2 frequency response cap, (1) SL MZW 1 windscreen, and (1) soft carrying case, beige</t>
  </si>
  <si>
    <t>SL HEADMIC 1 BK</t>
  </si>
  <si>
    <t>Neckband microphone with MKE 1 microphone capsule (omnidirectional, condenser) with EW jack. Includes (1) 3.5mm connection cable, (1) MZC 2 frequency response cap, (1) SL MZW 1 windscreen, and (1) soft carrying case, black</t>
  </si>
  <si>
    <t>SL HEADMIC 1 SB</t>
  </si>
  <si>
    <t>Neckband microphone with MKE 1 microphone capsule (omnidirectional, condenser) with EW jack. Includes (1) 3.5mm connection cable, (1) MZC 2 frequency response cap, (1) SL MZW 1 windscreen, and (1) soft carrying case, silver</t>
  </si>
  <si>
    <t>MAS 1 B</t>
  </si>
  <si>
    <t>Microphone activation button (when paired with MAS 133 inline switchbox) for any XLR-attached microphone with 5-pin XLR-M. Features programmable on, off, PTT and PTM modes and bi-color LED ring for status indication. Includes (2) rubber rings for mounting and (1) hex nut for mounting</t>
  </si>
  <si>
    <t>MAS 1 W</t>
  </si>
  <si>
    <t>MAS 133</t>
  </si>
  <si>
    <t>Microphone control box, mic IN: XLR3-F, mic OUT: XLR3-M, switch: XLR5-F, logic out, installation material</t>
  </si>
  <si>
    <t>ME 34</t>
  </si>
  <si>
    <t>Capsule head for MZH series gooseneck microphones (cardioid, pre-polarized condenser). Includes (1) MZW 34 windscreen (1.0 oz), black</t>
  </si>
  <si>
    <t>ME 34 W</t>
  </si>
  <si>
    <t>Capsule head for MZH series gooseneck microphones (cardioid, pre-polarized condenser). Includes (1) MZW 34 windscreen (1.0 oz), white</t>
  </si>
  <si>
    <t>ME 35</t>
  </si>
  <si>
    <t>Capsule head for MZH series gooseneck microphones (supercardioid pre-polarized condenser). Includes (1) MZW 34 windscreen (1.0 oz), black</t>
  </si>
  <si>
    <t>ME 35 W</t>
  </si>
  <si>
    <t>Capsule head for MZH series gooseneck microphones (supercardioid pre-polarized condenser). Includes (1) MZW 34 windscreen (1.0 oz), white</t>
  </si>
  <si>
    <t>ME 36</t>
  </si>
  <si>
    <t>Condenser capsule head for MZH series gooseneck microphones (supercardioid/lobe pre-polarized). Includes (1) MZW 36 windscreen (2.0 oz), black</t>
  </si>
  <si>
    <t>ME 36 W</t>
  </si>
  <si>
    <t>Condenser capsule head for MZH series gooseneck microphones (supercardioid/lobe pre-polarized). Includes (1) MZW 36 windscreen (2.0 oz), white</t>
  </si>
  <si>
    <t>MZH 3015</t>
  </si>
  <si>
    <t>IS Series 6 in (15 cm) single flex gooseneck with 3 pin XLR connector (3.0 oz)</t>
  </si>
  <si>
    <t>MZH 3015 W</t>
  </si>
  <si>
    <t>IS Series 6 in. (15 cm.) single-flex gooseneck in white with 3-pin XLR connector for use with ME 34, ME 35 and ME 36 microphone heads</t>
  </si>
  <si>
    <t>MZH 3040</t>
  </si>
  <si>
    <t>IS Series 16 in (40 cm) single flex gooseneck with 3 pin XLR connector (5.0 oz)</t>
  </si>
  <si>
    <t>MZH 3042</t>
  </si>
  <si>
    <t>IS Series 16 in (40 cm) dual flex gooseneck with 3 pin XLR connector (5.0 oz)</t>
  </si>
  <si>
    <t>MZH 3062</t>
  </si>
  <si>
    <t>IS Series 23 in (60 cm) dual flex gooseneck with 3 pin XLR connector (5.0 oz)</t>
  </si>
  <si>
    <t>MZH 3072</t>
  </si>
  <si>
    <t>IS Series 27 in (70 cm) dual flex gooseneck with 3 pin XLR connector (5.0 oz)</t>
  </si>
  <si>
    <t>MZH 3015 L</t>
  </si>
  <si>
    <t>IS Series 6 in (15 cm) single flex lightring gooseneck with 5 pin XLR connector (4.0 oz)</t>
  </si>
  <si>
    <t>MZH 3040 L</t>
  </si>
  <si>
    <t>IS Series 16 in (40 cm) single flex lightring gooseneck with 5 pin XLR connector (6.0 oz)</t>
  </si>
  <si>
    <t>MZH 3042 L</t>
  </si>
  <si>
    <t>IS Series 16 in (40 cm) dual flex lightring gooseneck with 5 pin XLR connector (6.0 oz)</t>
  </si>
  <si>
    <t>MZH 3062-L</t>
  </si>
  <si>
    <t>IS Series 23 in. (60 cm.) dual flex gooseneck with integrated light ring and XLR-5 connector, black</t>
  </si>
  <si>
    <t>MZH 3072-L</t>
  </si>
  <si>
    <t>IS Series 27 in. (70 cm.) dual flex gooseneck with integrated light ring and XLR-5 connector, black</t>
  </si>
  <si>
    <t>MZC 30</t>
  </si>
  <si>
    <t>IS Series 1.1 mm cable spool (9m/29.5 ft) with integrated pre-amp for hanging applications (3.0 oz)</t>
  </si>
  <si>
    <t>MZC 30 W</t>
  </si>
  <si>
    <t>IS Series 1.1 mm cable spool (9 m/29.5 ft.) in white, includes integrated preamp for hanging applications</t>
  </si>
  <si>
    <t>MZH 30 B</t>
  </si>
  <si>
    <t>IS Series ceiling mount for attaching and aligning ME 34, ME 35 and ME 36 microphone capsules.  Black. (0.5 oz.)</t>
  </si>
  <si>
    <t>MZH 30 W</t>
  </si>
  <si>
    <t>IS Series ceiling mount for attaching and aligning ME 34, ME 35 and ME 36 microphone capsules.  White.  (0.5 oz.)</t>
  </si>
  <si>
    <t>MZT 30</t>
  </si>
  <si>
    <t>IS Series XLR female flange mount for fixed installation, requires 24.21 mm diameter hole (1.5 oz)</t>
  </si>
  <si>
    <t>MZT 30 L</t>
  </si>
  <si>
    <t>IS Series 5-pin XLR female flange mount for fixed installation, requires 24.21 mm diameter hole (1.5 oz)</t>
  </si>
  <si>
    <t>MZW 34 PRO</t>
  </si>
  <si>
    <t>IS Series upgrade velour windscreen for ME34 and ME35</t>
  </si>
  <si>
    <t>MZW 36 PRO</t>
  </si>
  <si>
    <t>IS Series upgrade velour windscreen for ME36</t>
  </si>
  <si>
    <t>MAT 153 + MEG14-40-L-II SET</t>
  </si>
  <si>
    <t>Microphone set with (1) MEG 14-40-L-II gooseneck microphone (cardioid, condenser) and (1) MAT 153-S table stand</t>
  </si>
  <si>
    <t>MEG 14-40 B</t>
  </si>
  <si>
    <t>Gooseneck microphone (cardioid, condenser) with 3-pin XLR-M and 12-48 V phantom power. MAT 133 table stand available separately</t>
  </si>
  <si>
    <t>MEG 14-40-L B</t>
  </si>
  <si>
    <t>Gooseneck microphone (cardioid, condenser) with 5-pin XLR-M, 12-48 V phantom power and illuminated light ring. MAT 153-S table stand available separately</t>
  </si>
  <si>
    <t>MEG 14-40-L-II B</t>
  </si>
  <si>
    <t>MZFS 60</t>
  </si>
  <si>
    <t>IS Series pass through wired floor stand, female XLR top, male XLR bottom, require gooseneck, 23.6 in (60cm)</t>
  </si>
  <si>
    <t>MZFS 80</t>
  </si>
  <si>
    <t>IS Series pass through wired floor stand, female XLR top, male XLR bottom, require gooseneck, 31.5 in (80cm)</t>
  </si>
  <si>
    <t>MAT 133 B</t>
  </si>
  <si>
    <t>Table stand for gooseneck microphones with 3-pin XLR-F (mic in), 3-pin XLR-M (mic out) and 24-48 V phantom power. Compatible with MZH 3000 Series and MEG 14-40 B gooseneck microphones</t>
  </si>
  <si>
    <t>MAT 133-S B</t>
  </si>
  <si>
    <t>Table stand for MEG 14-40-L II gooseneck microphone with 5-pin XLR-F (mic in), 5-pin XLR-M (mic out), 24-48 V phantom power and bi-color LED ring for status indication</t>
  </si>
  <si>
    <t>MAT 153-S B</t>
  </si>
  <si>
    <t>Table stand for MEG 14-40-L II, sensor with LED ring, TTL logic, IN 5-pole XLR-F OUT 3-pole XLR- M, 24-48 V phantom, black</t>
  </si>
  <si>
    <t>I15-C</t>
  </si>
  <si>
    <t>ME34 cardioid capsule, MZH3015 gooseneck, MZT30 flange mount and MZS31 shock mount</t>
  </si>
  <si>
    <t>I15-L</t>
  </si>
  <si>
    <t>ME36 lobar mini shotgun capsule, MZH3015 gooseneck, MZT30 flange mount and MZS31 shock mount</t>
  </si>
  <si>
    <t>I15-S</t>
  </si>
  <si>
    <t>ME35 supercardioid capsule, MZH3015 gooseneck, MZT30 flange mount and MZS31 shock mount</t>
  </si>
  <si>
    <t>I40-C</t>
  </si>
  <si>
    <t>ME34 cardioid capsule, MZH3040 gooseneck, MZT30 flange mount and MZS31 shock mount</t>
  </si>
  <si>
    <t>I40-L</t>
  </si>
  <si>
    <t>ME36 lobar mini shotgun capsule, MZH3040 gooseneck, MZT30 flange mount and MZS31 shock mount</t>
  </si>
  <si>
    <t>I40-S</t>
  </si>
  <si>
    <t>ME35 supercardioid capsule, MZH3040 gooseneck, MZT30 flange mount and MZS31 shock mount</t>
  </si>
  <si>
    <t>I42-C</t>
  </si>
  <si>
    <t>ME34 cardioid capsule, MZH3042 gooseneck, MZT30 flange mount and MZS31 shock mount</t>
  </si>
  <si>
    <t>I42-L</t>
  </si>
  <si>
    <t>ME36 lobar mini shotgun capsule, MZH3042 gooseneck, MZT30 flange mount and MZS31 shock mount</t>
  </si>
  <si>
    <t>I42-S</t>
  </si>
  <si>
    <t>ME35 supercardioid capsule, MZH3042 gooseneck, MZT30 flange mount and MZS31 shock mount</t>
  </si>
  <si>
    <t>I30H-C</t>
  </si>
  <si>
    <t>ME34 cardioid capsule, MZC30 cable and MZH30 ceiling hanger</t>
  </si>
  <si>
    <t>I30H-L</t>
  </si>
  <si>
    <t>ME36 lobar mini shotgun capsule, MZC30 cable and MZH30 ceiling hanger</t>
  </si>
  <si>
    <t>I30H-S</t>
  </si>
  <si>
    <t>ME35 supercardioid capsule, MZC30 cable and MZH30 ceiling hanger</t>
  </si>
  <si>
    <t>ew 100 G4-835-S-A</t>
  </si>
  <si>
    <t>Wireless vocal set. Includes (1) SKM 100 G4-S handheld microphone with mute switch, (1) e 835 mic capsule (cardioid, dynamic), (1) EM 100 G4 rackmount receiver, (1) GA3 rack kit, (1) RJ10 linking cable and (1) mic clip, frequency range: A (516 - 558 MHz)</t>
  </si>
  <si>
    <t>ew 100 G4-835-S-A1</t>
  </si>
  <si>
    <t>Wireless vocal set. Includes (1) SKM 100 G4-S handheld microphone with mute switch, (1) e 835 mic capsule (cardioid, dynamic), (1) EM 100 G4 rackmount receiver, (1) GA3 rack kit, (1) RJ10 linking cable and (1) mic clip, frequency range: A1 (470 - 516 MHz)</t>
  </si>
  <si>
    <t>ew 100 G4-835-S-G</t>
  </si>
  <si>
    <t>Wireless vocal set. Includes (1) SKM 100 G4-S handheld microphone with mute switch, (1) e 835 mic capsule (cardioid, dynamic), (1) EM 100 G4 rackmount receiver, (1) GA3 rack kit, (1) RJ10 linking cable and (1) mic clip, frequency range: G (566 - 608 MHz)</t>
  </si>
  <si>
    <t>ew 100 G4-845-S-A</t>
  </si>
  <si>
    <t>Wireless vocal set. Includes (1) SKM 100 G4-S handheld microphone with mute switch, (1) e 845 mic capsule (supercardioid dynamic), (1) EM 100 G4 rackmount receiver, (1) GA3 rack kit, (1) RJ10 linking cable and (1) mic clip, frequency range:A (516 - 558 MHz)</t>
  </si>
  <si>
    <t>ew 100 G4-845-S-A1</t>
  </si>
  <si>
    <t>Wireless vocal set. Includes (1) SKM 100 G4-S handheld microphone with mute switch, (1) e 845 mic capsule (supercardioid dynamic), (1) EM 100 G4 rackmount receiver, (1) GA3 rack kit, (1) RJ10 linking cable and (1) mic clip, frequency range:A1 (470 - 516 MHz)</t>
  </si>
  <si>
    <t>ew 100 G4-845-S-G</t>
  </si>
  <si>
    <t>Wireless vocal set. Includes (1) SKM 100 G4-S handheld microphone with mute switch, (1) e 845 mic capsule (supercardioid dynamic), (1) EM 100 G4 rackmount receiver, (1) GA3 rack kit, (1) RJ10 linking cable and (1) mic clip, frequency range:G (566 - 608 MHz)</t>
  </si>
  <si>
    <t>ew 100 G4-865-S-A</t>
  </si>
  <si>
    <t>Wireless vocal set. Includes (1) SKM 100 G4-S handheld microphone with mute switch, (1) e 865 mic capsule (supercardioid, condenser), (1) EM 100 G4 rackmount receiver, (1) GA3 rack kit, (1) RJ10 linking cable and (1) mic clip, frequency range:A (516 - 558 MHz)</t>
  </si>
  <si>
    <t>ew 100 G4-865-S-A1</t>
  </si>
  <si>
    <t>Wireless vocal set. Includes (1) SKM 100 G4-S handheld microphone with mute switch, (1) e 865 mic capsule (supercardioid, condenser), (1) EM 100 G4 rackmount receiver, (1) GA3 rack kit, (1) RJ10 linking cable and (1) mic clip, frequency range:A1 (470 - 516 MHz)</t>
  </si>
  <si>
    <t>ew 100 G4-865-S-G</t>
  </si>
  <si>
    <t>Wireless vocal set. Includes (1) SKM 100 G4-S handheld microphone with mute switch, (1) e 865 mic capsule (supercardioid, condenser), (1) EM 100 G4 rackmount receiver, (1) GA3 rack kit, (1) RJ10 linking cable and (1) mic clip, frequency range:G (566 - 608 MHz)</t>
  </si>
  <si>
    <t>ew 100 G4-935-S-A</t>
  </si>
  <si>
    <t>Wireless vocal set. Includes (1) SKM 100 G4-S handheld microphone with mute switch, (1) e 935 mic capsule (cardioid, dynamic), (1) EM 100 G4 rackmount receiver, (1) GA3 rack kit, (1) RJ10 linking cable and (1) mic clip, frequency range:A (516 - 558 MHz)</t>
  </si>
  <si>
    <t>ew 100 G4-935-S-A1</t>
  </si>
  <si>
    <t>Wireless vocal set. Includes (1) SKM 100 G4-S handheld microphone with mute switch, (1) e 935 mic capsule (cardioid, dynamic), (1) EM 100 G4 rackmount receiver, (1) GA3 rack kit, (1) RJ10 linking cable and (1) mic clip, frequency range:A1 (470 - 516 MHz)</t>
  </si>
  <si>
    <t>ew 100 G4-935-S-G</t>
  </si>
  <si>
    <t>Wireless vocal set. Includes (1) SKM 100 G4-S handheld microphone with mute switch, (1) e 935 mic capsule (cardioid, dynamic), (1) EM 100 G4 rackmount receiver, (1) GA3 rack kit, (1) RJ10 linking cable and (1) mic clip, frequency range:G (566 - 608 MHz)</t>
  </si>
  <si>
    <t>ew 100 G4-945-S-A</t>
  </si>
  <si>
    <t>Wireless vocal set. Includes (1) SKM 100 G4-S handheld microphone with mute switch, (1) e 945 mic capsule (supercardioid, dynamic), (1) EM 100 G4 rackmount receiver, (1) GA3 rack kit, (1) RJ10 linking cable and (1) mic clip, frequency range:A (516 - 558 MHz)</t>
  </si>
  <si>
    <t>ew 100 G4-945-S-A1</t>
  </si>
  <si>
    <t>Wireless vocal set. Includes (1) SKM 100 G4-S handheld microphone with mute switch, (1) e 945 mic capsule (supercardioid, dynamic), (1) EM 100 G4 rackmount receiver, (1) GA3 rack kit, (1) RJ10 linking cable and (1) mic clip, frequency range:A1 (470 - 516 MHz)</t>
  </si>
  <si>
    <t>ew 100 G4-945-S-G</t>
  </si>
  <si>
    <t>Wireless vocal set. Includes (1) SKM 100 G4-S handheld microphone with mute switch, (1) e 945 mic capsule (supercardioid, dynamic), (1) EM 100 G4 rackmount receiver, (1) GA3 rack kit, (1) RJ10 linking cable and (1) mic clip, frequency range:G (566 - 608 MHz)</t>
  </si>
  <si>
    <t>ew 100 G4-CI1-A</t>
  </si>
  <si>
    <t>Wireless instrument set. Includes (1) SK 100 G4 bodypack, (1) CI1 instrument cable, (1) EM 100 G4 rackmount receiver, (1) GA3 rack kit and (1) RJ10 linking cable, frequency range:A (516 - 558 MHz)</t>
  </si>
  <si>
    <t>ew 100 G4-CI1-A1</t>
  </si>
  <si>
    <t>Wireless instrument set. Includes (1) SK 100 G4 bodypack, (1) CI1 instrument cable, (1) EM 100 G4 rackmount receiver, (1) GA3 rack kit and (1) RJ10 linking cable, frequency range:A1 (470 - 516 MHz)</t>
  </si>
  <si>
    <t>ew 100 G4-CI1-G</t>
  </si>
  <si>
    <t>Wireless instrument set. Includes (1) SK 100 G4 bodypack, (1) CI1 instrument cable, (1) EM 100 G4 rackmount receiver, (1) GA3 rack kit and (1) RJ10 linking cable, frequency range:G (566 - 608 MHz)</t>
  </si>
  <si>
    <t>ew 100 G4-ME2-A</t>
  </si>
  <si>
    <t>Wireless lavalier set. Includes (1) SK 100 G4 bodypack, (1) ME 2-II lavalier microphone (omnidirectional, condenser), (1) EM 100 G4 rackmount receiver, (1) GA3 rack kit and (1) RJ10 linking cable, frequency range:A (516 - 558 MHz)</t>
  </si>
  <si>
    <t>ew 100 G4-ME2-A1</t>
  </si>
  <si>
    <t>Wireless lavalier set. Includes (1) SK 100 G4 bodypack, (1) ME 2-II lavalier microphone (omnidirectional, condenser), (1) EM 100 G4 rackmount receiver, (1) GA3 rack kit and (1) RJ10 linking cable, frequency range:A1 (470 - 516 MHz)</t>
  </si>
  <si>
    <t>ew 100 G4-ME2-G</t>
  </si>
  <si>
    <t>Wireless lavalier set. Includes (1) SK 100 G4 bodypack, (1) ME 2-II lavalier microphone (omnidirectional, condenser), (1) EM 100 G4 rackmount receiver, (1) GA3 rack kit and (1) RJ10 linking cable, frequency range:G (566 - 608 MHz)</t>
  </si>
  <si>
    <t>ew 100 G4-ME2/835-S-A</t>
  </si>
  <si>
    <t>Wireless Lavalier/vocal combo set. Includes (1) SKM 100 G4-S handheld with mute switch, (1) e 835 mic capsule (cardioid, dynamic), (1) SK 100 G4 bodypack, (1) ME 2-II lavalier microphone (omnidirectional, condenser), (1) EM 100 G4 rackmount receiver, (1) GA3 rack kit, (1) RJ10 linking cable and (1) mic clip, frequency range: A (516 - 558 MHz)</t>
  </si>
  <si>
    <t>ew 100 G4-ME2/835-S-A1</t>
  </si>
  <si>
    <t>Wireless Lavalier/vocal combo set. Includes (1) SKM 100 G4-S handheld with mute switch, (1) e 835 mic capsule (cardioid, dynamic), (1) SK 100 G4 bodypack, (1) ME 2-II lavalier microphone (omnidirectional, condenser), (1) EM 100 G4 rackmount receiver, (1) GA3 rack kit, (1) RJ10 linking cable and (1) mic clip, frequency range: A1 (470 - 516 MHz)</t>
  </si>
  <si>
    <t>ew 100 G4-ME2/835-S-G</t>
  </si>
  <si>
    <t>Wireless Lavalier/vocal combo set. Includes (1) SKM 100 G4-S handheld with mute switch, (1) e 835 mic capsule (cardioid, dynamic), (1) SK 100 G4 bodypack, (1) ME 2-II lavalier microphone (omnidirectional, condenser), (1) EM 100 G4 rackmount receiver, (1) GA3 rack kit, (1) RJ10 linking cable and (1) mic clip, frequency range: G (566 - 608 MHz)</t>
  </si>
  <si>
    <t>ew 100 G4-ME3-A</t>
  </si>
  <si>
    <t>Wireless headmic set. Includes (1) SK 100 G4 bodypack, (1) ME 3-II headmic (cardioid, condenser), (1) EM 100 G4 rackmount receiver, (1) GA3 rack kit and (1) RJ10 linking cable, frequency range:A (516 - 558 MHz)</t>
  </si>
  <si>
    <t>ew 100 G4-ME3-A1</t>
  </si>
  <si>
    <t>Wireless headmic set. Includes (1) SK 100 G4 bodypack, (1) ME 3-II headmic (cardioid, condenser), (1) EM 100 G4 rackmount receiver, (1) GA3 rack kit and (1) RJ10 linking cable, frequency range:A1 (470 - 516 MHz)</t>
  </si>
  <si>
    <t>ew 100 G4-ME3-G</t>
  </si>
  <si>
    <t>Wireless headmic set. Includes (1) SK 100 G4 bodypack, (1) ME 3-II headmic (cardioid, condenser), (1) EM 100 G4 rackmount receiver, (1) GA3 rack kit and (1) RJ10 linking cable, frequency range:G (566 - 608 MHz)</t>
  </si>
  <si>
    <t>ew 100 G4-ME4-A</t>
  </si>
  <si>
    <t>Wireless lavalier set. Includes (1) SK 100 G4 bodypack, (1) ME 4 lavalier (cardioid, condenser), (1) EM 100 G4 rackmount receiver, (1) GA3 rack kit and (1) RJ10 linking cable, frequency range:A (516 - 558 MHz)</t>
  </si>
  <si>
    <t>ew 100 G4-ME4-A1</t>
  </si>
  <si>
    <t>Wireless lavalier set. Includes (1) SK 100 G4 bodypack, (1) ME 4 lavalier (cardioid, condenser), (1) EM 100 G4 rackmount receiver, (1) GA3 rack kit and (1) RJ10 linking cable, frequency range:A1 (470 - 516 MHz)</t>
  </si>
  <si>
    <t>ew 100 G4-ME4-G</t>
  </si>
  <si>
    <t>Wireless lavalier set. Includes (1) SK 100 G4 bodypack, (1) ME 4 lavalier (cardioid, condenser), (1) EM 100 G4 rackmount receiver, (1) GA3 rack kit and (1) RJ10 linking cable, frequency range:G (566 - 608 MHz)</t>
  </si>
  <si>
    <t>ew 100 ENG G4-A</t>
  </si>
  <si>
    <t>Portable wireless combo set. Includes (1) SK 100 G4 bodypack, (1) ME 2-II lavalier microphone (omnidirectional, condenser), (1) SKP 100 G4 plug-on for dynamic microphones, (1) EK 100 G4 portable receiver, (1) 1/8" output cable, (1) XLR unbalanced output cable and (1) camera mount, frequency range: A (516 - 558 MHz)</t>
  </si>
  <si>
    <t>ew 100 ENG G4-A1</t>
  </si>
  <si>
    <t>Portable wireless combo set. Includes (1) SK 100 G4 bodypack, (1) ME 2-II lavalier microphone (omnidirectional, condenser), (1) SKP 100 G4 plug-on for dynamic microphones, (1) EK 100 G4 portable receiver, (1) 1/8" output cable, (1) XLR unbalanced output cable and (1) camera mount, frequency range: A1 (470 - 516 MHz)</t>
  </si>
  <si>
    <t>ew 100 ENG G4-G</t>
  </si>
  <si>
    <t>Portable wireless combo set. Includes (1) SK 100 G4 bodypack, (1) ME 2-II lavalier microphone (omnidirectional, condenser), (1) SKP 100 G4 plug-on for dynamic microphones, (1) EK 100 G4 portable receiver, (1) 1/8" output cable, (1) XLR unbalanced output cable and (1) camera mount, frequency range: G (566 - 608 MHz)</t>
  </si>
  <si>
    <t>ew 112P G4-A</t>
  </si>
  <si>
    <t>Portable lavalier set. Includes (1) SK 100 G4 bodypack, (1) ME 2-II lavalier microphone (omnidirectional, condenser), (1) EK 100 G4 portable receiver, (1) 1/8" output cable, (1) XLR unbalanced output cable and (1) camera mount, frequency range: A (516 - 558 MHz)</t>
  </si>
  <si>
    <t>ew 112P G4-A1</t>
  </si>
  <si>
    <t>Portable lavalier set. Includes (1) SK 100 G4 bodypack, (1) ME 2-II lavalier microphone (omnidirectional, condenser), (1) EK 100 G4 portable receiver, (1) 1/8" output cable, (1) XLR unbalanced output cable and (1) camera mount, frequency range: A1 (470 - 516 MHz)</t>
  </si>
  <si>
    <t>ew 112P G4-G</t>
  </si>
  <si>
    <t>Portable lavalier set. Includes (1) SK 100 G4 bodypack, (1) ME 2-II lavalier microphone (omnidirectional, condenser), (1) EK 100 G4 portable receiver, (1) 1/8" output cable, (1) XLR unbalanced output cable and (1) camera mount, frequency range: G (566 - 608 MHz)</t>
  </si>
  <si>
    <t>ew 122P G4-A</t>
  </si>
  <si>
    <t>Portable lavalier set. Includes (1) SK 100 G4 bodypack, (1) ME 4 lavalier microphone (cardioid, condenser), (1) EK 100 G4 portable receiver, (1) 1/8" output cable, (1) XLR unbalanced output cable and (1) camera mount, frequency range: A (516 - 558 MHz)</t>
  </si>
  <si>
    <t>ew 122P G4-A1</t>
  </si>
  <si>
    <t>Portable lavalier set. Includes (1) SK 100 G4 bodypack, (1) ME 4 lavalier microphone (cardioid, condenser), (1) EK 100 G4 portable receiver, (1) 1/8" output cable, (1) XLR unbalanced output cable and (1) camera mount, frequency range: A1 (470 - 516 MHz)</t>
  </si>
  <si>
    <t>ew 122P G4-G</t>
  </si>
  <si>
    <t>Portable lavalier set. Includes (1) SK 100 G4 bodypack, (1) ME 4 lavalier microphone (cardioid, condenser), (1) EK 100 G4 portable receiver, (1) 1/8" output cable, (1) XLR unbalanced output cable and (1) camera mount, frequency range: G (566 - 608 MHz)</t>
  </si>
  <si>
    <t>ew 135P G4-A</t>
  </si>
  <si>
    <t>Portable vocal set. Includes (1) SKM 100 G4 handheld microphone, (1) e 835 capsule (cardioid, dynamic), (1) EK 100 G4 portable receiver, (1) 1/8" output cable, (1) XLR unbalanced output cable and (1) camera mount, frequency range: A (516 - 558 MHz)</t>
  </si>
  <si>
    <t>ew 135P G4-A1</t>
  </si>
  <si>
    <t>Portable vocal set. Includes (1) SKM 100 G4 handheld microphone, (1) e 835 capsule (cardioid, dynamic), (1) EK 100 G4 portable receiver, (1) 1/8" output cable, (1) XLR unbalanced output cable and (1) camera mount, frequency range: A1 (470 - 516 MHz)</t>
  </si>
  <si>
    <t>ew 135P G4-G</t>
  </si>
  <si>
    <t>Portable vocal set. Includes (1) SKM 100 G4 handheld microphone, (1) e 835 capsule (cardioid, dynamic), (1) EK 100 G4 portable receiver, (1) 1/8" output cable, (1) XLR unbalanced output cable and (1) camera mount, frequency range: G (566 - 608 MHz)</t>
  </si>
  <si>
    <t>EK 100 G4-A</t>
  </si>
  <si>
    <t>Portable camera receiver. Includes (1) 1/8" output cable, (1) XLR unbalanced output cable and (1) camera mount, frequency range: A (516 - 558 MHz)</t>
  </si>
  <si>
    <t>EK 100 G4-A1</t>
  </si>
  <si>
    <t>Portable camera receiver. Includes (1) 1/8" output cable, (1) XLR unbalanced output cable and (1) camera mount, frequency range: A1 (470 - 516 MHz)</t>
  </si>
  <si>
    <t>EK 100 G4-G</t>
  </si>
  <si>
    <t>Portable camera receiver. Includes (1) 1/8" output cable, (1) XLR unbalanced output cable and (1) camera mount, frequency range: G (566 - 608 MHz)</t>
  </si>
  <si>
    <t>EM 100 G4-A</t>
  </si>
  <si>
    <t>Rackmount true diversity receiver. Includes (1) GA3 rack kit, frequency range: A (516 - 558 MHz)</t>
  </si>
  <si>
    <t>EM 100 G4-A1</t>
  </si>
  <si>
    <t>Rackmount true diversity receiver. Includes (1) GA3 rack kit, frequency range: A1 (470 - 516 MHz)</t>
  </si>
  <si>
    <t>EM 100 G4-G</t>
  </si>
  <si>
    <t>Rackmount true diversity receiver. Includes (1) GA3 rack kit, frequency range: G (566 - 608 MHz)</t>
  </si>
  <si>
    <t>SK 100 G4-A</t>
  </si>
  <si>
    <t>Bodypack transmitter with 1/8" audio input socket (EW connector), frequency range: A (516 - 558 MHz)</t>
  </si>
  <si>
    <t>SK 100 G4-A1</t>
  </si>
  <si>
    <t>Bodypack transmitter with 1/8" audio input socket (EW connector), frequency range: A1 (470 - 516 MHz)</t>
  </si>
  <si>
    <t>SK 100 G4-G</t>
  </si>
  <si>
    <t>Bodypack transmitter with 1/8" audio input socket (EW connector), frequency range: G (566 - 608 MHz)</t>
  </si>
  <si>
    <t>SKM 100 G4-A</t>
  </si>
  <si>
    <t>Handheld transmitter. Microphone capsule not included, frequency range: A (516 - 558 MHz)</t>
  </si>
  <si>
    <t>SKM 100 G4-A1</t>
  </si>
  <si>
    <t>Handheld transmitter. Microphone capsule not included, frequency range: A1 (470 - 516 MHz)</t>
  </si>
  <si>
    <t>SKM 100 G4-G</t>
  </si>
  <si>
    <t>Handheld transmitter. Microphone capsule not included, frequency range: G (566 - 608 MHz)</t>
  </si>
  <si>
    <t>SKM 100 G4-S-A</t>
  </si>
  <si>
    <t>Handheld transmitter with mute switch. Microphone capsule not included, frequency range: A (516 - 558 MHz)</t>
  </si>
  <si>
    <t>SKM 100 G4-S-A1</t>
  </si>
  <si>
    <t>Handheld transmitter with mute switch. Microphone capsule not included, frequency range: A1 (470 - 516 MHz)</t>
  </si>
  <si>
    <t>SKM 100 G4-S-G</t>
  </si>
  <si>
    <t>Handheld transmitter with mute switch. Microphone capsule not included, frequency range: G (566 - 608 MHz)</t>
  </si>
  <si>
    <t>SKP 100 G4-A</t>
  </si>
  <si>
    <t>Plug on transmitter for dynamic microphones (no phantom power), frequency range: A (516 - 558 MHz)</t>
  </si>
  <si>
    <t>SKP 100 G4-A1</t>
  </si>
  <si>
    <t>Plug on transmitter for dynamic microphones (no phantom power), frequency range: A1 (470 - 516 MHz)</t>
  </si>
  <si>
    <t>SKP 100 G4-G</t>
  </si>
  <si>
    <t>Plug on transmitter for dynamic microphones (no phantom power), frequency range: G (566 - 608 MHz)</t>
  </si>
  <si>
    <t>ew 300 G4-865-S-AW+</t>
  </si>
  <si>
    <t>Wireless vocal set. Includes (1) SKM 300 G4-S handheld with mute switch, (1) e 865 capsule (supercardioid, condenser), (1) EM 300-500 G4 rackmount receiver, (1) GA 3 rack kit and (1) mic kit, frequency range:AW+ (470 - 558 MHz)</t>
  </si>
  <si>
    <t>ew 300 G4-865-S-GW1</t>
  </si>
  <si>
    <t>Wireless vocal set. Includes (1) SKM 300 G4-S handheld with mute switch, (1) e 865 capsule (supercardioid, condenser), (1) EM 300-500 G4 rackmount receiver, (1) GA 3 rack kit and (1) mic kit, frequency range:GW1 (558 - 608 MHz)</t>
  </si>
  <si>
    <t>ew 300 G4-BASE COMBO-AW+</t>
  </si>
  <si>
    <t>Wireless Handheld / bodypack combo base set. Includes (1) SKM 300 G4-S handheld microphone with mute switch (microphone capsule sold separately), (1) SK 300 G4-RC bodypack transmitter (lavalier, headmic or input cable sold separately), (1) EM 300-500 G4 rackmount receiver, (1) GA3 rack kit, and (1) mic clip, frequency range:AW+ (470 - 558 MHz)</t>
  </si>
  <si>
    <t>ew 300 G4-BASE COMBO-GW1</t>
  </si>
  <si>
    <t>Wireless Handheld / bodypack combo base set. Includes (1) SKM 300 G4-S handheld microphone with mute switch (microphone capsule sold separately), (1) SK 300 G4-RC bodypack transmitter (lavalier, headmic or input cable sold separately), (1) EM 300-500 G4 rackmount receiver, (1) GA3 rack kit, and (1) mic clip, frequency range:GW1 (558 - 608 MHz)</t>
  </si>
  <si>
    <t>ew 300 G4-BASE SK-RC-AW+</t>
  </si>
  <si>
    <t>Wireless bodypack base set. Includes (1) SK 300 G4-RC bodypack transmitter (lavalier, headmic or input cable sold separately), (1) EM 300-500 G4 rackmount receiver and (1) GA3 rack kit, frequency range:AW+ (470 - 558 MHz)</t>
  </si>
  <si>
    <t>ew 300 G4-BASE SK-RC-GW1</t>
  </si>
  <si>
    <t>Wireless bodypack base set. Includes (1) SK 300 G4-RC bodypack transmitter (lavalier, headmic or input cable sold separately), (1) EM 300-500 G4 rackmount receiver and (1) GA3 rack kit, frequency range:GW1 (558 - 608 MHz)</t>
  </si>
  <si>
    <t>ew 300 G4-BASE SKM-S-AW+</t>
  </si>
  <si>
    <t>Wireless handheld base set. Includes (1) SKM 300 G4-S handheld microphone with mute switch (microphone capsule sold separately) (1) EM 300-500 G4 rackmount receiver, (1) GA3 rack kit, and (1) mic clip, frequency range:AW+ (470 - 558 MHz)</t>
  </si>
  <si>
    <t>ew 300 G4-BASE SKM-S-GW1</t>
  </si>
  <si>
    <t>Wireless handheld base set. Includes (1) SKM 300 G4-S handheld microphone with mute switch (microphone capsule sold separately) (1) EM 300-500 G4 rackmount receiver, (1) GA3 rack kit, and (1) mic clip, frequency range:GW1 (558 - 608 MHz)</t>
  </si>
  <si>
    <t>ew 300 G4-HEADMIC1-RC-AW+</t>
  </si>
  <si>
    <t>Wireless headmic set. Includes (1) SK 300 G4-RC bodypack transmitter, (1) SL Headmic 1 (omnidirectional, condenser), (1) EM 300-500 G4 rackmount receiver, and (1) GA3 rack kit, frequency range: AW+ (470 - 558 MHz)</t>
  </si>
  <si>
    <t>ew 300 G4-HEADMIC1-RC-GW1</t>
  </si>
  <si>
    <t>Wireless headmic set. Includes (1) SK 300 G4-RC bodypack transmitter, (1) SL Headmic 1 (omnidirectional, condenser), (1) EM 300-500 G4 rackmount receiver, and (1) GA3 rack kit, frequency range: GW1 (558 - 608 MHz)</t>
  </si>
  <si>
    <t>ew 300 G4-ME2-RC-AW+</t>
  </si>
  <si>
    <t>Wireless lavalier set. Includes (1) SK 300 G4-RC bodypack transmitter, (1) ME 2-II lavalier microphone (omnidirectional, condenser), (1) EM 300-500 G4 rackmount receiver and (1) GA3 rack kit, frequency range:AW+ (470 - 558 MHz)</t>
  </si>
  <si>
    <t>ew 300 G4-ME2-RC-GW1</t>
  </si>
  <si>
    <t>Wireless lavalier set. Includes (1) SK 300 G4-RC bodypack transmitter, (1) ME 2-II lavalier microphone (omnidirectional, condenser), (1) EM 300-500 G4 rackmount receiver and (1) GA3 rack kit, frequency range:GW1 (558 - 608 MHz)</t>
  </si>
  <si>
    <t>EM 300-500 G4-AW+</t>
  </si>
  <si>
    <t>Rackmount true diversity receiver. GA3 rackmount included, frequency range: AW+ (470 - 558 MHz)</t>
  </si>
  <si>
    <t>EM 300-500 G4-GW1</t>
  </si>
  <si>
    <t>Rackmount true diversity receiver. GA3 rackmount included, frequency range: GW1 (558 - 608 MHz)</t>
  </si>
  <si>
    <t>SK 300 G4-RC-AW+</t>
  </si>
  <si>
    <t>Bodypack transmitter with 1/8" audio input (EW connector) and separate input for remote mute switch (RMS-1, sold separately), frequency range:AW+ (470 - 558 MHz)</t>
  </si>
  <si>
    <t>SK 300 G4-RC-GW1</t>
  </si>
  <si>
    <t>Bodypack transmitter with 1/8" audio input (EW connector) and separate input for remote mute switch (RMS-1, sold separately), frequency range:GW1 (558 - 608 MHz)</t>
  </si>
  <si>
    <t>SKM 300 G4-S-AW+</t>
  </si>
  <si>
    <t>Handheld Transmitter with mute switch (no capsule included), frequency range:AW+ (470 - 558 MHz)</t>
  </si>
  <si>
    <t>SKM 300 G4-S-GW1</t>
  </si>
  <si>
    <t>Handheld Transmitter with mute switch (no capsule included), frequency range:GW1 (558 - 608 MHz)</t>
  </si>
  <si>
    <t>ew 500 G4-935-AW+</t>
  </si>
  <si>
    <t>Wireless vocal set. Includes (1) SKM 500 G4 handheld microphone, (1) e 935 capsule (cardioid, dynamic), (1) EM 300-500 G4 rackmount receiver, (1) GA3 rack kit and (1) mic clip, frequency range: AW+ (470 - 558 MHz)</t>
  </si>
  <si>
    <t>ew 500 G4-935-GW1</t>
  </si>
  <si>
    <t>Wireless vocal set. Includes (1) SKM 500 G4 handheld microphone, (1) e 935 capsule (cardioid, dynamic), (1) EM 300-500 G4 rackmount receiver, (1) GA3 rack kit and (1) mic clip, frequency range: GW1 (558 - 608 MHz)</t>
  </si>
  <si>
    <t>ew 500 G4-945-AW+</t>
  </si>
  <si>
    <t>Wireless vocal set. Includes (1) SKM 500 G4 handheld microphone, (1) e 945 capsule (supercardioid, dynamic), (1) EM 300-500 G4 rackmount receiver, (1) GA3 rack kit and (1) mic clip, frequency range: AW+ (470 - 558 MHz)</t>
  </si>
  <si>
    <t>ew 500 G4-945-GW1</t>
  </si>
  <si>
    <t>Wireless vocal set. Includes (1) SKM 500 G4 handheld microphone, (1) e 945 capsule (supercardioid, dynamic), (1) EM 300-500 G4 rackmount receiver, (1) GA3 rack kit and (1) mic clip, frequency range: GW1 (558 - 608 MHz)</t>
  </si>
  <si>
    <t>ew 500 G4-965-AW+</t>
  </si>
  <si>
    <t>Wireless vocal set. Includes (1) SKM 500 G4 handheld, (1) e 965 capsule (selectable cardioid/supercardioid, condenser), (1) EM 300-500 G4 rackmount receiver, (1) GA3 rack kit and (1) mic clip, frequency range:AW+ (470 - 558 MHz)</t>
  </si>
  <si>
    <t>ew 500 G4-965-GW1</t>
  </si>
  <si>
    <t>Wireless vocal set. Includes (1) SKM 500 G4 handheld, (1) e 965 capsule (selectable cardioid/supercardioid, condenser), (1) EM 300-500 G4 rackmount receiver, (1) GA3 rack kit and (1) mic clip, frequency range:GW1 (558 - 608 MHz)</t>
  </si>
  <si>
    <t>ew 500 G4-CI1-AW+</t>
  </si>
  <si>
    <t>Wireless instrument set. Includes (1) SK 500 G4 bodypack, (1) CI1 1/4" input cable, (1) EM 300-500 G4 rackmount receiver and (1) GA3 rack kit, frequency range:AW+ (470 - 558 MHz)</t>
  </si>
  <si>
    <t>ew 500 G4-CI1-GW1</t>
  </si>
  <si>
    <t>Wireless instrument set. Includes (1) SK 500 G4 bodypack, (1) CI1 1/4" input cable, (1) EM 300-500 G4 rackmount receiver and (1) GA3 rack kit, frequency range:GW1 (558 - 608 MHz)</t>
  </si>
  <si>
    <t>ew 500 G4-KK205-AW+</t>
  </si>
  <si>
    <t>Wireless vocal set. Includes (1) SKM 500 G4 handheld transmitter, (1) Neumann KK 205 capsule (supercardioid, condenser), (1) EM 300-500 G4 rackmount receiver, (1) NT 2-3 power supply, (1) GA3 rack kit and (1) mic clip, frequency range: AW+ (470-558 MHz)</t>
  </si>
  <si>
    <t>ew 500 G4-KK205-GW1</t>
  </si>
  <si>
    <t>Wireless vocal set. Includes (1) SKM 500 G4 handheld transmitter, (1) Neumann KK 205 capsule (supercardioid, condenser), (1) EM 300-500 G4 rackmount receiver, (1) NT 2-3 power supply, (1) GA3 rack kit and (1) mic clip, frequency range: GW1  (558–608 MHz)</t>
  </si>
  <si>
    <t>ew 500 G4-MKE2-AW+</t>
  </si>
  <si>
    <t>Wireless lavalier set. Includes (1) SK 500 G4 bodypack, (1) MKE 2 Gold lavalier microphone (omnidirectional, condenser), (1) EM 300-500 G4 rackmount receiver and (1) GA3 rack kit, frequency range: AW+ (470 - 558 MHz)</t>
  </si>
  <si>
    <t>ew 500 G4-MKE2-GW1</t>
  </si>
  <si>
    <t>Wireless lavalier set. Includes (1) SK 500 G4 bodypack, (1) MKE 2 Gold lavalier microphone (omnidirectional, condenser), (1) EM 300-500 G4 rackmount receiver and (1) GA3 rack kit, frequency range: GW1 (558 - 608 MHz)</t>
  </si>
  <si>
    <t>ew 500 BOOM G4-AW+</t>
  </si>
  <si>
    <t>Portable plug-on wireless set. Includes (1) SKP 500 G4 plug-on transmitter with phantom power, (1) EK 500 G4 portable camera receiver, (1) 1/8" output cable, (1) XLR unbalanced output cable and (1) camera mount, frequency range:AW+ (470 - 558 MHz)</t>
  </si>
  <si>
    <t>ew 500 BOOM G4-GW1</t>
  </si>
  <si>
    <t>Portable plug-on wireless set. Includes (1) SKP 500 G4 plug-on transmitter with phantom power, (1) EK 500 G4 portable camera receiver, (1) 1/8" output cable, (1) XLR unbalanced output cable and (1) camera mount, frequency range:GW1 (558 - 608 MHz)</t>
  </si>
  <si>
    <t>ew 500 FILM G4-AW+</t>
  </si>
  <si>
    <t>Portable wireless combo set. Includes (1) SK 500 G4 bodypack, (1) MKE 2 Gold lavalier microphone (omnidirectional, condenser), (1) SKP 500 G4 plug-on transmitter with phantom power, (1) EK 500 G4 portable camera receiver, (1) 1/8" output cable, (1) XLR balanced output cable and (1) camera mount, frequency range:AW+ (470 - 558 MHz)</t>
  </si>
  <si>
    <t>ew 500 FILM G4-GW1</t>
  </si>
  <si>
    <t>Portable wireless combo set. Includes (1) SK 500 G4 bodypack, (1) MKE 2 Gold lavalier microphone (omnidirectional, condenser), (1) SKP 500 G4 plug-on transmitter with phantom power, (1) EK 500 G4 portable camera receiver, (1) 1/8" output cable, (1) XLR balanced output cable and (1) camera mount, frequency range:GW1 (558 - 608 MHz)</t>
  </si>
  <si>
    <t>ew 512P G4-AW+</t>
  </si>
  <si>
    <t>Portable lavalier wireless set. Includes (1) SK 500 G4 bodypack, (1) MKE 2 Gold lavalier microphone (omnidirectional, condenser), (1) EK 500 G4 portable camera receiver, (1) 1/8" output cable, (1) XLR unbalanced output cable and (1) camera mount, frequency range: AW+ (470 - 558 MHz)</t>
  </si>
  <si>
    <t>ew 512P G4-GW1</t>
  </si>
  <si>
    <t>Portable lavalier wireless set. Includes (1) SK 500 G4 bodypack, (1) MKE 2 Gold lavalier microphone (omnidirectional, condenser), (1) EK 500 G4 portable camera receiver, (1) 1/8" output cable, (1) XLR unbalanced output cable and (1) camera mount, frequency range: GW1 (558 - 608 MHz)</t>
  </si>
  <si>
    <t>EK 500 G4-AW+</t>
  </si>
  <si>
    <t>Portable camera receiver. Includes (1) 1/8" output cable, (1) XLR balanced output cable and (1) camera mount, frequency range:AW+ (470 - 558 MHz)</t>
  </si>
  <si>
    <t>EK 500 G4-GW1</t>
  </si>
  <si>
    <t>Portable camera receiver. Includes (1) 1/8" output cable, (1) XLR balanced output cable and (1) camera mount, frequency range:GW1 (558 - 608 MHz)</t>
  </si>
  <si>
    <t>SK 500 G4-AW+</t>
  </si>
  <si>
    <t>Bodypack transmitter with 1/8" audio input socket (EW connector), frequency range: AW+ (470 - 558 MHz)</t>
  </si>
  <si>
    <t>SK 500 G4-GW1</t>
  </si>
  <si>
    <t>Bodypack transmitter with 1/8" audio input socket (EW connector), frequency range: GW1 (558 - 608 MHz)</t>
  </si>
  <si>
    <t>SKM 500 G4-AW+</t>
  </si>
  <si>
    <t>Handheld Transmitter. Microphone capsule not included, frequency range: AW+ (470 - 558 MHz)</t>
  </si>
  <si>
    <t>SKM 500 G4-GW1</t>
  </si>
  <si>
    <t>Handheld Transmitter. Microphone capsule not included, frequency range: GW1 (558 - 608 MHz)</t>
  </si>
  <si>
    <t>SKP 500 G4-AW+</t>
  </si>
  <si>
    <t>Plug on transmitter with phantom power, frequency range:AW+ (470 - 558 MHz)</t>
  </si>
  <si>
    <t>SKP 500 G4-GW1</t>
  </si>
  <si>
    <t>Plug on transmitter with phantom power, frequency range:GW1 (558 - 608 MHz)</t>
  </si>
  <si>
    <t>A 1031-U</t>
  </si>
  <si>
    <t>Receiving/transmitting antenna, passive, omnidirectional, BNC connector, 3/8” mounting thread</t>
  </si>
  <si>
    <t>A 2003-UHF</t>
  </si>
  <si>
    <t>Receiving/transmitting antenna, passive, directional, BNC connector, 3/8" mounting thread</t>
  </si>
  <si>
    <t>A 5000-CP</t>
  </si>
  <si>
    <t>Receiver/transmitter antenna, passive, directional, circularly polarized</t>
  </si>
  <si>
    <t>AB 4-AW+</t>
  </si>
  <si>
    <t>Inline antenna booster, +10 dB gain, BNC connectors, frequency range: AW+ (470 - 558 MHz)</t>
  </si>
  <si>
    <t>AB 4-GW</t>
  </si>
  <si>
    <t>Inline antenna booster, +10 dB gain, BNC connectors, frequency range: GW (558 - 626 MHz)</t>
  </si>
  <si>
    <t>522419</t>
  </si>
  <si>
    <t>Spare Part: evolution wireless G3 and XS Wireless (EM 10, EM 100 G3, EM 300 G3, EM 500 G3, SR 300 IEM G3). Antenna Rod with BNC connector</t>
  </si>
  <si>
    <t>WM1</t>
  </si>
  <si>
    <t>Wall/ceiling mount with 5/8 in thread</t>
  </si>
  <si>
    <t>ASA 214-UHF</t>
  </si>
  <si>
    <t>Active antenna splitter with DC power distribution for ew G3 and ew G4 receivers. Includes (1) NT 1-1 power supply and (8) BNC cables</t>
  </si>
  <si>
    <t>ASP 113</t>
  </si>
  <si>
    <t>Single three-way antenna splitter, two (2) needed to join three (3) recievers (priced individually). Two (2) required.</t>
  </si>
  <si>
    <t>ASP 114</t>
  </si>
  <si>
    <t>Single four-way antenna splitter, two (2) needed to join four (4) receivers (priced individually). Two (2) required.</t>
  </si>
  <si>
    <t>ASP 212</t>
  </si>
  <si>
    <t>One dual two-way BNC passive splitter box with DC pass through, used for sharing two antennas with up to 16 receivers (requires using two 8-channel splitter kits)</t>
  </si>
  <si>
    <t>EW-D 835-S SET (Q1-6)</t>
  </si>
  <si>
    <t>Digital wireless handheld set. Includes (1 ) EW-D EM digital 19 1/2" single channel receiver , (1)  EW-D SKM​ digital handheld transmitter with mute switch, (1) MMD 835​ microphone module, (1) MZQ1​ microphone clip, (1) NT 12-5 CW+ power supply  with country adapters​, (1) rack mount kit and AA batteries, frequency range:  (470 - 526 MHz)</t>
  </si>
  <si>
    <t>EW-D 835-S SET (R1-6)</t>
  </si>
  <si>
    <t>Digital wireless handheld set. Includes (1 ) EW-D EM digital 19 1/2" single channel receiver , (1)  EW-D SKM​ digital handheld transmitter with mute switch, (1) MMD 835​ microphone module, (1) MZQ1​ microphone clip, (1) NT 12-5 CW+ power supply  with country adapters​, (1) rack mount kit and AA batteries, frequency range:  (520 - 576 MHz)</t>
  </si>
  <si>
    <t>EW-D 835-S SET (R4-9)</t>
  </si>
  <si>
    <t>Digital wireless handheld set. Includes (1 ) EW-D EM digital 19 1/2" single channel receiver , (1)  EW-D SKM​ digital handheld transmitter with mute switch, (1) MMD 835​ microphone module, (1) MZQ1​ microphone clip, (1) NT 12-5 CW+ power supply  with country adapters​, (1) rack mount kit and AA batteries, frequency range:  (552 - 608 MHz)</t>
  </si>
  <si>
    <t>EW-D CI1 SET (Q1-6)</t>
  </si>
  <si>
    <t>Digital wireless instrument set. Includes (1) EW-D EM digital 19 1/2" single channel receiver, (1) EW-D SK digital bodypack transmitter, (1) CI1 instrument cable, (1) NT 12-5 CW+  power supply with country adapters, (1) rack mount kit and AA batteries, frequency range:  (470 - 526 MHz)</t>
  </si>
  <si>
    <t>EW-D CI1 SET (R1-6)</t>
  </si>
  <si>
    <t>Digital wireless instrument set. Includes (1) EW-D EM digital 19 1/2" single channel receiver, (1) EW-D SK digital bodypack transmitter, (1) CI1 instrument cable, (1) NT 12-5 CW+  power supply with country adapters, (1) rack mount kit and AA batteries, frequency range:  (520 - 576 MHz)</t>
  </si>
  <si>
    <t>EW-D CI1 SET (R4-9)</t>
  </si>
  <si>
    <t>Digital wireless instrument set. Includes (1) EW-D EM digital 19 1/2" single channel receiver, (1) EW-D SK digital bodypack transmitter, (1) CI1 instrument cable, (1) NT 12-5 CW+  power supply with country adapters, (1) rack mount kit and AA batteries, frequency range:  (552 - 608 MHz)</t>
  </si>
  <si>
    <t>EW-D ME2 SET (Q1-6)</t>
  </si>
  <si>
    <t>Digital wireless lavalier set. Includes (1) EW-D EM Digital 19 1/2" single channel receiver, (1)  EW-D SK digital bodypack transmitter, (1) new ME2 lavalier (omnidirectional, condenser), (1) NT 12-5 CW+ power supply  with country adapters, (1) rack mount kit and AA batteries, frequency range:  (470 - 526 MHz)</t>
  </si>
  <si>
    <t>EW-D ME2 SET (R1-6)</t>
  </si>
  <si>
    <t>Digital wireless lavalier set. Includes (1) EW-D EM Digital 19 1/2" single channel receiver, (1)  EW-D SK digital bodypack transmitter, (1) new ME2 lavalier (omnidirectional, condenser), (1) NT 12-5 CW+ power supply  with country adapters, (1) rack mount kit and AA batteries, frequency range:  (520 - 576 MHz)</t>
  </si>
  <si>
    <t>EW-D ME2 SET (R4-9)</t>
  </si>
  <si>
    <t>Digital wireless lavalier set. Includes (1) EW-D EM Digital 19 1/2" single channel receiver, (1)  EW-D SK digital bodypack transmitter, (1) new ME2 lavalier (omnidirectional, condenser), (1) NT 12-5 CW+ power supply  with country adapters, (1) rack mount kit and AA batteries, frequency range:  (552 - 608 MHz)</t>
  </si>
  <si>
    <t>EW-D ME2/835-S SET (Q1-6)</t>
  </si>
  <si>
    <t>Digital wireless lavalier/vocal combo set. Includes (1) EW-D EM digital 19 1/2" single channel receiver​, (1) EW-D SK digital bodypack transmitter, (1) new ME2 lavalier (omnidirectional, condenser), (1) EW-D SKM digital handheld transmitter with mute switch ​, (1) MMD 835 microphone module ​,  (1) MZQ1 microphone clip ​, (1) NT 12-5 CW+ power supply with country adapters​, (1) rack mount kit and AA batteries, frequency range:  (470 - 526 MHz)</t>
  </si>
  <si>
    <t>EW-D ME2/835-S SET (R1-6)</t>
  </si>
  <si>
    <t>Digital wireless lavalier/vocal combo set. Includes (1) EW-D EM digital 19 1/2" single channel receiver​, (1) EW-D SK digital bodypack transmitter, (1) new ME2 lavalier (omnidirectional, condenser), (1) EW-D SKM digital handheld transmitter with mute switch ​, (1) MMD 835 microphone module ​,  (1) MZQ1 microphone clip ​, (1) NT 12-5 CW+ power supply with country adapters​, (1) rack mount kit and AA batteries, frequency range:  (520 - 576 MHz)</t>
  </si>
  <si>
    <t>EW-D ME2/835-S SET (R4-9)</t>
  </si>
  <si>
    <t>Digital wireless lavalier/vocal combo set. Includes (1) EW-D EM digital 19 1/2" single channel receiver​, (1) EW-D SK digital bodypack transmitter, (1) new ME2 lavalier (omnidirectional, condenser), (1) EW-D SKM digital handheld transmitter with mute switch ​, (1) MMD 835 microphone module ​,  (1) MZQ1 microphone clip ​, (1) NT 12-5 CW+ power supply with country adapters​, (1) rack mount kit and AA batteries, frequency range:  (552 - 608 MHz)</t>
  </si>
  <si>
    <t>EW-D ME3 SET (Q1-6)</t>
  </si>
  <si>
    <t>Digital wireless headmic set. Includes (1)  EW-D EM digital 19 1/2" single channel receiver, (1) EW-D SK Digital bodypack transmitter, (1) new ME 3 headmic (cardioid, condenser), (1)  NT 12-5 CW+ power supply with country adapters,  (1) rack mount kit and AA batteries, frequency range:  (470 - 526 MHz)</t>
  </si>
  <si>
    <t>EW-D ME3 SET (R1-6)</t>
  </si>
  <si>
    <t>Digital wireless headmic set. Includes (1)  EW-D EM digital 19 1/2" single channel receiver, (1) EW-D SK Digital bodypack transmitter, (1) new ME 3 headmic (cardioid, condenser), (1)  NT 12-5 CW+ power supply with country adapters,  (1) rack mount kit and AA batteries, frequency range:  (520 - 576 MHz)</t>
  </si>
  <si>
    <t>EW-D ME3 SET (R4-9)</t>
  </si>
  <si>
    <t>Digital wireless headmic set. Includes (1)  EW-D EM digital 19 1/2" single channel receiver, (1) EW-D SK Digital bodypack transmitter, (1) new ME 3 headmic (cardioid, condenser), (1)  NT 12-5 CW+ power supply with country adapters,  (1) rack mount kit and AA batteries, frequency range:  (552 - 608 MHz)</t>
  </si>
  <si>
    <t>EW-D ME4 SET (Q1-6)</t>
  </si>
  <si>
    <t>Digital wireless lavalier set. Includes (1) EW-D EM digital 19 1/2" single channel receiver, (1)  EW-D SK digital bodypack transmitter, (1) new ME4 lavalier (cardioid, condenser), (1) NT 12-5 CW+ power supply  with country adapters, (1) rack mount kit and AA batteries, frequency range:  (470 - 526 MHz)</t>
  </si>
  <si>
    <t>EW-D ME4 SET (R1-6)</t>
  </si>
  <si>
    <t>Digital wireless lavalier set. Includes (1) EW-D EM digital 19 1/2" single channel receiver, (1)  EW-D SK digital bodypack transmitter, (1) new ME4 lavalier (cardioid, condenser), (1) NT 12-5 CW+ power supply  with country adapters, (1) rack mount kit and AA batteries, frequency range:  (520 - 576 MHz)</t>
  </si>
  <si>
    <t>EW-D ME4 SET (R4-9)</t>
  </si>
  <si>
    <t>Digital wireless lavalier set. Includes (1) EW-D EM digital 19 1/2" single channel receiver, (1)  EW-D SK digital bodypack transmitter, (1) new ME4 lavalier (cardioid, condenser), (1) NT 12-5 CW+ power supply  with country adapters, (1) rack mount kit and AA batteries, frequency range:  (552 - 608 MHz)</t>
  </si>
  <si>
    <t>EW-D SK BASE SET (Q1-6)</t>
  </si>
  <si>
    <t>Digital wireless bodypack base set. Includes (1) EW-D EM digital 19 1/2" single channel receiver, (1) EW-D SK digital bodypack transmitter (lavalier, headmic or input cable sold separately), (1) NT 12-5 CW+ power supply  with country adapters, (1) rack mount kit and AA batteries, frequency range: (470 - 526 MHz)</t>
  </si>
  <si>
    <t>EW-D SK BASE SET (R1-6)</t>
  </si>
  <si>
    <t>Digital wireless bodypack base set. Includes (1) EW-D EM digital 19 1/2" single channel receiver, (1) EW-D SK digital bodypack transmitter (lavalier, headmic or input cable sold separately), (1) NT 12-5 CW+ power supply  with country adapters, (1) rack mount kit and AA batteries, frequency range: (520 - 576 MHz)</t>
  </si>
  <si>
    <t>EW-D SK BASE SET (R4-9)</t>
  </si>
  <si>
    <t>Digital wireless bodypack base set. Includes (1) EW-D EM digital 19 1/2" single channel receiver, (1) EW-D SK digital bodypack transmitter (lavalier, headmic or input cable sold separately), (1) NT 12-5 CW+ power supply  with country adapters, (1) rack mount kit and AA batteries, frequency range: (552 - 608 MHz)</t>
  </si>
  <si>
    <t>EW-D SKM-S BASE SET (Q1-6)</t>
  </si>
  <si>
    <t>Digital wireless handheld base set. Includes (1) EW-D EM digital 19 1/2" single channel receiver​, (1) EW-D SKM digital handheld transmitter with mute switch ​ (microphone module sold separately), (1) MZQ1 microphone clip ​, (1) NT 12-5 CW+ power supply with country adapters​, (1) rack mount kit and AA batteries, frequency range:  (470 - 526 MHz)</t>
  </si>
  <si>
    <t>EW-D SKM-S BASE SET (R1-6)</t>
  </si>
  <si>
    <t>Digital wireless handheld base set. Includes (1) EW-D EM digital 19 1/2" single channel receiver​, (1) EW-D SKM digital handheld transmitter with mute switch ​ (microphone module sold separately), (1) MZQ1 microphone clip ​, (1) NT 12-5 CW+ power supply with country adapters​, (1) rack mount kit and AA batteries, frequency range:  (520 - 576 MHz)</t>
  </si>
  <si>
    <t>EW-D SKM-S BASE SET (R4-9)</t>
  </si>
  <si>
    <t>Digital wireless handheld base set. Includes (1) EW-D EM digital 19 1/2" single channel receiver​, (1) EW-D SKM digital handheld transmitter with mute switch ​ (microphone module sold separately), (1) MZQ1 microphone clip ​, (1) NT 12-5 CW+ power supply with country adapters​, (1) rack mount kit and AA batteries, frequency range:  (552 - 608 MHz)</t>
  </si>
  <si>
    <t>EW-D EM (Q1-6)</t>
  </si>
  <si>
    <t>Digital 19 ½” single channel receiver. Includes (1) GA4 rackmount, frequency range:  (470 - 526 MHz)</t>
  </si>
  <si>
    <t>EW-D EM (R1-6)</t>
  </si>
  <si>
    <t>Digital 19 ½” single channel receiver. Includes (1) GA4 rackmount, frequency range:  (520 - 576 MHz)</t>
  </si>
  <si>
    <t>EW-D EM (R4-9)</t>
  </si>
  <si>
    <t>Digital 19 ½” single channel receiver. Includes (1) GA4 rackmount, frequency range:  (552 - 608 MHz)</t>
  </si>
  <si>
    <t>EW-D SK (Q1-6)</t>
  </si>
  <si>
    <t>Digital bodypack transmitter with 1/8" audio input socket (EW connector), frequency range:  (470 - 526 MHz)</t>
  </si>
  <si>
    <t>EW-D SK (R1-6)</t>
  </si>
  <si>
    <t>Digital bodypack transmitter with 1/8" audio input socket (EW connector), frequency range:  (520 - 576 MHz)</t>
  </si>
  <si>
    <t>EW-D SK (R4-9)</t>
  </si>
  <si>
    <t>Digital bodypack transmitter with 1/8" audio input socket (EW connector), frequency range:  (552 - 608 MHz)</t>
  </si>
  <si>
    <t>EW-D SKM-S (Q1-6)</t>
  </si>
  <si>
    <t>Digital handheld transmitter. Includes (1) set  AA batteries, microphone module not included, frequency range: (470 - 526 MHz)</t>
  </si>
  <si>
    <t>EW-D SKM-S (R1-6)</t>
  </si>
  <si>
    <t>Digital handheld transmitter. Includes (1) set  AA batteries, microphone module not included, frequency range: (520 - 576 MHz)</t>
  </si>
  <si>
    <t>EW-D SKM-S (R4-9)</t>
  </si>
  <si>
    <t>Digital handheld transmitter. Includes (1) set  AA batteries, microphone module not included, frequency range: (552 - 608 MHz)</t>
  </si>
  <si>
    <t>ADP UHF (470 - 1075 MHZ)</t>
  </si>
  <si>
    <t>Passive, directional external paddle antenna, UHF range (470 - 1075 MHz)</t>
  </si>
  <si>
    <t>EW-D AB (Q)</t>
  </si>
  <si>
    <t>Inline antenna booster, +10 dB gain, BNC connectors, frequency range (470-550 MHz)</t>
  </si>
  <si>
    <t>EW-D AB (R)</t>
  </si>
  <si>
    <t>Inline antenna booster, +10 dB gain, BNC connectors, frequency range (520-608 MHz)</t>
  </si>
  <si>
    <t>HALF WAVE DIPOLE (Q)</t>
  </si>
  <si>
    <t>Halfwave antenna rod for EW-D EM rackmount receivers, frequency range:  (470-550 MHz)</t>
  </si>
  <si>
    <t>EW-D ASA (Q-R-S)</t>
  </si>
  <si>
    <t>Active antenna splitter (dual 1;4) with DC power distribution for EW-D receivers. Includes (1) NT 12-35 CS power supply and (8) BNC cables (470-706 MHz MHz)</t>
  </si>
  <si>
    <t>EW-D ASA CN/ANZ (Q-R-S)</t>
  </si>
  <si>
    <t>EW-D COLOR CODING SET</t>
  </si>
  <si>
    <t>Sets of  magnetic color indicators for the EW-D SK, EW-D SM and EW-D EM  for identification purposes. Includes (1) EW-D SK COLOR CODING set (16 pcs), (1) EW-D SKM COLOR CODING set (16 pcs), and (1) EW-D EM COLOR CODING set (16 pcs)</t>
  </si>
  <si>
    <t>EW-D EM COLOR CODING</t>
  </si>
  <si>
    <t>Sets of  magnetic color indicators for the EW-D EM  for identification purposes. Includes (16) color indicators</t>
  </si>
  <si>
    <t>EW-D EM RUBBER FEET</t>
  </si>
  <si>
    <t>Rubber feet for EW-D EM rackmount receiver</t>
  </si>
  <si>
    <t>EW-D SK BELT CLIP VERTICAL</t>
  </si>
  <si>
    <t>Belt clip for EW-D SK digital bodypack transmitter</t>
  </si>
  <si>
    <t>EW-D SK COLOR CODING</t>
  </si>
  <si>
    <t>Sets of  magnetic color indicators for the EW-D SK for identification purposes. Includes (16) color indicators</t>
  </si>
  <si>
    <t>EW-D SKM COLOR CODING</t>
  </si>
  <si>
    <t>Sets of  magnetic color indicators for the EW-D SM for identification purposes. Includes (16) color indicators</t>
  </si>
  <si>
    <t>ADAPTER SET NT 12-5 CW+</t>
  </si>
  <si>
    <t>Full prong set for EW-D EM</t>
  </si>
  <si>
    <t>BA 70</t>
  </si>
  <si>
    <t>Rechargeable battery pack for EW-D SK and EW-D SKM-S, lithium ion</t>
  </si>
  <si>
    <t>EW-D CHARGING SET</t>
  </si>
  <si>
    <t>EW-D Charging set. Includes (1) L 70 USB chargers and (2) BA 70 rechargeable batteries and (1) NT 5-20 UCW power supply</t>
  </si>
  <si>
    <t>L 70 USB</t>
  </si>
  <si>
    <t>Charger for BA 70, 2 charging slots, cascadable. Includes  (1) NT 5-20 UCW power supply</t>
  </si>
  <si>
    <t>NT 12-35 CS</t>
  </si>
  <si>
    <t>Power supply for EW-D ASA active anntena splitter</t>
  </si>
  <si>
    <t>NT 12-5 CW+</t>
  </si>
  <si>
    <t>Power supply for EW-D EM receivers</t>
  </si>
  <si>
    <t>NT 5-20 UCW</t>
  </si>
  <si>
    <t>Power supply for L 70 Charger</t>
  </si>
  <si>
    <t>TEMPLATE</t>
  </si>
  <si>
    <t>Autoarchive</t>
  </si>
  <si>
    <t>No</t>
  </si>
  <si>
    <t>Auto Archive and Issue Folders</t>
  </si>
  <si>
    <t>1 Beyond</t>
  </si>
  <si>
    <t>1BSRAM-VXP-S</t>
  </si>
  <si>
    <t>Automate VX Pro system</t>
  </si>
  <si>
    <t>Requires 1BSRAM-OPS</t>
  </si>
  <si>
    <t>1BSRAM-VXI-S</t>
  </si>
  <si>
    <t>Automate VX system</t>
  </si>
  <si>
    <t>1BSRAM-SLP-S</t>
  </si>
  <si>
    <t>Automate Select Pro system</t>
  </si>
  <si>
    <t>1BSRAM-SLI-S</t>
  </si>
  <si>
    <t>Automate Select system</t>
  </si>
  <si>
    <t>1BSRAM-OPS</t>
  </si>
  <si>
    <t>Automate™ Professional Services, Required for all first time room designs. Includes design consultation, remote configuration and installation support and system verification.</t>
  </si>
  <si>
    <t>1BCAA3-N20</t>
  </si>
  <si>
    <t>AutoTracker 3 with NDI®</t>
  </si>
  <si>
    <t>Includes Wall Mount</t>
  </si>
  <si>
    <t>1BCAA3-I20</t>
  </si>
  <si>
    <t>AutoTracker 3</t>
  </si>
  <si>
    <t>1BCAFN-I12</t>
  </si>
  <si>
    <t>AutoFinder</t>
  </si>
  <si>
    <t>1BCAFR-112</t>
  </si>
  <si>
    <t>AutoFramer</t>
  </si>
  <si>
    <t>1BCAHK-I12</t>
  </si>
  <si>
    <t>Hawk</t>
  </si>
  <si>
    <t>1BCAFL-IEP</t>
  </si>
  <si>
    <t>Falcon</t>
  </si>
  <si>
    <t>Includes Hawk Wall Mount</t>
  </si>
  <si>
    <t>1BCAPE-N20</t>
  </si>
  <si>
    <t>PTZ-IP20 camera with HD-SDI,HDMI, NDI output, 20x zoom, and PoE+</t>
  </si>
  <si>
    <t>1BCAPE-I20</t>
  </si>
  <si>
    <t>PTZ-IP20 camera with HD-SDI &amp; HDMI output, 20x zoom, and PoE+</t>
  </si>
  <si>
    <t>1BCAPE-I12</t>
  </si>
  <si>
    <t>PTZ-IP12 camera with HD-SDI &amp; HDMI output, 12x zoom, and PoE+</t>
  </si>
  <si>
    <t>1BCAAC-JCI</t>
  </si>
  <si>
    <t>IP Joystick and keyboard control for 1 Beyond cameras</t>
  </si>
  <si>
    <t>1BCAAC-AML</t>
  </si>
  <si>
    <t xml:space="preserve">MicLocater unit to be used with AutoFinder camera for locating handheld microphones. </t>
  </si>
  <si>
    <t>1BCAAC-JC</t>
  </si>
  <si>
    <t>RS-485 Joystick and keyboard control for 1 Beyond cameras</t>
  </si>
  <si>
    <t>1BCAAC-RPK</t>
  </si>
  <si>
    <t>Required Remote Power Kit for installs where power needs to travel more than 10 ft</t>
  </si>
  <si>
    <t>1BCAAC-MCJ</t>
  </si>
  <si>
    <t>J shaped ceiling mount for AutoTracker or PTZ cameras</t>
  </si>
  <si>
    <t>1BCAAC-MW</t>
  </si>
  <si>
    <t>Wall mount for PTZ and AutoTracker cameras</t>
  </si>
  <si>
    <t>1BCAAC-MWS</t>
  </si>
  <si>
    <t>Wall mount shelf for PTZ and AutoTracker cameras</t>
  </si>
  <si>
    <t>1BCAAC-MCP</t>
  </si>
  <si>
    <t xml:space="preserve">Ceiling plate- Mount for inverting standard PTZ cameras with image flip </t>
  </si>
  <si>
    <t>1BCAAC-TTP</t>
  </si>
  <si>
    <t>Tall tripod, ideal for AutoTracker and PTZ cameras</t>
  </si>
  <si>
    <t>Absen</t>
  </si>
  <si>
    <t>Acclaim 1.2 Pro</t>
  </si>
  <si>
    <t>P1.27mm,Wall Mounting,600nit in. display</t>
  </si>
  <si>
    <t>4X4</t>
  </si>
  <si>
    <t>Acclaim 1.2 Plus</t>
  </si>
  <si>
    <t>Acclaim 1.5 Pro</t>
  </si>
  <si>
    <t>P1.58mm,Wall Mounting,600nit in. display</t>
  </si>
  <si>
    <t>Acclaim 1.5 Plus</t>
  </si>
  <si>
    <t>Acclaim 1.9 Plus</t>
  </si>
  <si>
    <t>P1.906mm,Wall Mounting,800nit in. display</t>
  </si>
  <si>
    <t>Acclaim 2.5 Plus</t>
  </si>
  <si>
    <t>P2.54mm,Wall Mounting,1000nit in. display</t>
  </si>
  <si>
    <t>5X5</t>
  </si>
  <si>
    <t>6X6</t>
  </si>
  <si>
    <t>8X8</t>
  </si>
  <si>
    <t>NX1.5</t>
  </si>
  <si>
    <t>P1.5mm,Wall Mounting,800nit in. display</t>
  </si>
  <si>
    <t>3X3</t>
  </si>
  <si>
    <t>NX1.8</t>
  </si>
  <si>
    <t>P1.87mm,Wall Mounting,800nit in. display</t>
  </si>
  <si>
    <t>NX2.5</t>
  </si>
  <si>
    <t>P2.5mm,Wall Mounting,800nit in. display</t>
  </si>
  <si>
    <t>NX3.7</t>
  </si>
  <si>
    <t>P3.75mm,Wall Mounting,800nit in. display</t>
  </si>
  <si>
    <t>CL 0.9 V2</t>
  </si>
  <si>
    <t>P0.95mm,Wall Mounting,1200nit in. display</t>
  </si>
  <si>
    <t>CL 1.2 V2</t>
  </si>
  <si>
    <t>P1.27mm,Wall Mounting,1200nit in. display</t>
  </si>
  <si>
    <t>HC 0.9 Pro II DD</t>
  </si>
  <si>
    <t>P0.93mm,Wall Mounting,600nit in. display</t>
  </si>
  <si>
    <t>HC 0.9 Pro II SS</t>
  </si>
  <si>
    <t>KL1.2 II</t>
  </si>
  <si>
    <t>P1.25mm,Wall Mounting,700nit in. display</t>
  </si>
  <si>
    <t>KL1.5 II</t>
  </si>
  <si>
    <t>P1.53mm,Wall Mounting,700nit in. display</t>
  </si>
  <si>
    <t>KL1.8 II</t>
  </si>
  <si>
    <t>P1.86mm,Wall Mounting,700nit in. display</t>
  </si>
  <si>
    <t>KL2.5 II</t>
  </si>
  <si>
    <t>P2.5mm,Wall Mounting,600nit in. display</t>
  </si>
  <si>
    <t>C110 Wall mounted</t>
  </si>
  <si>
    <t>ABSENICON3.0 C110,Wall Mounting,350nit in. display</t>
  </si>
  <si>
    <t>1 SET</t>
  </si>
  <si>
    <t>C110  stand</t>
  </si>
  <si>
    <t>ABSENICON3.0 C110,Mobile Stand,350nit in. display</t>
  </si>
  <si>
    <t>C138 Wall mounted</t>
  </si>
  <si>
    <t>ABSENICON3.0 C138,Wall Mounting,350nit in. display</t>
  </si>
  <si>
    <t>C138  stand</t>
  </si>
  <si>
    <t>ABSENICON3.0 C138,Mobile Stand,350nit in. display</t>
  </si>
  <si>
    <t>C165 Wall mounted</t>
  </si>
  <si>
    <t>ABSENICON3.0 C165,Wall Mounting,350nit in. display</t>
  </si>
  <si>
    <t>AJA</t>
  </si>
  <si>
    <t>UTAP-HDMI</t>
  </si>
  <si>
    <t>HDMI to USB Converter</t>
  </si>
  <si>
    <t>9th Gen</t>
  </si>
  <si>
    <t>iPad 10.9''</t>
  </si>
  <si>
    <t>10th Gen</t>
  </si>
  <si>
    <t>HDCP compliant vertically retractable aluminium 17.3" Full HD monitor with 20 degrees of adjustable inclination. The monitor allows its installation flush with the desk when the monitor is in recessed position and a motorised retractable HDMI cable rises as an extension of the monitor. Monitors are  equipped with 2 HDMI-HDCP compliant inputs and 1 output, allowing the daisy chain of a maximum  of 20 devices. It provides full control to view and share HDMI signals by pushing the touch buttons  integrated on the glass of the screen, below the viewing area. AHlink.</t>
  </si>
  <si>
    <t>AH122DB2 SHARE</t>
  </si>
  <si>
    <t>HDCP compliant vertically retractable aluminium 21.5" Full HD monitor with 20 degrees of adjustable inclination. The monitor allows its installation flush with the desk when the monitor is in recessed position and a motorised retractable HDMI cable rises as an extension of the monitor. Monitors are  equipped with 2 HDMI-HDCP compliant inputs and 1 output, allowing the daisy chain of a maximum  of 20 devices. It provides full control to view and share HDMI signals by pushing the touch buttons  integrated on the glass of the screen, below the viewing area. AHlink.</t>
  </si>
  <si>
    <t>AHDCMS (New)</t>
  </si>
  <si>
    <t>Motorized HD-SDI Camera, Omni Mic , Powered Speakers. Available with any one or combination of the compenents. Pricing TBD and dependent on configuration. Contact David Astri at Conference Systems for pricing and details. dastri@conferencesystems.om.</t>
  </si>
  <si>
    <t>01 - Extenders</t>
  </si>
  <si>
    <t>AT-HDR-EX-100CEA-RX</t>
  </si>
  <si>
    <t>Atlona 4K HDR Receiver w/IR, RS-232, Ethernet, and PoE.</t>
  </si>
  <si>
    <t>AT-HDR-EX-70C-RX</t>
  </si>
  <si>
    <t>Atlona 4K HDR Receiver w/IR, RS-232, and PoE.</t>
  </si>
  <si>
    <t>02 - Switchers</t>
  </si>
  <si>
    <t>AT-OME-MH21-CP</t>
  </si>
  <si>
    <t>Omega 4K/UHD meeting hub with USB-C and HDMI inputs and HDMI output, USB-C Charging</t>
  </si>
  <si>
    <t>03 - Converters &amp; Scalers</t>
  </si>
  <si>
    <t>AT-HDR-CAT-2</t>
  </si>
  <si>
    <t>4K/HDR HDMI 2.0b HDBaseT HDMI 1 X 2 Distribution Amplifier</t>
  </si>
  <si>
    <t>04 - Distribution Amplifiers</t>
  </si>
  <si>
    <t>AT-HDR-CAT-4</t>
  </si>
  <si>
    <t>4K/HDR HDMI 2.0b HDBaseT HDMI 1 X 4 Distribution Amplifier</t>
  </si>
  <si>
    <t>AT-HDR-CAT-4ED</t>
  </si>
  <si>
    <t>4K/HDR HDMI 2.0b HDBaseT HDMI 1 X 4 Extended Distance Distribution Amplifier</t>
  </si>
  <si>
    <t>AT-HDR-CAT-8</t>
  </si>
  <si>
    <t>4K/HDR HDMI 2.0b HDBaseT HDMI 1 X 8 Distribution Amplifier</t>
  </si>
  <si>
    <t>05 - Cables &amp; Adaptors</t>
  </si>
  <si>
    <t>06 - Audio</t>
  </si>
  <si>
    <t>AT-CAP-SP100</t>
  </si>
  <si>
    <t>Captivate USB/Bluetooth Speakerphone</t>
  </si>
  <si>
    <t>AT-CAP-SP100-CBL</t>
  </si>
  <si>
    <t>AT-CAP-SP100 Cascade Cable</t>
  </si>
  <si>
    <t>AT-CAP-SP100-CBL-5M</t>
  </si>
  <si>
    <t>AT-CAP-SP100 Cascade Cable, 5m</t>
  </si>
  <si>
    <t>AT-CAP-SP100-MNT</t>
  </si>
  <si>
    <t>Captivate Speakerphone Secure Mount</t>
  </si>
  <si>
    <t>07 - Test Equipment</t>
  </si>
  <si>
    <t>08 - Parts/Spares</t>
  </si>
  <si>
    <t>NETGEAR-AXM761</t>
  </si>
  <si>
    <t>Netgear SFP+ Transceiver, 10GBase-SR for multimode 50/125µm</t>
  </si>
  <si>
    <t>NETGEAR-AXM763</t>
  </si>
  <si>
    <t>Netgear SFP+ Transceiver, 10GBase-LRM for multimode 62.5/125µm</t>
  </si>
  <si>
    <t>NETGEAR-AXM764</t>
  </si>
  <si>
    <t>Netgear SFP+ Transceiver, 10GBase-LR Lite for single mode 9/125µm fiber</t>
  </si>
  <si>
    <t>NETGEAR-GSM4212P</t>
  </si>
  <si>
    <t>Netgear M4250, 8x 1G PoE+, 2x 1G SFP, 125W</t>
  </si>
  <si>
    <t>NETGEAR-GSM4212PX</t>
  </si>
  <si>
    <t>Netgear M4250, 8x 1G PoE+, 2x 10G SFP+, 240W</t>
  </si>
  <si>
    <t>NETGEAR-GSM4230PX</t>
  </si>
  <si>
    <t>Netgear M4250, 24x 1G PoE+, 4x 10G SFP+, 480W</t>
  </si>
  <si>
    <t>NETGEAR-GSM4248PX</t>
  </si>
  <si>
    <t>Netgear M4250, 40x 1G PoE+, 8x 10G SFP+, 960W</t>
  </si>
  <si>
    <t>09 - Control</t>
  </si>
  <si>
    <t>AT-OCS-900N</t>
  </si>
  <si>
    <t>Networked based occupancy sensor with ambient light and temperature sensing, PoE, and detection up to 900 square feet</t>
  </si>
  <si>
    <t>AT-VPS-RG-T1</t>
  </si>
  <si>
    <t>Velocity Premier Services, Remote Gateway tier 1, one year license for VGW-HW-3, VTPG-1000VL</t>
  </si>
  <si>
    <t>AT-VPS-RG-T2</t>
  </si>
  <si>
    <t>Velocity Premier Services, Remote Gateway tier 2, one year license for VGW-HW-10</t>
  </si>
  <si>
    <t>AT-VPS-RG-T3</t>
  </si>
  <si>
    <t>Velocity Premier Services, Remote Gateway tier 3, one year license for VGW-HW-20, VGW-SW</t>
  </si>
  <si>
    <t>AT-CAP-FC110</t>
  </si>
  <si>
    <t>Captivate 4K ePTZ Auto-Framing Camera</t>
  </si>
  <si>
    <t>10 - Cameras</t>
  </si>
  <si>
    <t>AT-ARK-HR-104-KIT</t>
  </si>
  <si>
    <t>Atlona Room Kit: Pre-Configured Huddle Room System with Control, PTZ camera, and USB extension</t>
  </si>
  <si>
    <t>11 - Kitted Solutions</t>
  </si>
  <si>
    <t>AT-ARK-MC-104-KIT</t>
  </si>
  <si>
    <t>Atlona Room Kit: Pre-Configured Medium Conference Room System with Control, PTZ camera, USB extension, and room audio</t>
  </si>
  <si>
    <t>AT-ARK-SC-104-KIT</t>
  </si>
  <si>
    <t>Atlona Room Kit: Pre-Configured Small Conference Room System with Control, PTZ camera, and USB extension</t>
  </si>
  <si>
    <t>AT-ARK-TR-201-KIT</t>
  </si>
  <si>
    <t>Atlona Room Kit: Pre-Configured Dual Display Training Room System with Control, PTZ camera, USB extension, and room audio</t>
  </si>
  <si>
    <t>AtteroTech (QSC)</t>
  </si>
  <si>
    <t>AXPIO</t>
  </si>
  <si>
    <t>2 Channel Axiom Bus Analog Input and Output expander (for use with Axiom wall plates).</t>
  </si>
  <si>
    <t>BT1</t>
  </si>
  <si>
    <t>Single gang US Bluetooth Wall Plate interface (includes white and black faceplates, Axiom bus compatible).</t>
  </si>
  <si>
    <t>A4FLEX</t>
  </si>
  <si>
    <t>4 Channel I/O Interface w/ Logic I/O, AES67, USB, 2x5W Amplifier, PoE+, 1/3rd rack width w/mounting ears (rack tray kit sold separately)</t>
  </si>
  <si>
    <t>1RU Steel Rack Tray</t>
  </si>
  <si>
    <t>Axon series, 1 RU rack tray</t>
  </si>
  <si>
    <t>C1</t>
  </si>
  <si>
    <t>Single gang US, IP Wall Controller, PoE (includes white and black faceplates)</t>
  </si>
  <si>
    <t>D2i</t>
  </si>
  <si>
    <t>Single gang US Dante/AES67 Wall Plate with 2 Mic/Line Inputs on XLR and 1/4” TRS combo connectors, PoE (includes white and black faceplates, Axiom bus expansion capable).</t>
  </si>
  <si>
    <t>DBU</t>
  </si>
  <si>
    <t>Dante/AES67 USB and Bluetooth audio bridging interface, PoE.</t>
  </si>
  <si>
    <t>DTH1620</t>
  </si>
  <si>
    <t>Dante/AES67 16-channel by 20 Watt ruggedized themed attraction amplifier.</t>
  </si>
  <si>
    <t>unD6IO</t>
  </si>
  <si>
    <t>4x2 Channel Dual Gang US, Dante/AES67 Wall Plate 2 Mic/Line In (XLR), RCA, 3.5 mm I/O, PoE (white and black faceplates included).</t>
  </si>
  <si>
    <t>unD6IO-BT</t>
  </si>
  <si>
    <t>4x2 Channel 2 Gang US, Dante/AES67 Wall Plate w/Bluetooth, RCA, 3.5 mm I/O, PoE (white and black faceplates included).</t>
  </si>
  <si>
    <t>unDNEMO</t>
  </si>
  <si>
    <t>64 Channel Desktop Dante Audio Monitor w/USB.</t>
  </si>
  <si>
    <t>unDX2IO+</t>
  </si>
  <si>
    <t>4x2 Channel 2 Gang US Dante/AES67 Wall Plate 2 Mic/Line In x 2 Out (XLR), Phoenix I/O, PoE (white and black faceplates included)</t>
  </si>
  <si>
    <t>unDX4I</t>
  </si>
  <si>
    <t>4x2 Channel Dual Gang, Dante/AES67 US Wall Plate 4 Mic/Line In (XLR), Phoenix I/O, PoE.</t>
  </si>
  <si>
    <t>unHX2D</t>
  </si>
  <si>
    <t>Dante/AES67-enabled, HDMI Audio De-Embedder/Embedder.</t>
  </si>
  <si>
    <t>D16Mio</t>
  </si>
  <si>
    <t>16x16 Channel Mic/Line I/O Dante/AES67 Interface, 1RU.</t>
  </si>
  <si>
    <t>D32Mi</t>
  </si>
  <si>
    <t>32 Channel Mic/Line In Dante/AES67 Interface, 1RU.</t>
  </si>
  <si>
    <t>D32o</t>
  </si>
  <si>
    <t>32 Channel Line Out Dante/AES67 Interface, 1RU.</t>
  </si>
  <si>
    <t>Zip4</t>
  </si>
  <si>
    <t>4-Zone Dante/AES67 Paging Interface, PoE, dual gang.</t>
  </si>
  <si>
    <t>Zip4-3G</t>
  </si>
  <si>
    <t>4-Zone Dante/AES67 Paging Interface, PoE, triple gang.</t>
  </si>
  <si>
    <t>Zip4-Mag Mic Base</t>
  </si>
  <si>
    <t>Zip series magnetic mic receiver base.</t>
  </si>
  <si>
    <t>Zip4-PTT Mic-Std</t>
  </si>
  <si>
    <t>Zip series PTT Paging microphone, RJ-45 terminated.</t>
  </si>
  <si>
    <t>Zip4-PTT Mic-Mag</t>
  </si>
  <si>
    <t>Zip series PTT Paging microphone, RJ-45 terminated w/magnetic base.</t>
  </si>
  <si>
    <t>VPX-TC1-Pro</t>
  </si>
  <si>
    <t>Next-gen 4K60 4:4:4 1Gbps AV-over-IP transceiver box</t>
  </si>
  <si>
    <t>VPX-TX1-WP2-W</t>
  </si>
  <si>
    <t>Next-gen 4K60 4:4:4 1Gbps AV-over-IP transmitter wall plate (white)</t>
  </si>
  <si>
    <t>VPX-TX1-WP2-B</t>
  </si>
  <si>
    <t>Next-gen 4K60 4:4:4 1Gbps AV-over-IP transmitter wall plate (black)</t>
  </si>
  <si>
    <t>VLX-TC1-CF</t>
  </si>
  <si>
    <t>4K 1Gbps AV-over-IP transceiver box (copper &amp; SFP slot)</t>
  </si>
  <si>
    <t>VLX-TCW2V-C-W</t>
  </si>
  <si>
    <t>4K 1Gbps AV-over-IP transceiver wall plate (VGA &amp; HDMI® inputs, white)</t>
  </si>
  <si>
    <t>VLX-TCW2V-C-B</t>
  </si>
  <si>
    <t>4K 1Gbps AV-over-IP transceiver wall plate (VGA &amp; HDMI® inputs, black)</t>
  </si>
  <si>
    <t>VLX-TCW2H-C-W</t>
  </si>
  <si>
    <t>4K 1Gbps AV-over-IP transceiver wall plate (dual HDMI® inputs, white)</t>
  </si>
  <si>
    <t>VLX-TCW2H-C-B</t>
  </si>
  <si>
    <t>4K 1Gbps AV-over-IP transceiver wall plate (dual HDMI® inputs, black)</t>
  </si>
  <si>
    <t>DTX-44D</t>
  </si>
  <si>
    <t>4x4 Dante DSP with 4x4 analog in and out</t>
  </si>
  <si>
    <t>DTX-88D</t>
  </si>
  <si>
    <t>8x8 Dante DSP with 8x8 analog in and out</t>
  </si>
  <si>
    <t>DTX-1616D</t>
  </si>
  <si>
    <t>16x16 Dante DSP with 16x16 analog in and out</t>
  </si>
  <si>
    <t>DTX-3232D</t>
  </si>
  <si>
    <t>32x32 all-digital Dante DSP</t>
  </si>
  <si>
    <t>DTX-6464D</t>
  </si>
  <si>
    <t>64x64 Dante DSP Aggregator</t>
  </si>
  <si>
    <t>RXT-4</t>
  </si>
  <si>
    <t>4” in-wall ReAX IP touch panel control system with room scheduling (black)</t>
  </si>
  <si>
    <t>RXT-8D-W</t>
  </si>
  <si>
    <t>8” desktop ReAX IP touch panel control system (white)</t>
  </si>
  <si>
    <t>RXT-8D-B</t>
  </si>
  <si>
    <t>8” desktop ReAX touch panel control system (black)</t>
  </si>
  <si>
    <t>RXT-10D-W</t>
  </si>
  <si>
    <t>10” desktop ReAX touch panel control system (white)</t>
  </si>
  <si>
    <t>RXT-10D-B</t>
  </si>
  <si>
    <t>10” desktop ReAX touch panel control system (black)</t>
  </si>
  <si>
    <t>RXT-7-B</t>
  </si>
  <si>
    <t>7” in-wall ReAX touch panel control system (black)</t>
  </si>
  <si>
    <t>RXT-10-B</t>
  </si>
  <si>
    <t>10” in-wall ReAX touch panel control system (black)</t>
  </si>
  <si>
    <t>RXP-2</t>
  </si>
  <si>
    <t>ReAX control processor with HDMI for touch monitor expansion</t>
  </si>
  <si>
    <t>RXM-1</t>
  </si>
  <si>
    <t>ReAX control processor with HDMI out for signage and media playback</t>
  </si>
  <si>
    <t>TS-100-4F</t>
  </si>
  <si>
    <t>TeamStream™ high performance wireless huddle room solution</t>
  </si>
  <si>
    <t>TS-K1</t>
  </si>
  <si>
    <t>USB 2.0/C key for Aurora’s TeamStream™ TS-100</t>
  </si>
  <si>
    <t>TS-KH4</t>
  </si>
  <si>
    <t>USB 2.0/C key holder for Aurora’s TeamStream™ TS-100</t>
  </si>
  <si>
    <t>DXM-884-G4</t>
  </si>
  <si>
    <t>4K60 4:4:4 modular 8x8 matrix switch</t>
  </si>
  <si>
    <t>DXM-1616-G4</t>
  </si>
  <si>
    <t>4K60 4:4:4 modular 16x16 matrix switch</t>
  </si>
  <si>
    <t>ASP-442A</t>
  </si>
  <si>
    <t>4x4 HDMI® 2.0a Matrix</t>
  </si>
  <si>
    <t>ASP-882A</t>
  </si>
  <si>
    <t>8x8 HDMI® 2.0a Matrix</t>
  </si>
  <si>
    <t>DXP-62</t>
  </si>
  <si>
    <t>Presentation Scaler/Switcher with integrated HDBaseT™ DXP-62 only (HDbaseT™ Receiver not included)</t>
  </si>
  <si>
    <t>DXP-62K-1</t>
  </si>
  <si>
    <t>Presentation Scaler/Switcher with integrated HDBaseT™ Kit includes DXP-62 &amp; DXE-CAT-RX1-4K</t>
  </si>
  <si>
    <t>DXP-62K-3</t>
  </si>
  <si>
    <t>Presentation Scaler/Switcher with integrated HDBaseT™ Kit includes DXP-62/DXE-CAT-RX3C-A</t>
  </si>
  <si>
    <t xml:space="preserve">Aurora </t>
  </si>
  <si>
    <t>Next-gen 4K60 4:4:4 1Gbps AV-over-IP transceiver box utilizing Aurora’s Mimix™ CODEC technology (copper+SFP slot)</t>
  </si>
  <si>
    <t>4K60 4:4:4 UHD 120m over 1G CAT 5e • One Frame Latency (16.6ms) • Low Power Fanless Design • Seamless Switching • Video Wall with Image Rotation • 1G LAN PoE and SFP for Fiber or Second RJ-45 • 2 HDMI Inputs, 1 HDMI Output</t>
  </si>
  <si>
    <t>VPX-TC1-LT</t>
  </si>
  <si>
    <t>Next-gen 4K30 4:4:4 1Gbps AV-over-IP transceiver box utilizing Aurora’s Mimix™ CODEC technology (copper+SFP slot)</t>
  </si>
  <si>
    <t>4K30 4:4:4 UHD 120m over 1G CAT 5e • One Frame Latency (16.6ms) • Low Power Fanless Design • Seamless Switching • Video Wall with Image Rotation • 1G LAN PoE and SFP for Fiber or Second RJ-45 • 1 HDMI Input, 1 HDMI Output</t>
  </si>
  <si>
    <t>VPX-TX1-WP2-Pro-W</t>
  </si>
  <si>
    <t>Next-gen 4K60 4:4:4 1Gbps AV-over-IP transmitter wall plate utilizing Aurora’s Mimix™ CODEC technology (white)</t>
  </si>
  <si>
    <t>4K60 4:4:4 UHD 120m over 1G CAT 5e • One Frame Latency (16.6ms) • Low Power Fanless Design • Seamless Switching • 1G LAN PoE • 2 HDMI Inputs</t>
  </si>
  <si>
    <t>VPX-TX1-WP2-Pro-B</t>
  </si>
  <si>
    <t>Next-gen 4K60 4:4:4 1Gbps AV-over-IP transmitter wall plate utilizing Aurora’s Mimix™ CODEC technology (black)</t>
  </si>
  <si>
    <t>LCN-DTE-2</t>
  </si>
  <si>
    <t>2 Channel Dante Software License</t>
  </si>
  <si>
    <t>2 Channel Dante Software License for VPX Series</t>
  </si>
  <si>
    <t>LCN-DTE-8</t>
  </si>
  <si>
    <t>8 Channel Dante Software License</t>
  </si>
  <si>
    <t>8 Channel Dante Software License for VPX Series</t>
  </si>
  <si>
    <t>​4K AV over IP Transceivers - 1Gbps VLX Series</t>
  </si>
  <si>
    <t>4K 1Gbps AV-over-IP transceiver box (copper+SFP slot)</t>
  </si>
  <si>
    <t>Visually Lossless 4K streaming over 1G Copper Network • 1G SFP slot for optional copper or fiber redundancy • 1.5 Frames Latency • Supports Video Wall modes • Stereo De-embedded Audio Output</t>
  </si>
  <si>
    <t>2-Gang Input switching Wall Plate • Visually Lossless 4K streaming over
 1G Copper Network • 1.5 Frames Latency • Supports Video Wall modes • Stereo De-embedded Audio Output</t>
  </si>
  <si>
    <t>​4K SDVoE AV over IP Transceivers - 10Gbps IPX Series</t>
  </si>
  <si>
    <t>IPX-TS3A-CF-Pro</t>
  </si>
  <si>
    <t>3rd gen. 4K 10Gbps SDVoE AV-over-IP simultaneous encode/decode transceiver box with 2 HDMI® in, 1 HDMI® out and advanced scaling (ASIC model, copper+fiber version)</t>
  </si>
  <si>
    <t>Multi-Window, videowall, &amp; scaling • Zero Compression/Latency 4K streaming over Redundant 10G Networks (Fiber + Copper) • Seamless Switching up to 128x128 with HDCP • Supports Video Wall modes • Stereo De-embedded Audio Output • SFP+ module NOT included • (Power Supply PS0081-1 sold separately)</t>
  </si>
  <si>
    <t>3rd gen. 4K 10Gbps SDVoE AV-over-IP transceiver box with 2 HDMI® in, 1 HDMI® out and advanced scaling (ASIC model, copper+fiber version)</t>
  </si>
  <si>
    <t>3rd gen. 4K 10Gbps SDVoE AV-over-IP transceiver box with advanced scaling (ASIC model, dual fiber version)</t>
  </si>
  <si>
    <t>Multi-Window, videowall, &amp; scaling • Zero Compression/Latency 4K streaming over Redundant 10G Networks (Dual Fiber) • Seamless Switching up to 128x128 with HDCP • Supports Video Wall modes • Stereo De-embedded Audio Output • SFP+ modules not included • (Power Supply PS0081-1 sold separately)</t>
  </si>
  <si>
    <t>IPX-TC3A-C</t>
  </si>
  <si>
    <t>3rd gen. 4K 10Gbps SDVoE AV-over-IP transceiver box (ASIC model, copper version)</t>
  </si>
  <si>
    <t>Zero Compression/Latency 4K streaming over 10G Network  • Seamless Switching up to 128x128 with HDCP • Supports Video Wall modes • Stereo De-embedded Audio Output • (Power Supply PS0081-1 sold separately)</t>
  </si>
  <si>
    <t>3rd gen. 4K 10Gbps SDVoE AV-over-IP transceiver wall plate (ASIC model, copper version, white)</t>
  </si>
  <si>
    <t>Zero Compression/Latency 4K streaming over 10G Copper Network • 3-gang wall plate • Seamless Switching up to 128x128 with HDCP • Supports Video Wall modes • Stereo De-embedded Audio Output • (Power Supply PS0081-1 sold separately)</t>
  </si>
  <si>
    <t>3rd gen. 4K 10Gbps SDVoE AV-over-IP transceiver wall plate (ASIC model, copper version, black)</t>
  </si>
  <si>
    <t>Zero Compression/Latency 4K streaming over 10G Copper Network • 3-gang wall plate • Seamless Switching up to 128x128 with HDCP • Supports Video Wall modes • Stereo De-embedded Audio Output • (Power Supply PS0094-3 sold separately)</t>
  </si>
  <si>
    <t>3rd gen. 4K 10Gbps SDVoE AV-over-IP transceiver 3-gang wall plate (ASIC model, fiber version, white)</t>
  </si>
  <si>
    <t>Zero Compression/Latency 4K streaming over 10G Fiber Network • 3-gang wall plate • Seamless Switching up to 128x128 with HDCP • Supports Video Wall modes • Stereo De-embedded Audio Output • SFP+ module NOT included • (Power Supply PS0094-3 sold separately)</t>
  </si>
  <si>
    <t>3rd gen. 4K 10Gbps SDVoE AV-over-IP transceiver 3-gang wall plate (ASIC model, fiber version, black)</t>
  </si>
  <si>
    <t>Zero Compression/Latency 4K streaming over 10G Fiber Network • 3-gang wall plate • Seamless Switching up to 128x128 with HDCP • Supports Video Wall modes • Stereo De-embedded Audio Output • SFP+ module NOT included • (Power Supply PS0081-1 sold separately)</t>
  </si>
  <si>
    <t>IPX-TX3A-WP2-C-W</t>
  </si>
  <si>
    <t>3rd gen. 4K 10Gbps SDVoE AV-over-IP transmitter 2-gang wall plate (ASIC model, copper version, white)</t>
  </si>
  <si>
    <t>Zero Compression/Latency 4K streaming over 10G Copper Network • 2-gang wall plate • (2) HDMI inputs • Transmitter only</t>
  </si>
  <si>
    <t>IPX-TX3A-WP2-C-B</t>
  </si>
  <si>
    <t>3rd gen. 4K 10Gbps SDVoE AV-over-IP transmitter 2-gang wall plate (ASIC model, copper version, black)</t>
  </si>
  <si>
    <t>​4K SDVoE AV over IP UC Platform - 10Gbps IPX Ultra Series</t>
  </si>
  <si>
    <t>IPX-UC1-ULTRA-1-i312-500G8G</t>
  </si>
  <si>
    <t>All-in-one UC platform with integrated Intel i3 based PC</t>
  </si>
  <si>
    <t>ICS-H4 Input Card with Intel i3 12th Gen, 8GB RAM and 500GB SSD</t>
  </si>
  <si>
    <t>IPX-UC1-ULTRA-1-i512-500G16G</t>
  </si>
  <si>
    <t>All-in-one UC platform with integrated Intel i5 based PC</t>
  </si>
  <si>
    <t>ICS-H4 Input Card with Intel i5 12th Gen, 16GB RAM and 500GB SSD</t>
  </si>
  <si>
    <t>IPX-UC1-ULTRA-1-i712-1T32G</t>
  </si>
  <si>
    <t>All-in-one UC platform with integrated Intel i7 based PC</t>
  </si>
  <si>
    <t>ICS-H4 Input Card with Intel i7 12th Gen, 32GB RAM and 1TB SSD</t>
  </si>
  <si>
    <t>​IPX &amp; VPX &amp; VLX Options/Accessories</t>
  </si>
  <si>
    <t>IP-24PoE+</t>
  </si>
  <si>
    <t>24 Port 1G/10G PoE+/PoH+ injector 1RU</t>
  </si>
  <si>
    <t>24 port PoE+/PoH+ injector • Supports 1G or 10G • Up to 30 watts per port • 1RU</t>
  </si>
  <si>
    <t>IPE-ReAX-1</t>
  </si>
  <si>
    <t>ReAX control system option card for VLX, IPX, and HT series</t>
  </si>
  <si>
    <t>Control processor add-on VLX, IPX, and HT series • Allows for scheduling, automation, and system-wide control • Create custom control GUIs • Programmable with Aurora's free tools</t>
  </si>
  <si>
    <t>IPE-DTE-1</t>
  </si>
  <si>
    <t>VLX, IPX-TC3 &amp; HT Series 2 Channel Dante™ Option Card</t>
  </si>
  <si>
    <t>Adds 2 Channel Dante™ audio to VLX, IPX-TC3 &amp; HT Series</t>
  </si>
  <si>
    <t>IPE-USB-2</t>
  </si>
  <si>
    <t>IPX-TC3 series Extreme USB option card</t>
  </si>
  <si>
    <t>Adds USB 2.0 480Mbps to the IPX-TC3 Series</t>
  </si>
  <si>
    <t>IPE-USB-2VH</t>
  </si>
  <si>
    <t>IPX-TC3 series Extreme USB virtual hub option card</t>
  </si>
  <si>
    <t>Adds USB 2.0 480Mbps with virtual hub capabilities to the IPX-TC3 Series</t>
  </si>
  <si>
    <t>IPE-LCVR-W</t>
  </si>
  <si>
    <t>Blank cover for LAN port (white)</t>
  </si>
  <si>
    <t>Prevents physical access to the front LAN port on the VLX, IPX, and HT series wall plates</t>
  </si>
  <si>
    <t>IPE-LCVR-B</t>
  </si>
  <si>
    <t>Blank cover for LAN port (black)</t>
  </si>
  <si>
    <t>IPA-SFP-RJ45-1</t>
  </si>
  <si>
    <t>1Gbps Copper SFP Module RJ-45 for VLX-TC1-CF</t>
  </si>
  <si>
    <t>For use with VLX series with an SFP slot</t>
  </si>
  <si>
    <t>IPA-SFP-1GMM-1</t>
  </si>
  <si>
    <t>1Gbps Multi-mode Fiber SFP Module for VLX-TC1-CF</t>
  </si>
  <si>
    <t>IPA-SFP-1G20</t>
  </si>
  <si>
    <t>1Gbps Single-mode Fiber SFP Module for VLX-TC1-CF</t>
  </si>
  <si>
    <t>IPA-SFP-10GMM-1</t>
  </si>
  <si>
    <t>10Gbps SFP+ Multi-mode LC 50/125 Module</t>
  </si>
  <si>
    <t>For use with IPX series with an SFP+ slot</t>
  </si>
  <si>
    <t>IPA-QSFP-40GMM-1</t>
  </si>
  <si>
    <t>40Gbps QSFP Multi-mode Module</t>
  </si>
  <si>
    <t>IPA-SFP-10G32C1</t>
  </si>
  <si>
    <t>10Gbps SFP+ BIDI Single Mode 1330/1270nm Module 10KM</t>
  </si>
  <si>
    <t>IPA-SFP-10G23C1</t>
  </si>
  <si>
    <t>10Gbps SFP+ BIDI Single Mode 1270/1330nm Module 10KM</t>
  </si>
  <si>
    <t>IPA-SFP-10G20</t>
  </si>
  <si>
    <t>10Gbps SFP+ Dual Single Mode 1310nm Module 20KM</t>
  </si>
  <si>
    <t>IPA-SFP-PPC-1</t>
  </si>
  <si>
    <t>10Gbps SFP+ Copper Patch Cable 1M</t>
  </si>
  <si>
    <t>IPA-SFP-OM3DXLC-1</t>
  </si>
  <si>
    <t>OM3 Fiber 50/125 Multi-mode LC Patch Cable 1M</t>
  </si>
  <si>
    <t>LVR-2G</t>
  </si>
  <si>
    <t>2-gang Low Voltage Mounting Bracket</t>
  </si>
  <si>
    <t>For use with IPX, VLX &amp; DXW Series Wall Plates (2-gang)</t>
  </si>
  <si>
    <t>LVR-3G</t>
  </si>
  <si>
    <t>3-gang Low Voltage Mounting Bracket</t>
  </si>
  <si>
    <t>For use with IPX, VLX &amp; DXW Series Wall Plates (3-gang)</t>
  </si>
  <si>
    <t>​Control - ReAX Touch Panel Control Processors</t>
  </si>
  <si>
    <t>RXT-4WM-B</t>
  </si>
  <si>
    <t>4” 1:1 aspect ratio wall mount ReAX touch panel control system with serial, relays, I/O, IR, and Ethernet control ports (black)</t>
  </si>
  <si>
    <t>ReAX Control Processor • 4" 480 x 480 1:1 aspect ratio touch screen • (2) RS-232 • (2) IR • (2) Digtal I/O • (2) Relays • 10/100 LAN PoE • LED Room Usage/Ambiance Lighting • QR Smart Room Logging and Scheduling</t>
  </si>
  <si>
    <t>RXT-8WM-B</t>
  </si>
  <si>
    <t>8” wall mount ReAX touch panel control system with serial, I/O, relay, IR, and Ethernet control ports (black)</t>
  </si>
  <si>
    <t>ReAX Control Processor • 8” 1280x800 resolution • Linux OS with ReAX Core engine • Two RS-232, Two IR, Two Relay, Two digital I/O • Room status lighting (red, green, blue) • 1G LAN PoE • Uses standard USA or European mounting Boxes</t>
  </si>
  <si>
    <t>RXT-10WM-B</t>
  </si>
  <si>
    <t>10” wall mount ReAX touch panel control system with serial, I/O, relay, IR, and Ethernet control ports (black)</t>
  </si>
  <si>
    <t>ReAX Control Processor • 10” 1280x800 resolution • Linux OS with ReAX Core engine • Two RS-232, Two IR, Two Relay, Two digital I/O • Room status lighting (red, green, blue) • 1G LAN PoE • Uses standard USA or European mounting Boxes</t>
  </si>
  <si>
    <t>8” desktop ReAX touch panel control system with Ethernet and WiFi (white)</t>
  </si>
  <si>
    <t>ReAX Control Processor • 8” 1280x800 resolution • Android 10 OS with ReAX Core engine • Quad-core processor • WiFi 802.11 b/g/n • PoE Ethernet</t>
  </si>
  <si>
    <t>8” desktop ReAX touch panel control system with Ethernet and WiFi (black)</t>
  </si>
  <si>
    <t>ReAX Control Processor • 10” 1280x800 resolution • Android 10 OS with ReAX Core engine • Quad-core processor • WiFi 802.11 b/g/n • PoE Ethernet</t>
  </si>
  <si>
    <t>10” desktop ReAX touch panel control system with Ethernet, WiFi, and NFC (white)</t>
  </si>
  <si>
    <t>ReAX Control Processor • 10” 1280x800 resolution • Android 9 OS with ReAX Core engine • Six-core processor • WiFi 802.11 b/g/n • PoE Ethernet • NFC</t>
  </si>
  <si>
    <t>10” desktop ReAX touch panel control system with Ethernet, WiFi, and NFC (black)</t>
  </si>
  <si>
    <t>RXT-10VS-B</t>
  </si>
  <si>
    <t>10.1” VESA mount ReAX touch panel control system with Ethernet and WiFi (black)</t>
  </si>
  <si>
    <t>1280x800 resolution • 1.8GhZ six-core processor • 4GB DDR3 • 32GB eMMC Flash • HDMI Output • Android 9 OS • WiFi &amp; Ethernet (PoE capable)</t>
  </si>
  <si>
    <t>RXT-10VS-W</t>
  </si>
  <si>
    <t>10.1” VESA mount ReAX touch panel control system with Ethernet and WiFi (white)</t>
  </si>
  <si>
    <t>RXT-15VS-B</t>
  </si>
  <si>
    <t>15.6” VESA mount ReAX touch panel control system with Ethernet and WiFi (black)</t>
  </si>
  <si>
    <t>1920x1080 resolution • 1.8GhZ six-core processor • 4GB DDR3 • 32GB eMMC Flash • HDMI Output • Android 9 OS • WiFi &amp; Ethernet (PoE+ capable)</t>
  </si>
  <si>
    <t>RXT-21VS-B</t>
  </si>
  <si>
    <t>21.5” VESA mount ReAX touch panel control system with Ethernet and WiFi (black)</t>
  </si>
  <si>
    <t>1920x1080 resolution • 1.8GhZ six-core processor • 4GB DDR3 • 32GB eMMC Flash • HDMI Output • Android 9 OS • WiFi &amp; Ethernet (PoE++ capable)</t>
  </si>
  <si>
    <t>LVB-1EU-1</t>
  </si>
  <si>
    <t>European back box for RXT-4, RXT-8</t>
  </si>
  <si>
    <t>Old-construction European type 86 wall box for RXT-4 and RXT-8</t>
  </si>
  <si>
    <t>RXA-4-2G-B</t>
  </si>
  <si>
    <t>Adapter plate for US 2-gang boxes, black</t>
  </si>
  <si>
    <t>Adapts the RXT-4 &amp; RXT-8 to US 2-gang wall boxes</t>
  </si>
  <si>
    <t>RXA-4-2G-W</t>
  </si>
  <si>
    <t>Adapter plate for US 2-gang boxes, white</t>
  </si>
  <si>
    <t>​Control - ReAX Control Processors</t>
  </si>
  <si>
    <t>RXC-1-G2</t>
  </si>
  <si>
    <t>ReAX control processor with serial, relay, I/O, IR, and Ethernet control ports</t>
  </si>
  <si>
    <t>Dual-core ReAX Control Processor • Front OLED screen • One PoE PD LAN • One RS-232 • Two SPDT relays • Two I/Os • Two IR out • One IR receiver</t>
  </si>
  <si>
    <t>RXC-3-G2</t>
  </si>
  <si>
    <t>ReAX control processor with additional serial, relay, I/O, IR, and Ethernet control ports</t>
  </si>
  <si>
    <t>Dual-core ReAX Control Processor • Front OLED screen • Two LAN (one PoE PD) • Three RS-232 • Two SPST relays • Two I/Os • Three IR out • One IR receiver</t>
  </si>
  <si>
    <t>RXC-4-G2</t>
  </si>
  <si>
    <t>ReAX control processor with maximum serial, relay, I/O, IR, and Ethernet control ports</t>
  </si>
  <si>
    <t>Dual-core ReAX Control Processor • Front OLED screen • 4 RS-232 • 4 IR • 4 Relays • 4 I/O • 2 1G LAN (LAN1 with PoE) • Built in IR Learner</t>
  </si>
  <si>
    <t>ReAX control processor with serial, relay, I/O, IR, and Ethernet control ports, and HDMI out for BYO touch monitor</t>
  </si>
  <si>
    <t>2 Serial Ports &amp; 2 IR/RS-232 (TX Only) • 2 Relays &amp; 2 I/O • 10/100/1G LAN (with PoE) • HDMI® 1080P Out &amp; USB for use with external touch display •  Built in IR Learner • 2-Gang in-wall/rack Mounting • Internal Web Server for hosting Web Control Pages</t>
  </si>
  <si>
    <t>ReAX control processor with Ethernet &amp; WiFi, and HDMI out for BYO touch monitor or digital signage and media playback</t>
  </si>
  <si>
    <t>1.8GhZ hexa-core processor • 4GB DDR3 • 32GB eMMC Flash • HDMI Output • Android OS • WiFi &amp; Ethernet (PoE capable)</t>
  </si>
  <si>
    <t>​Control - LXC Series Control Expansion, DXB Series Button Panel/Expansion</t>
  </si>
  <si>
    <t>LXC-1-G2</t>
  </si>
  <si>
    <t>Control port expansion box with serial, relay, I/O, IR, and Ethernet control ports</t>
  </si>
  <si>
    <t>Low cost, high performance • 32 bit RISC Processor • Telnet/TCP Controlled • 2 Serial Ports • 2 C-Type Relay Ports • 2 Digital I/O Ports • 1 IR Port • 10/100 LAN Power Over Ethernet (PoE) • Integrated Web Server • Integrated Setup Web Pages • Compact size, easily fits under tables, behind displays, &amp; in cabinets • Works with all Aurora IP Control Products &amp; other 3rd Party Controls • Low Power</t>
  </si>
  <si>
    <t>DXB-8i-G2-W</t>
  </si>
  <si>
    <t>8-button 1-gang backlit button control pad with serial, IR, and Ethernet control ports (white)</t>
  </si>
  <si>
    <t>Mounts in standard 1-gang US box • 1 RS-232 port • 1 IR port • 1 10/100 Ethernet PoE port • Interchangeable laser etched buttons • Standard buttons included: ON, OFF, HDMI, VGA, UP, DN, SCN UP, SCN DN, MIC MUTE &amp; AUDIO MUTE • See category "Accessories - DXB Series Button Caps" below for optional custom button options</t>
  </si>
  <si>
    <t>DXB-8i-G2-B</t>
  </si>
  <si>
    <t>8-button 1-gang backlit button control pad with serial, IR, and Ethernet control ports (black)</t>
  </si>
  <si>
    <t>DXB-8-W</t>
  </si>
  <si>
    <t>8-button 1-gang backlit button control pad with serial control ports (white)</t>
  </si>
  <si>
    <t>Mounts in standard 1-gang US box • 2 RS-232 port • Interchangeable laser etched buttons • Standard buttons included: ON, OFF, HDMI, VGA, UP, DN, SCN UP, SCN DN, MIC MUTE &amp; AUDIO MUTE • See category "Accessories - DXB Series Button Caps" below for optional custom button options</t>
  </si>
  <si>
    <t>DXB-8-B</t>
  </si>
  <si>
    <t>8-button 1-gang backlit button control pad with serial control ports (black)</t>
  </si>
  <si>
    <t>DXI-PK-US</t>
  </si>
  <si>
    <t>Power supply and programming cable kit for DXB-8</t>
  </si>
  <si>
    <t>Kit includes power supply PS0045-5-PHX &amp; DB9-Phoenix cable for programming of DXB-8 via DXI software • DXI Software available for download via the customer portal</t>
  </si>
  <si>
    <t>​Control - Accessories</t>
  </si>
  <si>
    <t>CW-1</t>
  </si>
  <si>
    <t>4K30 4:4:4 HDMI to USB 3.1 Capture</t>
  </si>
  <si>
    <t>4K30 4:4:4 HDMI to USB 3.1 Capture with Downscaling</t>
  </si>
  <si>
    <t>CA0061-2</t>
  </si>
  <si>
    <t>Single IR Emitter</t>
  </si>
  <si>
    <t>5Ft (1.5m) Length</t>
  </si>
  <si>
    <t>CA0062-1</t>
  </si>
  <si>
    <t>IR Receiver Extension</t>
  </si>
  <si>
    <t>For use with QX &amp; DXE Series</t>
  </si>
  <si>
    <t>RK2-1-K</t>
  </si>
  <si>
    <t>1RU Dual Rack Mount Kit compatible with IPX-TC3A, IPX-TS3A, VPX-TC1, VLX-TC1, HT-TC1, RXC-1-G2, RXC-3-G2, RXC-4-G2, RXM-1, &amp; ASP-42</t>
  </si>
  <si>
    <t>Fits up to two devices in a single rack space • Includes 1 blank plate (RK2-BP) &amp; 4 rails (RK2-RL)</t>
  </si>
  <si>
    <t>RK2-5-K</t>
  </si>
  <si>
    <t>5RU 12 Rack Mounting Kit compatible with IPX-TC3A, IPX-TS3A, VPX-TC1, VLX-TC1, HT-TC1, RXC-1-G2, RXC-3-G2, RXC-4-G2, RXM-1, &amp; ASP-42</t>
  </si>
  <si>
    <t>Fits up to twelve devices in a 5RU rack space • Includes 6 blank plates (RK2-BP) &amp; 24 rails (RK2-RL)</t>
  </si>
  <si>
    <t>RK2-BP</t>
  </si>
  <si>
    <t>Rack Mount Blank Plate compatible with RK2-1-K, RK2-5-K, RK1-1-K or RK1-4-K</t>
  </si>
  <si>
    <t>For use with RK2-1-K or RK2-5-K rack mount kits</t>
  </si>
  <si>
    <t>RK2-RL</t>
  </si>
  <si>
    <t>Rack Mount Rail with Thumb Screw compatible with RK2-1-K, RK2-5-K, RK1-1-K or RK1-4-K</t>
  </si>
  <si>
    <t>For use with RK2-1-K, RK2-5-K, RK1-1-K or RK1-4-K rack mount kits</t>
  </si>
  <si>
    <t>​Temperature Check Tablets - TAVIS</t>
  </si>
  <si>
    <t>TAV-10-B</t>
  </si>
  <si>
    <t>10.1" next-gen infrared temperature sensing tablet, black</t>
  </si>
  <si>
    <t>1280x800 resolution • 1.8GhZ six-core processor • 4GB DDR3 • 32GB eMMC Flash • HDMI Output • Android 9 OS • WiFi &amp; Ethernet (PoE capable) • 1-4ft (0.3-1.2m) temperature check distance • +/- 0.9°F (0.5°C) accuracy</t>
  </si>
  <si>
    <t>TAV-10-W</t>
  </si>
  <si>
    <t>10.1" next-gen infrared temperature sensing tablet, white
Note: Contact us for availability</t>
  </si>
  <si>
    <t>1280x800 resolution • 1.8GhZ six-core processor • 4GB DDR3 • 32GB eMMC Flash • HDMI Output • Android 9 OS • WiFi &amp; Ethernet (PoE capable) •  1-4ft (0.3-1.2m) temperature check distance • +/- 0.9°F (0.5°C) accuracy</t>
  </si>
  <si>
    <t>TAV-15-B</t>
  </si>
  <si>
    <t>15.6" next-gen infrared temperature sensing tablet, black</t>
  </si>
  <si>
    <t>1920x1080 resolution • 1.8GhZ six-core processor • 4GB DDR3 • 32GB eMMC Flash • HDMI Output • Android 9 OS • WiFi &amp; Ethernet (PoE+ capable) • 1-4ft (0.3-1.2m) temperature check distance • +/- 0.9°F (0.5°C) accuracy</t>
  </si>
  <si>
    <t>TAV-15-W</t>
  </si>
  <si>
    <t>15.6" next-gen infrared temperature sensing tablet, white
Note: Contact us for availability</t>
  </si>
  <si>
    <t>TAV-21-B</t>
  </si>
  <si>
    <t>21.5" next-gen infrared temperature sensing tablet, black</t>
  </si>
  <si>
    <t>1920x1080 resolution • 1.8GhZ six-core processor • 4GB DDR3 • 32GB eMMC Flash • HDMI Output • Android 9 OS • WiFi &amp; Ethernet (PoE++ capable) • 1-4ft (0.3-1.2m) temperature check distance • +/- 0.9°F (0.5°C) accuracy</t>
  </si>
  <si>
    <t>TAV-21-W</t>
  </si>
  <si>
    <t>21.5" next-gen infrared temperature sensing tablet, white
Note: Contact us for availability</t>
  </si>
  <si>
    <t>TAV-BX1-B</t>
  </si>
  <si>
    <t>Standalone temperature sensing kit, includes RXM-1 controller and black TAV-A80 camera</t>
  </si>
  <si>
    <t>Control unit and camera, bring your own display • 1.8GhZ six-core processor • 4GB DDR3 • 32GB eMMC Flash • HDMI Output • Android 9 OS • WiFi &amp; Ethernet (PoE capable) • 1-4ft (0.3-1.2m) temperature check distance • +/- 0.9°F (0.5°C) accuracy</t>
  </si>
  <si>
    <t>TAV-BX1-W</t>
  </si>
  <si>
    <t>Standalone temperature sensing kit, includes RXM-1 controller and white TAV-A80 camera</t>
  </si>
  <si>
    <t>​​Temperature Check Tablets - TAVIS Central Enterprise Software Licenses</t>
  </si>
  <si>
    <t>TAV-CTL-ENT</t>
  </si>
  <si>
    <t>TAVIS Central Enterprise Management Software License, unlimited TAV devices</t>
  </si>
  <si>
    <t>Real-time monitoring, • Statistics • Alerts • Reporting • Security camera view • Video recording • Includes 1 year of software updates</t>
  </si>
  <si>
    <t>TAV-CTL-MNT</t>
  </si>
  <si>
    <t>Yearly maintenance plan for TAV-CTL-ENT license</t>
  </si>
  <si>
    <t>Additional year of software updates for TAV-CTL-ENT</t>
  </si>
  <si>
    <t>​Temperature Check Tablet - Mounting Solutions (VESA)</t>
  </si>
  <si>
    <t>APS-1</t>
  </si>
  <si>
    <t>Pole stand for temperature-check tablets</t>
  </si>
  <si>
    <t>Adjustable height • 25lb base for stability</t>
  </si>
  <si>
    <t>APS-2-B</t>
  </si>
  <si>
    <t>Adjustable height tablet stand for displays up to 21.5”, black</t>
  </si>
  <si>
    <t>Weighted base • Adjustable height (38"-65") • 75x75 &amp; 100x100 VESA mounting pattern • 75x75mm &amp; 100x100mm VESA mount pattern • Black</t>
  </si>
  <si>
    <t>APS-2-W</t>
  </si>
  <si>
    <t>Adjustable height tablet stand for displays up to 21.5”, white</t>
  </si>
  <si>
    <t>Weighted base • Adjustable height (38"-65") • 75x75 &amp; 100x100 VESA mounting pattern • 75x75mm &amp; 100x100mm VESA mount pattern • White</t>
  </si>
  <si>
    <t>APS-2-CS</t>
  </si>
  <si>
    <t>Optional caster set for APS-2 mount</t>
  </si>
  <si>
    <t>Adds rolling capability to the APS-2</t>
  </si>
  <si>
    <t>WMT-1</t>
  </si>
  <si>
    <t>Wall mount for temperature-check tablets</t>
  </si>
  <si>
    <t>75x75mm &amp; 100x100mm VESA mount pattern</t>
  </si>
  <si>
    <t>DTM-1</t>
  </si>
  <si>
    <t>Desktop mount for temperature-check tablets</t>
  </si>
  <si>
    <t>Dual tilt allows for flexibility of face alignment</t>
  </si>
  <si>
    <t>DTM-3</t>
  </si>
  <si>
    <t>Tilts up or down making alignment with a person easy • Best suited for 10.1" tablets • Can be used with 15" tablets for low profile mounting</t>
  </si>
  <si>
    <t>​Audio Solutions - DTX Series</t>
  </si>
  <si>
    <t>Dante DSP with dedicated analog channels • Outstanding sound quality of 24bit/48kHz • Customized operating software for flexible configuration • End user interface for centralized control of multiple devices • AFC (Automatic feedback suppression), AEC (Acoustic echo cancellation), ANS (Automatic noise suppression), ANC (Automatic noise gain compensation), AGC (Automatic gain control), gain sharing, threshold auto mix, ducking processing module</t>
  </si>
  <si>
    <t>Dante DSP • Outstanding sound quality of 24bit/48kHz • Customized operating software for flexible configuration • End user interface for centralized control of multiple devices • AFC (Automatic feedback suppression), AEC (Acoustic echo cancellation), ANS (Automatic noise suppression), ANC (Automatic noise gain compensation), AGC (Automatic gain control), gain sharing, threshold auto mix, ducking processing module</t>
  </si>
  <si>
    <t>Dante aggregation DSP • Outstanding sound quality of 24bit/48kHz • Customized operating software for flexible configuration • End user interface for centralized control of multiple devices • AFC (Automatic feedback suppression), AEC (Acoustic echo cancellation), ANS (Automatic noise suppression), ANC (Automatic noise gain compensation), AGC (Automatic gain control), gain sharing, threshold auto mix, ducking processing module</t>
  </si>
  <si>
    <t>​Audio Amplifier &amp; HDMI® 4k Splitters</t>
  </si>
  <si>
    <t>AS-AMP1</t>
  </si>
  <si>
    <t>Analog Audio Amplifier</t>
  </si>
  <si>
    <t>2x20 Watt @ 4 Ohm or 1x40 Watt @ 8 Ohm as the default amplifier output • Microphone mixer function: the microphone will be mixed to the line audio &amp; can be separately controlled • 2 stereo audio inputs, switchable by button, IR remote or RS-232 remote • RS-232 Control with smart feedback • LED indicator for power &amp; working status</t>
  </si>
  <si>
    <t>DXE-122A-DS</t>
  </si>
  <si>
    <t>1x2 HDMI® 4k Splitter</t>
  </si>
  <si>
    <t>Supports HDMI® 2.0a Deep Color &amp; 3D/DVI 1.0 compliant • HDCP 1.4/2.2 compliant • Auto EDID Management • EDID Emulation &amp; Customizable EDID • Resolution up to 4K2K @ 60Hz • HDMI® in, 2 HDMI® out • Wide frequency range: 25MHz~600MHz • Video bandwidth: 18Gbps • Supports xvYCC, x.v.Color, &amp; Deep Color • Mini-USB port for firmware updating &amp; EDID Setup • Supports Dolby Digital®, DTS-HD™ &amp; Dolby TrueHD® Audio • HDMI® &amp; Power Connectors on same side for easy installation • Ultra-low profile to fit behind display</t>
  </si>
  <si>
    <t>DXE-142A-DS</t>
  </si>
  <si>
    <t>1x4 HDMI® 4k Splitter</t>
  </si>
  <si>
    <t>Supports HDMI® 2.0a Deep Color &amp; 3D/DVI 1.0 compliant • HDCP 1.4/2.2 compliant • Auto EDID Management • EDID Emulation &amp; Customizable EDID • Resolution up to 4K2K @ 60Hz • HDMI® in, 4 HDMI® out • Wide frequency range: 25MHz~600MHz • Video bandwidth: 18Gbps • Supports xvYCC, x.v.Color, &amp; Deep Color • Mini-USB port for firmware updating &amp; EDID Setup • Supports Dolby Digital®, DTS-HD™ &amp; Dolby TrueHD® Audio • HDMI® &amp; Power Connectors on same side for easy installation • Ultra-low profile to fit behind display</t>
  </si>
  <si>
    <t>DXE-218</t>
  </si>
  <si>
    <t>2-to-8 HDMI® 4k Advanced Splitter</t>
  </si>
  <si>
    <t>The DXE-218 is the first ever 8 port 4K60 4:4:4 HDMI® PoE Splitter with downscaling per individual output. The unit delivers enhanced capabilities such as individual CEC control, EDID management, Hot Plug Detection, and EDID reporting per output. This is all done through the LAN port for full control and statistics of all ports.</t>
  </si>
  <si>
    <t>​DigitalXtreme Modular Matrixes (4th Generation) - DXM Series</t>
  </si>
  <si>
    <t>20Gbps Per Port Backplane • Advanced EDID Management • Advanced HDCP Handling • Remote Diagnostics • 5” Front Panel Touch Control • Integrated Web Server Control • PoH for HDBaseT™ Ports • Units configurable 1-channels per card • Break-away Audio Switching • HDMI® I/O Cards (Output Cards with Audio De-embedding, and Auto DVI Detect) • HDBaseT™ CAT I/O Cards (Powers remote Tx/Rx units and passes RS-232, IR,and Ethernet) • Control Expansion Ports • LAN and RS-232 Control</t>
  </si>
  <si>
    <t>DXCI-1-HDMI-G4</t>
  </si>
  <si>
    <t>1 port HDMI® input card</t>
  </si>
  <si>
    <t>1 Input HDMI® Card for DXM-884-G4 or DXM-1616-G4 Matrix • Input Cards can be ‘hot swapped’, allowing full serviceability while powered</t>
  </si>
  <si>
    <t>DXCI-1-HDBT1-G4</t>
  </si>
  <si>
    <t>1 port HDBaseT input card</t>
  </si>
  <si>
    <t>1 Input HDBaseT Card for DXM-884-G4 or DXM-1616-G4 Matrix • Input Cards can be ‘hot swapped’, allowing full serviceability while powered • HDBaseT distances up to 220ft</t>
  </si>
  <si>
    <t>DXCI-1-HDBT2-G4</t>
  </si>
  <si>
    <t>1 Input HDBaseT Card for DXM-884-G4 or DXM-1616-G4 Matrix • Input Cards can be ‘hot swapped’, allowing full serviceability while powered • HDBaseT distances up to 330ft</t>
  </si>
  <si>
    <t>DXCI-1-SDI-G4</t>
  </si>
  <si>
    <t>1 port SDI input card</t>
  </si>
  <si>
    <t>1 Input SDI Card for DXM-884-G4 or DXM-1616-G4 Matrix • Input Cards can be ‘hot swapped’, allowing full serviceability while powered • Audio embedded and de-embedded</t>
  </si>
  <si>
    <t>DXCO-1-HDMI-G4</t>
  </si>
  <si>
    <t>1 port HDMI® output card</t>
  </si>
  <si>
    <t>1 Output HDMI® Card for DXM-884-G4 or DXM-1616-G4 Matrix • Input Cards can be ‘hot swapped’, allowing full serviceability while powered</t>
  </si>
  <si>
    <t>DXCO-1-HDBT1-G4</t>
  </si>
  <si>
    <t>1 port HDBaseT output card</t>
  </si>
  <si>
    <t>1 Output HDBaseT Card for DXM-884-G4 or DXM-1616-G4 Matrix • Input Cards can be ‘hot swapped’, allowing full serviceability while powered • HDBaseT distances up to 220ft</t>
  </si>
  <si>
    <t>DXCO-1-HDBT2-G4</t>
  </si>
  <si>
    <t>1 Output HDBaseT Card for DXM-884-G4 or DXM-1616-G4 Matrix • Input Cards can be ‘hot swapped’, allowing full serviceability while powered • HDBaseT distances up to 330ft</t>
  </si>
  <si>
    <t>DXCO-1-SDI-S-G4</t>
  </si>
  <si>
    <t>1 port SDI output card</t>
  </si>
  <si>
    <t>1 Output SDI Card for DXM-884-G4 or DXM-1616-G4 Matrix • Input Cards can be ‘hot swapped’, allowing full serviceability while powered • Audio embedded and de-embedded</t>
  </si>
  <si>
    <t>DXC-BLANK-G4</t>
  </si>
  <si>
    <t>DXM G4 series blank panels</t>
  </si>
  <si>
    <t>Covers an unused slot on the DXM G4 series</t>
  </si>
  <si>
    <t>​HDMI® Matrixes - ASP Series</t>
  </si>
  <si>
    <t>ASP-42</t>
  </si>
  <si>
    <t>4x2 Matrix (4K60 4:4:4) with USB Capture</t>
  </si>
  <si>
    <t>4x2 Matrix (4K60 4:4:4) with USB Capture, Dante Option, 1G LAN PoE</t>
  </si>
  <si>
    <t>HDMI® 2.0a • Resolutions up to 4K2K @ 60Hz 4:4:4•HDR High Dynamic Range • HDMI® 3D Compliant • HDCP 2.2 Compliant • Allows any source to be displayed on multiple displays at the same time • Allows any HDMI® display to view any HDMI® source at any time • Supports 7.1 channel digital audio • Advanced EDID Functions • Easy installation with rack-mounting • Front LCD Status Display</t>
  </si>
  <si>
    <t>​HDMI® Scaler Matrixes - DIDO Series</t>
  </si>
  <si>
    <t>DIDO-X4</t>
  </si>
  <si>
    <t>4x4 Scaler Matrix with USB 3.1 Capture</t>
  </si>
  <si>
    <t>4x4 Scaler Matrix with USB 3.1 Capture, Dante Option, 1G LAN PoE+, Quad Scalers, Image Rotation, Contrast Edge Blending, Test Pattern Generators, Scopes, Chroma Keying</t>
  </si>
  <si>
    <t>​HDMI® Presentation Scaler/Switcher - DXP Series</t>
  </si>
  <si>
    <t>4 HDMI® Inputs • 2 VGA/YPbPr/C Inputs with 3.5mm TRS Audio • 1 Mic Input • 1 HDMI® Output • 1 HDBaseT™ Output • Scales input up to 1080p • Line Level L/R Audio Output • Volume Control • Front Panel Button Control with IR &amp; RS-232 Control over HDbaseT™ • Compatible with HDBaseT™ Projectors/Displays (Rack Mount included)</t>
  </si>
  <si>
    <t>4 HDMI® Inputs • 2 VGA/YPbPr/C Inputs with 3.5mm TRS Audio • 1 Mic Input • 1 HDMI® Output • 1 HDBaseT™ Output • Scales input up to 1080p • Line Level L/R Audio Output • Volume Control • Front Panel Button Control with IR &amp; RS-232 Control over HDbaseT™ • Compatible with HDBaseT™ Projectors/Displays • Ships with DXE-CAT-RX1-4K HDbaseT™ Receiver (Rack Mount included)</t>
  </si>
  <si>
    <t>4 HDMI® Inputs • 2 VGA/YPbPr/C Inputs with 3.5mm TRS Audio • 1 Mic Input • 1 HDMI® Output • 1 HDBaseT™ Output • Scales input up to 1080p • Line Level L/R Audio Output • Volume Control • Front Panel Button Control with IR &amp; RS-232 Control over HDbaseT™ • Compatible with HDBaseT™ Projectors/Displays • Ships with DXE-CAT-RX3C-A HDbaseT™ Receiver/2x35W integrated Amplifier/2 Relays (Rack Mount included)HDMI</t>
  </si>
  <si>
    <t>​Wireless Huddle Room Solutions</t>
  </si>
  <si>
    <t>1 VGA input • 3 HDMI inputs 4K60 4:4:4 • 4K scaled HDMI® output (4K60 4:4:4) • 1 RS-232 • 2 relay ports • 2 I/O ports • Line in/out • LAN with PoE • 802.11b/g/n</t>
  </si>
  <si>
    <t>USB 2.0 • USB-C</t>
  </si>
  <si>
    <t>Holds (4) TS-K1</t>
  </si>
  <si>
    <t>​HDBaseT™ 4K60 4:4:4 Transmitter &amp; Receiver- HT Series</t>
  </si>
  <si>
    <t>4K60 4:4:4 18Gbps and HDR Uncompressed • 1Gbps Ethernet • Full 480Mbps USB 2.0 with Directional Control • 4 HDMI inputs • Transceiver Operation • Audio DSP capable of metering and future EQ, mixing, sensing, filtering capability • Integrated web server for remote IP control of CEC, RS-232, &amp; IR USB 2.0 with directional control • Optional expansion cards</t>
  </si>
  <si>
    <t>2-gang Wall Plate Transmitter • 4K60 4:4:4 18Gbps and HDR Uncompressed • 1Gbps Ethernet • Full 480Mbps USB 2.0 with Directional Control • 2 HDMI inputs • Tranmitter Operation • Audio DSP capable of metering and future EQ, mixing, sensing, filtering capability • Integrated web server for remote IP control of CEC, RS-232, &amp; IR USB 2.0 with directional control • Optional expansion cards</t>
  </si>
  <si>
    <t>2 input 4K60 4:4:4 uncompressed HDBaseT™ 2.0 tranmitter wall plate 330ft (black)</t>
  </si>
  <si>
    <t>2-gang Wall Plate Transmitter with 1 VGA &amp; 2 HDMI® 2.0/HDCP 2.2 Inputs selectable remotely, via front panel (with LED status) or auto sense • Audio Embedding/De-embedding &amp; Audio DSP • Dante™ IP Audio Card option • 10/100 LAN IP Port Expansion • RS-232, IR Output, IR Input &amp; built in IR Receiver • 1 USB 2.0 Type A device port for Host or Device &amp; 1 USB 2.0 Type A device port • Local 48v &amp; remote power (48v Power Supply &amp; Receiver sold separately)</t>
  </si>
  <si>
    <t>Transmitter with 2 HDMI® 2.0/HDCP 2.2 Inputs selectable remotely, via front panel (with LED status) or auto sense • Audio Embedding/De-embedding &amp; Audio DSP • Dante™ IP Audio Card option • 2 10/100 LAN IP Port Expansion, RS-232, IR Output, IR Input &amp; built in IR Receiver • 2 USB 2.0 Type A device ports &amp; one USB 2.0 micro port • Local 48v or remote power &amp; PoE power via LAN 1 (48v Power Supply &amp; Receiver sold separately)</t>
  </si>
  <si>
    <t>Receiver with 2 HDMI® 2.0/HDCP 2.2 Outputs selectable remotely, via front panel (with LED status) or auto sense • Audio Embedding/De-embedding &amp; Audio DSP • Dante™ IP Audio Card option • 2 10/100 LAN IP Port Expansion, RS-232, IR Output, IR Input &amp; built in IR Receiver • 2 USB 2.0 Type A device ports &amp; one USB 2.0 micro port • Local 48v or remote power &amp; PoE power via LAN 1 (48v Power Supply &amp; Receiver sold separately)® Matrixes</t>
  </si>
  <si>
    <t>​HDBaseT™ Transmitter (box)/Receiver (box) Kits - DXE Series</t>
  </si>
  <si>
    <t>With a single CAT 5e/6/7 cable, the DXE-CAT-S1 can go up to 230ft 1080p 60Hz / 4K UHD 36bit color depth with bi-directional RS-232, &amp; IR</t>
  </si>
  <si>
    <t>With a single CAT 5e/6/7 cable, the DXE-CAT-S2 can go up to 330ft 1080p 60Hz / 4K 48bit color depth with bi-directional RS-232, IR, &amp; LAN (up to 600ft at 24bit color depth with CAT 6a shielded cable)</t>
  </si>
  <si>
    <t>Same as DXE-CAT-RX2 with added Dual Relay Control, Audio Line In &amp; De-embedding Line Out. Receiver compatible with any other HDBaseT™ Compliant Transmitter device (PS0062-1 Power Supply Included, transmitter sold separately)</t>
  </si>
  <si>
    <t>Same as DXE-CAT-RX3 with added 2x35W Integrated Amplifier • Receiver compatible with any other HDBaseT™ Compliant Transmitter device (PS0077-1 Power Supply Included, transmitter sold separately)</t>
  </si>
  <si>
    <t>​HDBaseT™ Transmitters - DXE/DXW Series</t>
  </si>
  <si>
    <t>2-gang Wall Plate Transmitter with 1 HDMI®/DVI input &amp; 1 VGA/YPbPr input each with its own analog audio input • Input selectable via the front plate, auto-detect or via RS-232 &amp; passed over a single CAT cable • Supports RS-232 &amp; IR extension with Built-in IR Receiver • Wall Plate compatible with any HDBaseT™ Compliant Receiver device or display</t>
  </si>
  <si>
    <t>2-gang Wall Plate Transmitter with 1 HDMI®/DVI input &amp; 1 VGA/YPbPr input each with its own analog audio input • Input selectable via the front plate, auto-detect or via RS-232 &amp; passed over a single CAT cable • Supports RS-232 &amp; IR extension with Built-in IR Receiver • Wall Plate compatible with any HDBaseT™ Compliant Receiver device or display (Power Supply and receiver sold separately)</t>
  </si>
  <si>
    <t>HDMI® HDBaseT™ Transmitter module up to 230ft • Supports RS-232 &amp; IR pass through • Transmitter compatible with any other HDBaseT™ Compliant Receiver device or display (Power Supply and receiver sold separately)</t>
  </si>
  <si>
    <t>HDMI® HDBaseT™ Transmitter module up to 330ft (600ft with CAT-6a Shielded) • Dual Port LAN, PoE capable with RS-232 &amp; IR pass through • Transmitter compatible with any other HDBaseT™ Compliant Receiver device or display (Power Supply and receiver sold separately)</t>
  </si>
  <si>
    <t>​HDBaseT™ Receivers - DXE/DXW Series</t>
  </si>
  <si>
    <t>HDMI® HDBaseT™ Receiver module up to 230ft • Supports RS-232 &amp; IR pass through • Receiver compatible with any other HDBaseT™ Compliant Transmitter device (PS0080-1 Power Supply and transmitter sold separately)</t>
  </si>
  <si>
    <t>HDMI® HDBaseT™ Receiver module up to 330ft (600ft with CAT-6a Shielded) • Dual Port LAN, PoE capable with RS-232 &amp; IR pass through • Receiver compatible with any other HDBaseT™ Compliant Transmitter device (PS0080-1 Power Supply and transmitter sold separately)</t>
  </si>
  <si>
    <t>​HDBaseT™ Accessories - DXE/DXW Series</t>
  </si>
  <si>
    <t>DXE-CAT-RK3</t>
  </si>
  <si>
    <t>3RU Rack Mount Kit for DXE-CAT-S1/S2</t>
  </si>
  <si>
    <t>Fits up to 16 DXE-CAT units in 3RU space</t>
  </si>
  <si>
    <t>DXE-CAT-RK3BL</t>
  </si>
  <si>
    <t>Blank Panel</t>
  </si>
  <si>
    <t>For use with DXE-CAT-RK3 Rack Mount</t>
  </si>
  <si>
    <t>CA0052-F2T3R</t>
  </si>
  <si>
    <t>3.5mm TRS to FEMALE DB9 2-TX 3-RX (Null Modem)</t>
  </si>
  <si>
    <t>Download the price sheet addendum at http://portal.auroramm.com for graphical pinout reference</t>
  </si>
  <si>
    <t>CA0052-F3T2R</t>
  </si>
  <si>
    <t>3.5mm TRS to FEMALE DB9 3-TX 2-RX</t>
  </si>
  <si>
    <t>CA0052-M2T3R</t>
  </si>
  <si>
    <t>3.5mm TRS to MALE DB9 2-TX 3-RX (Null Modem)</t>
  </si>
  <si>
    <t>CA0052-M3T2R</t>
  </si>
  <si>
    <t>3.5mm TRS to MALE DB9 3-TX 2-RX</t>
  </si>
  <si>
    <t>CA0054-1</t>
  </si>
  <si>
    <t>15pin High Density VGA male connector to 4 RCA female connectors</t>
  </si>
  <si>
    <t>For use with IPX, VLX &amp; DXW Series Wall Plates</t>
  </si>
  <si>
    <t>8-button backlit controller (white)</t>
  </si>
  <si>
    <t>8-button backlit controller (black)</t>
  </si>
  <si>
    <t>DXB-8i-W</t>
  </si>
  <si>
    <t>8-button backlit IP controller (white)</t>
  </si>
  <si>
    <t>DXB-8i-B</t>
  </si>
  <si>
    <t>8-button backlit button IP controller (black)</t>
  </si>
  <si>
    <t>​Speakers - SKR Series</t>
  </si>
  <si>
    <t>SKR-22T</t>
  </si>
  <si>
    <t>2x2ft (600mmx600mm) Ceiling Tile Mounted Speaker</t>
  </si>
  <si>
    <t>25W RMS, 4/8Ohm, Class D Amplification (SKR-22T/SKR-22T-XFR sold as single speaker)</t>
  </si>
  <si>
    <t>SKR-22T-XFR</t>
  </si>
  <si>
    <t>25W RMS, 70v/100v, Class D Amplification (SKR-22T/SKR-22T-XFR sold as single speaker)</t>
  </si>
  <si>
    <t>​Accessories - Rack Mounts</t>
  </si>
  <si>
    <t>RK1-1-K</t>
  </si>
  <si>
    <t>1RU Rack Mount Kit compatible with HTE Series</t>
  </si>
  <si>
    <t>Fits up to two devices in a single rack space • Includes 1 blank plate (RK1-BP) &amp; 4 rails (RK2-RL)</t>
  </si>
  <si>
    <t>RK1-4-K</t>
  </si>
  <si>
    <t>4RU Rack Mount Kit compatible with HTE Series</t>
  </si>
  <si>
    <t>Fits up to twelve devices in a 4RU rack space • Includes 6 blank plates (RK1-BP) &amp; 24 rails (RK2-RL)</t>
  </si>
  <si>
    <t>RK1-BP</t>
  </si>
  <si>
    <t>Rack Blank Plate compatible with RK2-1-K, RK2-5-K, RK1-1-K or RK1-4-K</t>
  </si>
  <si>
    <t>For use with RK1-1-K or RK1-4-K rack mount kits</t>
  </si>
  <si>
    <t>RK4-1S-K</t>
  </si>
  <si>
    <t>1RU Single Unit Rack Mount compatible with RXC-4</t>
  </si>
  <si>
    <t>Fits one RXC-4 in a single rack space • Hardware included</t>
  </si>
  <si>
    <t>RK4-1D-K</t>
  </si>
  <si>
    <t>1RU Dual Unit Rack Mount compatible with RXC-4</t>
  </si>
  <si>
    <t>Fits up to two RXC-4 in a single rack space • Hardware included</t>
  </si>
  <si>
    <t>RK5-3-K</t>
  </si>
  <si>
    <t>19" 3-RU 2-Gang 1-Device Rack-Mount kit</t>
  </si>
  <si>
    <t>For use with (1) 2-gang wall plate device</t>
  </si>
  <si>
    <t>RK7-1-K</t>
  </si>
  <si>
    <t>1RU Single Unit Rack Mount for IPX-UC1 &amp; DIDO-X4</t>
  </si>
  <si>
    <t>Fits one IPX-UC1 or DIDO-X4 in a single rack space • Hardware included</t>
  </si>
  <si>
    <t>​Accessories - Serial Cables</t>
  </si>
  <si>
    <t>*download the price sheet addendum at portal.auroramm.com for CA0052 serial cable pinout diagram</t>
  </si>
  <si>
    <t>CA0094-3</t>
  </si>
  <si>
    <t>DB9 to 5-pin Euro connector</t>
  </si>
  <si>
    <t>DB9 Female to 5 pin 3.5mm Green Euro. TX, RX, GND (3 wire shielded) 3ft</t>
  </si>
  <si>
    <t>CA0095-3</t>
  </si>
  <si>
    <t>3.5mm TRS to 5-pin Euro connector</t>
  </si>
  <si>
    <t>3.5mm TRS Male to 5 pin 3.5mm Green Euro. TX, RX, GND (3 wire shielded) 3ft</t>
  </si>
  <si>
    <t>​Accessories - Power Supplies</t>
  </si>
  <si>
    <t>PS0024-1</t>
  </si>
  <si>
    <t>12v DC 2A Power Supply</t>
  </si>
  <si>
    <t>For use with VTunePro HD</t>
  </si>
  <si>
    <t>PS0045-5-PHX</t>
  </si>
  <si>
    <t>5v DC 6W power supply</t>
  </si>
  <si>
    <t>For use with DXB-8 (Required when DXB-8 not being used with DXW-2)</t>
  </si>
  <si>
    <t>PS0062-1-US</t>
  </si>
  <si>
    <t>24v DC 24W Power Supply - US</t>
  </si>
  <si>
    <t>For use with DXW-2EU, 2EUH, RX3, RX3C</t>
  </si>
  <si>
    <t>PS0062-1-AU</t>
  </si>
  <si>
    <t>24v DC 24W Power Supply - AU</t>
  </si>
  <si>
    <t>PS0062-1-EU</t>
  </si>
  <si>
    <t>24v DC 24W Power Supply - EU</t>
  </si>
  <si>
    <t>PS0062-1-UK</t>
  </si>
  <si>
    <t>24v DC 24W Power Supply - UK</t>
  </si>
  <si>
    <t>PS0077-1-US</t>
  </si>
  <si>
    <t>24v DC 90W Power Supply - US</t>
  </si>
  <si>
    <t>For use with DXE-CAT-RX3-A, RX3C-A</t>
  </si>
  <si>
    <t>PS0077-1-AU</t>
  </si>
  <si>
    <t>24v DC 90W Power Supply - AU</t>
  </si>
  <si>
    <t>PS0077-1-EU</t>
  </si>
  <si>
    <t>24v DC 90W Power Supply - EU</t>
  </si>
  <si>
    <t>PS0077-1-UK</t>
  </si>
  <si>
    <t>24v DC 90W Power Supply - UK</t>
  </si>
  <si>
    <t>PS0079-1-US</t>
  </si>
  <si>
    <t>12V DC 15.6 Watt Power Supply</t>
  </si>
  <si>
    <t>For Use with DIDO Series Products</t>
  </si>
  <si>
    <t>PS0079-1-EU</t>
  </si>
  <si>
    <t>PS0079-1-AU</t>
  </si>
  <si>
    <t>PS0079-1-UK</t>
  </si>
  <si>
    <t>PS0080-1-US</t>
  </si>
  <si>
    <t>24v DC Power Supply - US</t>
  </si>
  <si>
    <t>For use with DXE-CAT</t>
  </si>
  <si>
    <t>PS0080-1-AU</t>
  </si>
  <si>
    <t>24v DC Power Supply - AU/CN</t>
  </si>
  <si>
    <t>PS0080-1-EU</t>
  </si>
  <si>
    <t>24v DC Power Supply - EU</t>
  </si>
  <si>
    <t>PS0080-1-UK</t>
  </si>
  <si>
    <t>24v DC Power Supply - UK</t>
  </si>
  <si>
    <t>PS0081-1-US</t>
  </si>
  <si>
    <t>48v DC 24 Watt PoE Gigabit Power Supply Injector</t>
  </si>
  <si>
    <t>For use with QX, VLX, IPX, HT Series or any device requiring PoE power</t>
  </si>
  <si>
    <t>PS0081-1-EU</t>
  </si>
  <si>
    <t>For use with QX, VLX,  IPX Series or any device requiring PoE power</t>
  </si>
  <si>
    <t>PS0081-1-AU</t>
  </si>
  <si>
    <t>For use with QX, VLX &amp; IPX Series or any device requiring PoE power</t>
  </si>
  <si>
    <t>PS0081-1-UK</t>
  </si>
  <si>
    <t>PS0094-3</t>
  </si>
  <si>
    <t>48v DC 25 Watt Power Supply</t>
  </si>
  <si>
    <t>For use with VLX, IPX, HT, and RXC Series • Phoenix style power connector • Comes with worldwide plug adapters (US, EU, AU/CN, UK)</t>
  </si>
  <si>
    <t>PS0096-1-US</t>
  </si>
  <si>
    <t>5v DC 25 Watt Desktop Power Supply</t>
  </si>
  <si>
    <t>For use with IPX Series</t>
  </si>
  <si>
    <t>PS0096-1-EU</t>
  </si>
  <si>
    <t>PS0096-1-AU</t>
  </si>
  <si>
    <t>PS0096-1-UK</t>
  </si>
  <si>
    <t>PS0098-1</t>
  </si>
  <si>
    <t>12v DC Power Supply</t>
  </si>
  <si>
    <t>For use with VTunePro 4K</t>
  </si>
  <si>
    <t>​Accessories - DXB Series Button Caps</t>
  </si>
  <si>
    <t>*download the price sheet addendum at portal.auroramm.com for graphical button reference</t>
  </si>
  <si>
    <t>DXB-C0A-W</t>
  </si>
  <si>
    <t>DXB series button cap (0, white)</t>
  </si>
  <si>
    <t>Laser-etched button cap • Can be reversed 180°</t>
  </si>
  <si>
    <t>DXB-C0B-W</t>
  </si>
  <si>
    <t>DXB series button cap (1, white)</t>
  </si>
  <si>
    <t>DXB-C0C-W</t>
  </si>
  <si>
    <t>DXB series button cap (2, white)</t>
  </si>
  <si>
    <t>DXB-C0D-W</t>
  </si>
  <si>
    <t>DXB series button cap (3, white)</t>
  </si>
  <si>
    <t>DXB-C0E-W</t>
  </si>
  <si>
    <t>DXB series button cap (4, white)</t>
  </si>
  <si>
    <t>DXB-C0F-W</t>
  </si>
  <si>
    <t>DXB series button cap (5, white)</t>
  </si>
  <si>
    <t>DXB-C0G-W</t>
  </si>
  <si>
    <t>DXB series button cap (6, white)</t>
  </si>
  <si>
    <t>DXB-C0H-W</t>
  </si>
  <si>
    <t>DXB series button cap (7, white)</t>
  </si>
  <si>
    <t>DXB-C0J-W</t>
  </si>
  <si>
    <t>DXB series button cap (8, white)</t>
  </si>
  <si>
    <t>DXB-C0K-W</t>
  </si>
  <si>
    <t>DXB series button cap (9, white)</t>
  </si>
  <si>
    <t>DXB-C1A-W</t>
  </si>
  <si>
    <t>DXB series button cap (TV, white)</t>
  </si>
  <si>
    <t>DXB-C1B-W</t>
  </si>
  <si>
    <t>DXB series button cap (TV1, white)</t>
  </si>
  <si>
    <t>DXB-C1C-W</t>
  </si>
  <si>
    <t>DXB series button cap (TV2, white)</t>
  </si>
  <si>
    <t>DXB-C1D-W</t>
  </si>
  <si>
    <t>DXB series button cap (HDMI, white)</t>
  </si>
  <si>
    <t>DXB-C1E-W</t>
  </si>
  <si>
    <t>DXB series button cap (HDMI1, white)</t>
  </si>
  <si>
    <t>DXB-C1F-W</t>
  </si>
  <si>
    <t>DXB series button cap (HDMI2, white)</t>
  </si>
  <si>
    <t>DXB-C1G-W</t>
  </si>
  <si>
    <t>DXB series button cap (DVD, white)</t>
  </si>
  <si>
    <t>DXB-C1H-W</t>
  </si>
  <si>
    <t>DXB series button cap (VIDEO, white)</t>
  </si>
  <si>
    <t>DXB-C1J-W</t>
  </si>
  <si>
    <t>DXB series button cap (SAT, white)</t>
  </si>
  <si>
    <t>DXB-C1K-W</t>
  </si>
  <si>
    <t>DXB series button cap (CBL, white)</t>
  </si>
  <si>
    <t>DXB-C2A-W</t>
  </si>
  <si>
    <t>DXB series button cap (AUX, white)</t>
  </si>
  <si>
    <t>DXB-C2B-W</t>
  </si>
  <si>
    <t>DXB series button cap (AUX1, white)</t>
  </si>
  <si>
    <t>DXB-C2C-W</t>
  </si>
  <si>
    <t>DXB series button cap (AUX2, white)</t>
  </si>
  <si>
    <t>DXB-C2D-W</t>
  </si>
  <si>
    <t>DXB series button cap (PROJ, white)</t>
  </si>
  <si>
    <t>DXB-C2E-W</t>
  </si>
  <si>
    <t>DXB series button cap (PROJ1, white)</t>
  </si>
  <si>
    <t>DXB-C2F-W</t>
  </si>
  <si>
    <t>DXB series button cap (PROJ2, white)</t>
  </si>
  <si>
    <t>DXB-C2G-W</t>
  </si>
  <si>
    <t>DXB series button cap (DOC, white)</t>
  </si>
  <si>
    <t>DXB-C2H-W</t>
  </si>
  <si>
    <t>DXB series button cap (PC, white)</t>
  </si>
  <si>
    <t>DXB-C2J-W</t>
  </si>
  <si>
    <t>DXB series button cap (PC1, white)</t>
  </si>
  <si>
    <t>DXB-C2K-W</t>
  </si>
  <si>
    <t>DXB series button cap (PC2, white)</t>
  </si>
  <si>
    <t>DXB-C3A-W</t>
  </si>
  <si>
    <t>DXB series button cap (YPbPr, white)</t>
  </si>
  <si>
    <t>DXB-C3B-W</t>
  </si>
  <si>
    <t>DXB series button cap (VCR, white)</t>
  </si>
  <si>
    <t>DXB-C3C-W</t>
  </si>
  <si>
    <t>DXB series button cap (VTC, white)</t>
  </si>
  <si>
    <t>DXB-C3D-W</t>
  </si>
  <si>
    <t>DXB series button cap (VGA, white)</t>
  </si>
  <si>
    <t>DXB-C3E-W</t>
  </si>
  <si>
    <t>DXB series button cap (VGA1, white)</t>
  </si>
  <si>
    <t>DXB-C3F-W</t>
  </si>
  <si>
    <t>DXB series button cap (VGA2, white)</t>
  </si>
  <si>
    <t>DXB-C3G-W</t>
  </si>
  <si>
    <t>DXB series button cap (SCRN UP, white)</t>
  </si>
  <si>
    <t>DXB-C3H-W</t>
  </si>
  <si>
    <t>DXB series button cap (SCRN DN, white)</t>
  </si>
  <si>
    <t>DXB-C3J-W</t>
  </si>
  <si>
    <t>DXB series button cap (*, white)</t>
  </si>
  <si>
    <t>DXB-C3K-W</t>
  </si>
  <si>
    <t>DXB series button cap (#, white)</t>
  </si>
  <si>
    <t>DXB-C4A-W</t>
  </si>
  <si>
    <t>DXB series button cap (STOP, white)</t>
  </si>
  <si>
    <t>DXB-C4B-W</t>
  </si>
  <si>
    <t>DXB series button cap (PLAY/RIGHT/LEFT, white)</t>
  </si>
  <si>
    <t>DXB-C4C-W</t>
  </si>
  <si>
    <t>DXB series button cap (PAUSE, white)</t>
  </si>
  <si>
    <t>DXB-C4D-W</t>
  </si>
  <si>
    <t>DXB series button cap (FF/REW, white)</t>
  </si>
  <si>
    <t>DXB-C4E-W</t>
  </si>
  <si>
    <t>DXB series button cap (NEXT/PREV, white)</t>
  </si>
  <si>
    <t>DXB-C4F-W</t>
  </si>
  <si>
    <t>DXB series button cap (UP/DOWN, white)</t>
  </si>
  <si>
    <t>DXB-C4G-W</t>
  </si>
  <si>
    <t>DXB series button cap (ENTER, white)</t>
  </si>
  <si>
    <t>DXB-C4H-W</t>
  </si>
  <si>
    <t>DXB series button cap (MENU, white)</t>
  </si>
  <si>
    <t>DXB-C4J-W</t>
  </si>
  <si>
    <t>DXB series button cap (INPUT, white)</t>
  </si>
  <si>
    <t>DXB-C4K-W</t>
  </si>
  <si>
    <t>DXB series button cap (EXIT, white)</t>
  </si>
  <si>
    <t>DXB-C5A-W</t>
  </si>
  <si>
    <t>DXB series button cap (POWER, white)</t>
  </si>
  <si>
    <t>DXB-C5B-W</t>
  </si>
  <si>
    <t>DXB series button cap (ON, white)</t>
  </si>
  <si>
    <t>DXB-C5C-W</t>
  </si>
  <si>
    <t>DXB series button cap (OFF, white)</t>
  </si>
  <si>
    <t>DXB-C5D-W</t>
  </si>
  <si>
    <t>DXB series button cap (VOL DOWN, white)</t>
  </si>
  <si>
    <t>DXB-C5E-W</t>
  </si>
  <si>
    <t>DXB series button cap (VOL UP, white)</t>
  </si>
  <si>
    <t>DXB-C5F-W</t>
  </si>
  <si>
    <t>DXB series button cap (MUTE AUDIO, white)</t>
  </si>
  <si>
    <t>DXB-C5G-W</t>
  </si>
  <si>
    <t>DXB series button cap (MUTE MIC, white)</t>
  </si>
  <si>
    <t>DXB-C5H-W</t>
  </si>
  <si>
    <t>DXB series button cap (PERIOD, white)</t>
  </si>
  <si>
    <t>DXB-C5J-W</t>
  </si>
  <si>
    <t>DXB series button cap (SMALL DOT, white)</t>
  </si>
  <si>
    <t>DXB-C5K-W</t>
  </si>
  <si>
    <t>DXB series button cap (LARGE DOT/RECORD, white)</t>
  </si>
  <si>
    <t>DXB-C6A-W</t>
  </si>
  <si>
    <t>DXB series button cap (APPLE TV, white)</t>
  </si>
  <si>
    <t>DXB-C6B-W</t>
  </si>
  <si>
    <t>DXB series button cap (KARAOKE, white)</t>
  </si>
  <si>
    <t>DXB-C6C-W</t>
  </si>
  <si>
    <t>DXB series button cap (LAPTOP, white)</t>
  </si>
  <si>
    <t>DXB-C6D-W</t>
  </si>
  <si>
    <t>DXB series button cap (TV SOUND, white)</t>
  </si>
  <si>
    <t>DXB-CB-W</t>
  </si>
  <si>
    <t>DXB series button cap (BLANK, white)</t>
  </si>
  <si>
    <t>DXB-C0A-B</t>
  </si>
  <si>
    <t>DXB series button cap (0, black)</t>
  </si>
  <si>
    <t>DXB-C0B-B</t>
  </si>
  <si>
    <t>DXB series button cap (1, black)</t>
  </si>
  <si>
    <t>DXB-C0C-B</t>
  </si>
  <si>
    <t>DXB series button cap (2, black)</t>
  </si>
  <si>
    <t>DXB-C0D-B</t>
  </si>
  <si>
    <t>DXB series button cap (3, black)</t>
  </si>
  <si>
    <t>DXB-C0E-B</t>
  </si>
  <si>
    <t>DXB series button cap (4, black)</t>
  </si>
  <si>
    <t>DXB-C0F-B</t>
  </si>
  <si>
    <t>DXB series button cap (5, black)</t>
  </si>
  <si>
    <t>DXB-C0G-B</t>
  </si>
  <si>
    <t>DXB series button cap (6, black)</t>
  </si>
  <si>
    <t>DXB-C0H-B</t>
  </si>
  <si>
    <t>DXB series button cap (7, black)</t>
  </si>
  <si>
    <t>DXB-C0J-B</t>
  </si>
  <si>
    <t>DXB series button cap (8, black)</t>
  </si>
  <si>
    <t>DXB-C0K-B</t>
  </si>
  <si>
    <t>DXB series button cap (9, black)</t>
  </si>
  <si>
    <t>DXB-C1A-B</t>
  </si>
  <si>
    <t>DXB series button cap (TV, black)</t>
  </si>
  <si>
    <t>DXB-C1B-B</t>
  </si>
  <si>
    <t>DXB series button cap (TV1, black)</t>
  </si>
  <si>
    <t>DXB-C1C-B</t>
  </si>
  <si>
    <t>DXB series button cap (TV2, black)</t>
  </si>
  <si>
    <t>DXB-C1D-B</t>
  </si>
  <si>
    <t>DXB series button cap (HDMI, black)</t>
  </si>
  <si>
    <t>DXB-C1E-B</t>
  </si>
  <si>
    <t>DXB series button cap (HDMI1, black)</t>
  </si>
  <si>
    <t>DXB-C1F-B</t>
  </si>
  <si>
    <t>DXB series button cap (HDMI2, black)</t>
  </si>
  <si>
    <t>DXB-C1G-B</t>
  </si>
  <si>
    <t>DXB series button cap (DVD, black)</t>
  </si>
  <si>
    <t>DXB-C1H-B</t>
  </si>
  <si>
    <t>DXB series button cap (VIDEO, black)</t>
  </si>
  <si>
    <t>DXB-C1J-B</t>
  </si>
  <si>
    <t>DXB series button cap (SAT, black)</t>
  </si>
  <si>
    <t>DXB-C1K-B</t>
  </si>
  <si>
    <t>DXB series button cap (CBL, black)</t>
  </si>
  <si>
    <t>DXB-C2A-B</t>
  </si>
  <si>
    <t>DXB series button cap (AUX, black)</t>
  </si>
  <si>
    <t>DXB-C2B-B</t>
  </si>
  <si>
    <t>DXB series button cap (AUX1, black)</t>
  </si>
  <si>
    <t>DXB-C2C-B</t>
  </si>
  <si>
    <t>DXB series button cap (AUX2, black)</t>
  </si>
  <si>
    <t>DXB-C2D-B</t>
  </si>
  <si>
    <t>DXB series button cap (PROJ, black)</t>
  </si>
  <si>
    <t>DXB-C2E-B</t>
  </si>
  <si>
    <t>DXB series button cap (PROJ1, black)</t>
  </si>
  <si>
    <t>DXB-C2F-B</t>
  </si>
  <si>
    <t>DXB series button cap (PROJ2, black)</t>
  </si>
  <si>
    <t>DXB-C2G-B</t>
  </si>
  <si>
    <t>DXB series button cap (DOC, black)</t>
  </si>
  <si>
    <t>DXB-C2H-B</t>
  </si>
  <si>
    <t>DXB series button cap (PC, black)</t>
  </si>
  <si>
    <t>DXB-C2J-B</t>
  </si>
  <si>
    <t>DXB series button cap (PC1, black)</t>
  </si>
  <si>
    <t>DXB-C2K-B</t>
  </si>
  <si>
    <t>DXB series button cap (PC2, black)</t>
  </si>
  <si>
    <t>DXB-C3A-B</t>
  </si>
  <si>
    <t>DXB series button cap (YPbPr, black)</t>
  </si>
  <si>
    <t>DXB-C3B-B</t>
  </si>
  <si>
    <t>DXB series button cap (VCR, black)</t>
  </si>
  <si>
    <t>DXB-C3C-B</t>
  </si>
  <si>
    <t>DXB series button cap (VTC, black)</t>
  </si>
  <si>
    <t>DXB-C3D-B</t>
  </si>
  <si>
    <t>DXB series button cap (VGA, black)</t>
  </si>
  <si>
    <t>DXB-C3E-B</t>
  </si>
  <si>
    <t>DXB series button cap (VGA1, black)</t>
  </si>
  <si>
    <t>DXB-C3F-B</t>
  </si>
  <si>
    <t>DXB series button cap (VGA2, black)</t>
  </si>
  <si>
    <t>DXB-C3G-B</t>
  </si>
  <si>
    <t>DXB series button cap (SCRN UP, black)</t>
  </si>
  <si>
    <t>DXB-C3H-B</t>
  </si>
  <si>
    <t>DXB series button cap (SCRN DN, black)</t>
  </si>
  <si>
    <t>DXB-C3J-B</t>
  </si>
  <si>
    <t>DXB series button cap (*, black)</t>
  </si>
  <si>
    <t>DXB-C3K-B</t>
  </si>
  <si>
    <t>DXB series button cap (#, black)</t>
  </si>
  <si>
    <t>DXB-C4A-B</t>
  </si>
  <si>
    <t>DXB series button cap (STOP, black)</t>
  </si>
  <si>
    <t>DXB-C4B-B</t>
  </si>
  <si>
    <t>DXB series button cap (PLAY/RIGHT/LEFT, black)</t>
  </si>
  <si>
    <t>DXB-C4C-B</t>
  </si>
  <si>
    <t>DXB series button cap (PAUSE, black)</t>
  </si>
  <si>
    <t>DXB-C4D-B</t>
  </si>
  <si>
    <t>DXB series button cap (FF/REW, black)</t>
  </si>
  <si>
    <t>DXB-C4E-B</t>
  </si>
  <si>
    <t>DXB series button cap (NEXT/PREV, black)</t>
  </si>
  <si>
    <t>DXB-C4F-B</t>
  </si>
  <si>
    <t>DXB series button cap (UP/DOWN, black)</t>
  </si>
  <si>
    <t>DXB-C4G-B</t>
  </si>
  <si>
    <t>DXB series button cap (ENTER, black)</t>
  </si>
  <si>
    <t>DXB-C4H-B</t>
  </si>
  <si>
    <t>DXB series button cap (MENU, black)</t>
  </si>
  <si>
    <t>DXB-C4J-B</t>
  </si>
  <si>
    <t>DXB series button cap (INPUT, black)</t>
  </si>
  <si>
    <t>DXB-C4K-B</t>
  </si>
  <si>
    <t>DXB series button cap (EXIT, black)</t>
  </si>
  <si>
    <t>DXB-C5A-B</t>
  </si>
  <si>
    <t>DXB series button cap (POWER, black)</t>
  </si>
  <si>
    <t>DXB-C5B-B</t>
  </si>
  <si>
    <t>DXB series button cap (ON, black)</t>
  </si>
  <si>
    <t>DXB-C5C-B</t>
  </si>
  <si>
    <t>DXB series button cap (OFF, black)</t>
  </si>
  <si>
    <t>DXB-C5D-B</t>
  </si>
  <si>
    <t>DXB series button cap (VOL DOWN, black)</t>
  </si>
  <si>
    <t>DXB-C5E-B</t>
  </si>
  <si>
    <t>DXB series button cap (VOL UP, black)</t>
  </si>
  <si>
    <t>DXB-C5F-B</t>
  </si>
  <si>
    <t>DXB series button cap (MUTE AUDIO, black)</t>
  </si>
  <si>
    <t>DXB-C5G-B</t>
  </si>
  <si>
    <t>DXB series button cap (MUTE MIC, black)</t>
  </si>
  <si>
    <t>DXB-C5H-B</t>
  </si>
  <si>
    <t>DXB series button cap (PERIOD, black)</t>
  </si>
  <si>
    <t>DXB-C5J-B</t>
  </si>
  <si>
    <t>DXB series button cap (SMALL DOT, black)</t>
  </si>
  <si>
    <t>DXB-C5K-B</t>
  </si>
  <si>
    <t>DXB series button cap (LARGE DOT/RECORD, black)</t>
  </si>
  <si>
    <t>DXB-C6A-B</t>
  </si>
  <si>
    <t>DXB series button cap (APPLE TV, black)</t>
  </si>
  <si>
    <t>DXB-C6B-B</t>
  </si>
  <si>
    <t>DXB series button cap (KARAOKE, black)</t>
  </si>
  <si>
    <t>DXB-C6C-B</t>
  </si>
  <si>
    <t>DXB series button cap (LAPTOP, black)</t>
  </si>
  <si>
    <t>DXB-C6D-B</t>
  </si>
  <si>
    <t>DXB series button cap (TV SOUND, black)</t>
  </si>
  <si>
    <t>DXB-CB-B</t>
  </si>
  <si>
    <t>DXB series button cap (BLANK, black)</t>
  </si>
  <si>
    <t>VC550 4K Dual Lens PTZ Conference Camera with AI Technology &amp; Speakerphone</t>
  </si>
  <si>
    <t>COMMVC550</t>
  </si>
  <si>
    <t>CAM570 Conference Camera</t>
  </si>
  <si>
    <t>COMCAM570</t>
  </si>
  <si>
    <t>R9861505US</t>
  </si>
  <si>
    <t>C-5</t>
  </si>
  <si>
    <t>R9861511US</t>
  </si>
  <si>
    <t>C-10</t>
  </si>
  <si>
    <t>R9861512US</t>
  </si>
  <si>
    <t xml:space="preserve">CX-20 </t>
  </si>
  <si>
    <t>R9861513US</t>
  </si>
  <si>
    <t xml:space="preserve">CX-30 </t>
  </si>
  <si>
    <t>R9861522US</t>
  </si>
  <si>
    <t xml:space="preserve">CX-50 </t>
  </si>
  <si>
    <t>R9861622USB2</t>
  </si>
  <si>
    <t>CX-50 Gen2</t>
  </si>
  <si>
    <t>B573071K</t>
  </si>
  <si>
    <t>Wall mount disc C-5, C-10, CX-20, CX-30</t>
  </si>
  <si>
    <t>B563182K</t>
  </si>
  <si>
    <t xml:space="preserve">Power supply C-5, C-10, CX-20, CX-30 </t>
  </si>
  <si>
    <t>B563180K</t>
  </si>
  <si>
    <t>Power supply CX-50 ONLY - SPARE</t>
  </si>
  <si>
    <t>B5631051K</t>
  </si>
  <si>
    <t>Power supply CX-50 GEN2 - SPARE</t>
  </si>
  <si>
    <t>R9861581</t>
  </si>
  <si>
    <t>HDMI IN to USB-C convertor kit (for CX-50 GEN 2)</t>
  </si>
  <si>
    <t>R9861500T01</t>
  </si>
  <si>
    <t>Single ClickShare tray</t>
  </si>
  <si>
    <t>R9861600D01CUS</t>
  </si>
  <si>
    <t>Single ClickShare USB-C button (Gen4, TAA compliant, to be used with C-series and CX-series)</t>
  </si>
  <si>
    <t>R9861600P01CUS</t>
  </si>
  <si>
    <t>Two ClickShare USB-C buttons (Gen4) and single tray pack for buttons (R9861600D01CUS) to be used with C-series and CX-series. (TAA compliant)</t>
  </si>
  <si>
    <t>CGP-RF-STD-3660x2058</t>
  </si>
  <si>
    <t>RigiFlex Wall-mounted screen - 3660x2058 mm image size</t>
  </si>
  <si>
    <t>4K 0,95mm pixel pitch 16:9 aspect ratio</t>
  </si>
  <si>
    <t>CGP-RF-STD-3660x2287</t>
  </si>
  <si>
    <t>RigiFlex Wall-mounted screen - 3660x2287 mm image size</t>
  </si>
  <si>
    <t>4K 0,95mm pixel pitch 16:10 aspect ratio</t>
  </si>
  <si>
    <t>CGP-RF-STD-4880x2745</t>
  </si>
  <si>
    <t>RigiFlex Wall-mounted screen - 4880x2745 mm image size</t>
  </si>
  <si>
    <t>4K 1,27mm pixel pitch 16:9 aspect ratio</t>
  </si>
  <si>
    <t>CGP-RF-STD-4880x3050</t>
  </si>
  <si>
    <t>RigiFlex Wall-mounted screen - 4880x3050 mm image size</t>
  </si>
  <si>
    <t>4K 1,27mm pixel pitch 16:10 aspect ratio</t>
  </si>
  <si>
    <t>CGP-RF-STD-5120x2160</t>
  </si>
  <si>
    <t>RigiFlex Wall-mounted screen - 5120x21600 mm image size</t>
  </si>
  <si>
    <t>4K 1mm pixel pitch 21:9 aspect ratio</t>
  </si>
  <si>
    <t>CGP-RF-STD-12x6,75</t>
  </si>
  <si>
    <t>RigiFlex Wall-mounted screen - 12 x 6,75 ft  image size</t>
  </si>
  <si>
    <t>CGP-RF-STD-12x7,5</t>
  </si>
  <si>
    <t>RigiFlex Wall-mounted screen - 12 x 7,5 ft image size</t>
  </si>
  <si>
    <t>CGP-RF-STD-16x9</t>
  </si>
  <si>
    <t>RigiFlex Wall-mounted screen - 16 x 9 ft image size</t>
  </si>
  <si>
    <t>CGP-RF-STD-16x10</t>
  </si>
  <si>
    <t>RigiFlex Wall-mounted screen - 16 x 10 ft image size</t>
  </si>
  <si>
    <t>CGP-RF-STD-16,8x7</t>
  </si>
  <si>
    <t>RigiFlex Wall-mounted screen - 16,8x7 ft image size</t>
  </si>
  <si>
    <t>R9408910</t>
  </si>
  <si>
    <t>CANVAS-F70-4K6 3D-STD LENSES</t>
  </si>
  <si>
    <t>Canvas equipped with 3 F70-4K6 3D projectors using standard lenses + mirrors</t>
  </si>
  <si>
    <t>R9802120</t>
  </si>
  <si>
    <t>CANVAS SHIELDING for R9408910</t>
  </si>
  <si>
    <t>Optional light-shielding option for version with F70 &amp; std lens</t>
  </si>
  <si>
    <t>R9408913</t>
  </si>
  <si>
    <t>CANVAS-F80-4K9-STD LENSES</t>
  </si>
  <si>
    <t>Canvas equipped with 3 F80-4K9 projectors using standard lenses + mirrors</t>
  </si>
  <si>
    <t>R9802123</t>
  </si>
  <si>
    <t>CANVAS SHIELDING for R9408913</t>
  </si>
  <si>
    <t>Optional light-shielding option for version with F80 &amp; std lens</t>
  </si>
  <si>
    <t>R9408911</t>
  </si>
  <si>
    <t>CANVAS-F80-4K12-UST LENSES</t>
  </si>
  <si>
    <t>Canvas equipped with 3 F80-4K12 projectors using UST 90° for all screens</t>
  </si>
  <si>
    <t>R9802121</t>
  </si>
  <si>
    <t>CANVAS SHIELDING for R9408911</t>
  </si>
  <si>
    <t>Optional light-shielding option for version with F80 &amp; UST lens</t>
  </si>
  <si>
    <t>R9408912</t>
  </si>
  <si>
    <t>CANVAS-UDM-4K15-UST LENSES</t>
  </si>
  <si>
    <t>Canvas equipped with 3 UDM-4K15 projectors using the TLD+ LENS 0.38 UST 90°</t>
  </si>
  <si>
    <t>R9802122</t>
  </si>
  <si>
    <t>CANVAS SHIELDING for R9408912</t>
  </si>
  <si>
    <t>Optional light-shielding option for version with UDM-4K &amp; UST lens</t>
  </si>
  <si>
    <t>R9802103</t>
  </si>
  <si>
    <t>3D Glasses kit</t>
  </si>
  <si>
    <t>10 x Volfoni 3D Glasses (RF) + 1 x emitter + 1 x USB charger</t>
  </si>
  <si>
    <t>R9802104</t>
  </si>
  <si>
    <t>CANVAS : Tracking kit 'basic'</t>
  </si>
  <si>
    <t>ART Smarttrack3 (2 camera integrated) + 1 x Flystick 2+ (1 target) + 1 target for 3D glasses</t>
  </si>
  <si>
    <t>R9802105</t>
  </si>
  <si>
    <t>CANVAS : Tracking kit 'standard'</t>
  </si>
  <si>
    <t>ART TRACKPACK/E system, 3 cameras, controller + 1 x Flystick 2+ (1 target) + 1 target for 3D glasses</t>
  </si>
  <si>
    <t>R9804050LIC</t>
  </si>
  <si>
    <t>CANVAS : Automation Crestron SW module</t>
  </si>
  <si>
    <t>Standard UI based on Crestron - software only , no hardware</t>
  </si>
  <si>
    <t>CGP-TCAVE-F70-2000X2000</t>
  </si>
  <si>
    <t>Transportable CAVE - 3 sides F70-4K6 3D</t>
  </si>
  <si>
    <t>3 F70-4K6 3D ; 3 screens (front , left &amp; floor) ; screen size is 2mx2m per side</t>
  </si>
  <si>
    <t>CGP-S4CAVE-F80Q7-STD-NO_CLADDING</t>
  </si>
  <si>
    <t>S4 CAVE WITH F80-Q7 - std lenses - no cladding</t>
  </si>
  <si>
    <t>4-sided CAVE (3200x2000mm OR 3000x2250mm) with 4 F80-Q7 projectors + standard lenses - cladding/finishing excluded</t>
  </si>
  <si>
    <t>CGP-S4CAVE-F80Q7-UST-NO_CLADDING</t>
  </si>
  <si>
    <t>S4 CAVE WITH F80-Q7 - UST lenses - no cladding</t>
  </si>
  <si>
    <t>4-sided CAVE (3200x2000mm OR 3000x2250mm) with 4 F80-Q7 projectors + UST 90° lenses - cladding/finishing excluded</t>
  </si>
  <si>
    <t>CGP-S4CAVE-F80Q9-STD-NO_CLADDING</t>
  </si>
  <si>
    <t>S4 CAVE WITH F80-Q9 - std lenses - no cladding</t>
  </si>
  <si>
    <t>4-sided CAVE (3200x2000mm OR 3000x2250mm) with 4 F80-Q9 projectors + standard lenses - cladding/finishing excluded</t>
  </si>
  <si>
    <t>CGP-S4CAVE-F80Q9-UST-NO_CLADDING</t>
  </si>
  <si>
    <t>S4 CAVE WITH F80-Q9 - UST lenses - no cladding</t>
  </si>
  <si>
    <t>4-sided CAVE (3200x2000mm OR 3000x2250mm) with 4 F80-Q9 projectors + UST 90° lenses - cladding/finishing excluded</t>
  </si>
  <si>
    <t>CGP-S4CAVE-F80Q12-STD-NO_CLADDING</t>
  </si>
  <si>
    <t>S4 CAVE WITH F80-Q12 - std lenses - no cladding</t>
  </si>
  <si>
    <t>4-sided CAVE (3200x2000mm OR 3000x2250mm) with 4 F80-Q12 projectors + standard lenses - cladding/finishing excluded</t>
  </si>
  <si>
    <t>CGP-S4CAVE-F80Q12-UST-NO_CLADDING</t>
  </si>
  <si>
    <t>S4 CAVE WITH F80-Q12 - UST lenses - no cladding</t>
  </si>
  <si>
    <t>4-sided CAVE (3200x2000mm OR 3000x2250mm) with 4 F80-Q12 projectors + UST 90° lenses - cladding/finishing excluded</t>
  </si>
  <si>
    <t>CGP-S4CAVE-F70WUXGA-NO_CLADDING</t>
  </si>
  <si>
    <t>S4 CAVE WITH F70-W6 3D - no cladding</t>
  </si>
  <si>
    <t>4-sided CAVE (3200x2000mm OR 3000x2250mm) with 4 F70-W6 3D projectors  - cladding/finishing excluded</t>
  </si>
  <si>
    <t>CGP-S4CAVE-F70WQXGA-NO_CLADDING</t>
  </si>
  <si>
    <t>S4 CAVE WITH F70-4K6 3D - no cladding</t>
  </si>
  <si>
    <t>4-sided CAVE (3200x2000mm OR 3000x2250mm) with 4 F70-4K6 3D projectors  - cladding/finishing excluded</t>
  </si>
  <si>
    <t>CGP-S4CAVE-UDM4K15-STD-NO_CLADDING</t>
  </si>
  <si>
    <t>S4 CAVE WITH UDM4K15 - std lenses - no cladding</t>
  </si>
  <si>
    <t>4-sided CAVE (3200x2000mm OR 3000x2250mm) with 4 UDM-4K15 projectors + standard lenses - cladding/finishing excluded</t>
  </si>
  <si>
    <t>CGP-S4CAVE-UDM4K15-UST-NO_CLADDING</t>
  </si>
  <si>
    <t>S4 CAVE WITH UDM4K15 - UST - no cladding</t>
  </si>
  <si>
    <t>4-sided CAVE (3200x2000mm OR 3000x2250mm) with 4 UDM-4K15 projectors + UST 90° lenses - cladding/finishing excluded</t>
  </si>
  <si>
    <t>CGP-S4CAVE-UDM4K22-STD-NO_CLADDING</t>
  </si>
  <si>
    <t>S4 CAVE WITH UDM4K22 - std lenses - no cladding</t>
  </si>
  <si>
    <t>4-sided CAVE (3200x2000mm OR 3000x2250mm) with 4 UDM-4K22 projectors + standard lenses - cladding/finishing excluded</t>
  </si>
  <si>
    <t>CGP-S4CAVE-UDM4K22-UST-NO_CLADDING</t>
  </si>
  <si>
    <t>S4 CAVE WITH UDM4K22 - UST - no cladding</t>
  </si>
  <si>
    <t>4-sided CAVE (3200x2000mm OR 3000x2250mm) with 4 UDM-4K22 projectors + UST 90° lenses - cladding/finishing excluded</t>
  </si>
  <si>
    <t>CGP-S4CAVE-CLADDING</t>
  </si>
  <si>
    <t>Cladding option on S4 CAVE</t>
  </si>
  <si>
    <t>Applicable for all S4 Variants</t>
  </si>
  <si>
    <t>CGP-S4CAVE-UDM4K-DEP</t>
  </si>
  <si>
    <t>Dual Eye Point Feature for S4 CAVE- only on UDM4K</t>
  </si>
  <si>
    <t>Dual Eye Point License for all 4 UDM-4K projectors</t>
  </si>
  <si>
    <t>T-CAVE: Tracking kit 'standard'</t>
  </si>
  <si>
    <t>CGP-S4CAVE-TRACKING</t>
  </si>
  <si>
    <t>S4-CAVE : Tracking kit 'standard'</t>
  </si>
  <si>
    <t>ART TRACKPACK/E system, 4 cameras, controller + 1 x Flystick 2+ (1 target) + 1 target for 3D glasses</t>
  </si>
  <si>
    <t>R9801092</t>
  </si>
  <si>
    <t>Volfoni Edge 1.2 IR glasses</t>
  </si>
  <si>
    <t>3D Glasses IR based
Equals part number  (503-0321-00)</t>
  </si>
  <si>
    <t>R9801091</t>
  </si>
  <si>
    <t>Volfoni ActivHub IR 50 emitter</t>
  </si>
  <si>
    <t>For small rooms (IR range up to 45m)</t>
  </si>
  <si>
    <t>R9802164</t>
  </si>
  <si>
    <t>Volfoni Activhub IR 100</t>
  </si>
  <si>
    <t>For small to middle sized venues (50-100 seats - up to 75m) - Volfoni reference VPES-02000-A</t>
  </si>
  <si>
    <t>R9850003</t>
  </si>
  <si>
    <t>Volfoni Edge RF glasses</t>
  </si>
  <si>
    <t>Supports only 1 fixed RF channel
Equals part number  (503-0347-00)</t>
  </si>
  <si>
    <t>R9801679</t>
  </si>
  <si>
    <t>Volfoni Edge VR glasses</t>
  </si>
  <si>
    <t>Can be set to different RF channels</t>
  </si>
  <si>
    <t>R9801964</t>
  </si>
  <si>
    <t>Volfoni Edge MU glasses (for DEP)</t>
  </si>
  <si>
    <t>RF glasses for use with DEP feature on UDX/M 4K series</t>
  </si>
  <si>
    <t>R9850002</t>
  </si>
  <si>
    <t>Volfoni ActivHub RF 50 emitter</t>
  </si>
  <si>
    <t>RF Range up to 30m
Equals part number  (503-0348-00)</t>
  </si>
  <si>
    <t>B563146</t>
  </si>
  <si>
    <t>Volfoni 40-PORT USB CHARGER</t>
  </si>
  <si>
    <t xml:space="preserve">Only suited for re-chargeable Edge RF and Edge VR glasses </t>
  </si>
  <si>
    <t>R9805150</t>
  </si>
  <si>
    <t>Dolby 3D Glasses Laser 3D - ASFR</t>
  </si>
  <si>
    <t>Asian type / smaller</t>
  </si>
  <si>
    <t>R9802258</t>
  </si>
  <si>
    <t>XPAND - X105-RF-X1  - RF 3D glasses</t>
  </si>
  <si>
    <t xml:space="preserve">3D Glasses RF based - Rechargeable battery </t>
  </si>
  <si>
    <t>R9802255</t>
  </si>
  <si>
    <t>XPAND - AE125-RF emitter</t>
  </si>
  <si>
    <t>RF Emitter Pro - to be used in combination with X105-RF-X1 Glasses</t>
  </si>
  <si>
    <t>R9802257</t>
  </si>
  <si>
    <t>XPAND - X105-IR-C  - IR 3D glasses</t>
  </si>
  <si>
    <t xml:space="preserve">3D Glasses IR based - Rechargeable battery </t>
  </si>
  <si>
    <t>R9802259</t>
  </si>
  <si>
    <t>XPAND - 	X106 Evolution - IR 3D Glasses</t>
  </si>
  <si>
    <t>3D Glasses IR based - Replacable battery</t>
  </si>
  <si>
    <t>R9802254</t>
  </si>
  <si>
    <t>XPAND - AE12H-IR emitter</t>
  </si>
  <si>
    <t xml:space="preserve">Mid-range IR External 3D Emitter - to be used in combination with X105-IR-C or X106 Evolution </t>
  </si>
  <si>
    <t>R9802256</t>
  </si>
  <si>
    <t>XPAND - emitter mount</t>
  </si>
  <si>
    <t>Emitter mount for Xpand 3D emitters</t>
  </si>
  <si>
    <t>R9802260</t>
  </si>
  <si>
    <t>XPAND - USB Recharging HUB</t>
  </si>
  <si>
    <t>To be used in combination with 3D Glasses with rechargeable batteries (X105-RF &amp; X105-IR)</t>
  </si>
  <si>
    <t>R9804020</t>
  </si>
  <si>
    <t xml:space="preserve">DEP (Dual Eye Point) Feature </t>
  </si>
  <si>
    <t>For UDX-4K and UDM-4K series</t>
  </si>
  <si>
    <t>R90059451</t>
  </si>
  <si>
    <t>F80-Q7 body only</t>
  </si>
  <si>
    <t>R90059481</t>
  </si>
  <si>
    <t>F80-4K7 body only</t>
  </si>
  <si>
    <t>R90059461</t>
  </si>
  <si>
    <t>F80-Q9  body only</t>
  </si>
  <si>
    <t>R90059511</t>
  </si>
  <si>
    <t>F80-4K9 body only</t>
  </si>
  <si>
    <t>TAA compliant</t>
  </si>
  <si>
    <t>R90059471</t>
  </si>
  <si>
    <t>F80-Q12 body only</t>
  </si>
  <si>
    <t>R90059521</t>
  </si>
  <si>
    <t>F80-4K12 body only</t>
  </si>
  <si>
    <t>R98017241</t>
  </si>
  <si>
    <t>GLD 0.85-1.06 : 1</t>
  </si>
  <si>
    <t>0.8 – 1.0 : 1 (2716x1600) / 0.85-1.06 : 1 (2560x1600) / (TAA compliant)</t>
  </si>
  <si>
    <t>R98017221</t>
  </si>
  <si>
    <t>GLD 1.06-1.43 : 1</t>
  </si>
  <si>
    <t>1.0 – 1.35 : 1 (2716x1600) / 1.06 - 1.43 : 1 (2560x1600) / (TAA compliant)</t>
  </si>
  <si>
    <t>R98017191</t>
  </si>
  <si>
    <t>GLD 1.43-2.12 : 1 (STD NON MOTORIZED)</t>
  </si>
  <si>
    <t>1.35 – 2.0 : 1 (2716x1600) / 1.43 - 2.12 : 1 (2560x1600)</t>
  </si>
  <si>
    <t>R98017201</t>
  </si>
  <si>
    <t>GLD 1.43-2.12 : 1 (STD MOTORIZED)</t>
  </si>
  <si>
    <t>R98017211</t>
  </si>
  <si>
    <t>GLD 2.12-3.18 : 1</t>
  </si>
  <si>
    <t>2.0 – 3.0 : 1 (2716x1600) / 2.12 - 3.18 : 1 (2560x1600)</t>
  </si>
  <si>
    <t>R9409803</t>
  </si>
  <si>
    <t>GLD lens 0.37-0.4:1 UST 90° + lens support + Safety cable</t>
  </si>
  <si>
    <t>R9801832</t>
  </si>
  <si>
    <t>FLDX 0.38 : 1 UST 90°</t>
  </si>
  <si>
    <t>0.54 : 1 (2716x1600) / 0.57 : 1 (2560x1600)</t>
  </si>
  <si>
    <t>R94018321</t>
  </si>
  <si>
    <t>UST lens + lens support</t>
  </si>
  <si>
    <t>F3x, FL3x, FS3x, F90, F80, F70</t>
  </si>
  <si>
    <t>R94018322</t>
  </si>
  <si>
    <t>UST lens + lens support + F80 Lens adapter</t>
  </si>
  <si>
    <t>UST lens (R9801832) + lens support (R9801956) + F80 Lens adapter (R98014421)</t>
  </si>
  <si>
    <t>R9802241</t>
  </si>
  <si>
    <t>FLDX 1.7 - 2.5 : 1 (EN61)</t>
  </si>
  <si>
    <t>2.25 – 3.30 : 1 (2716x1600) / 2.39 - 3.50 : 1 (2560x1600)</t>
  </si>
  <si>
    <t>R9802473</t>
  </si>
  <si>
    <t>FLDX 2.50-4,63:1 (EN64)</t>
  </si>
  <si>
    <t>2.33 - 4.32:1 (WUXGA) / 2.50 - 4.63:1 (WQXGA) / 2.19 - 4.05 : 1 (4K)</t>
  </si>
  <si>
    <t>R9408738</t>
  </si>
  <si>
    <t>F80-4K12 + stacking frame + flightcase</t>
  </si>
  <si>
    <t>F80-4K12 (R90059521) + Stacking frame (R9802230) + F80 flight case (R9801855)</t>
  </si>
  <si>
    <t>R9408970</t>
  </si>
  <si>
    <t>F80-Q12 + stacking frame + flightcase</t>
  </si>
  <si>
    <t>F80-Q12 (R90059471) + Stacking frame (R9802230) + F80 flight case (R9801855)</t>
  </si>
  <si>
    <t>R9408739</t>
  </si>
  <si>
    <t>3x GLD-lenses</t>
  </si>
  <si>
    <t>GLD 0.8-1.0 : 1 (R98017241) + GLD 1.0-1.35 : 1 (R98017221) + GLD 1.35-2.0 : 1 (R98017201)</t>
  </si>
  <si>
    <t>R9408790</t>
  </si>
  <si>
    <t>F80-4K12 + stacking frame + flightcase + 3x GLD lenses</t>
  </si>
  <si>
    <t>Package R9408738 + Package R9408739</t>
  </si>
  <si>
    <t>R9408980</t>
  </si>
  <si>
    <t>F80-Q12 + stacking frame + flightcase + 3x GLD lenses</t>
  </si>
  <si>
    <t>Package R9408970 + Package R9408739</t>
  </si>
  <si>
    <t>R94059454</t>
  </si>
  <si>
    <t>F80-Q7 with motorized lens 1.43-2.12</t>
  </si>
  <si>
    <t>F80-Q7 (R90059451) + Motorized Lens 1.43-2.12 (R98017201)</t>
  </si>
  <si>
    <t>R94059484</t>
  </si>
  <si>
    <t>F80-4K7 with motorized lens 1.43-2.12</t>
  </si>
  <si>
    <t>F80-4K7 (R90059481) + Motorized Lens 1.43-2.12 (R98017201)</t>
  </si>
  <si>
    <t>R94059464</t>
  </si>
  <si>
    <t>F80-Q9 with motorized lens 1.43-2.12</t>
  </si>
  <si>
    <t>F80-Q9 (R90059461) + Motorized Lens 1.43-2.12 (R98017201)</t>
  </si>
  <si>
    <t>R94059514</t>
  </si>
  <si>
    <t>F80-4K9 with motorized lens 1.43-2.12</t>
  </si>
  <si>
    <t>F80-4K9 (R90059511) + Motorized Lens 1.43-2.12 (R98017201)</t>
  </si>
  <si>
    <t>R94059474</t>
  </si>
  <si>
    <t>F80-Q12 with motorized lens 1.43-2.12</t>
  </si>
  <si>
    <t>F80-Q12 (R90059471) + Motorized Lens 1.43-2.12 (R98017201)</t>
  </si>
  <si>
    <t>R94059524</t>
  </si>
  <si>
    <t>F80-4K12 with motorized lens 1.43-2.12</t>
  </si>
  <si>
    <t>F80-4K12 (R90059521) + Motorized Lens 1.43-2.12 (R98017201)</t>
  </si>
  <si>
    <t>R9802230</t>
  </si>
  <si>
    <t>Stacking Frame V3 (Precision)</t>
  </si>
  <si>
    <t>R9801757</t>
  </si>
  <si>
    <t>BME Motorization upgrade for rental Frame F80</t>
  </si>
  <si>
    <t>R9801855</t>
  </si>
  <si>
    <t>F80 Flightcase</t>
  </si>
  <si>
    <t>Flightcase for F80 in stacking frame (no frame included)</t>
  </si>
  <si>
    <t>R9801956</t>
  </si>
  <si>
    <t>UST-lens support 90° F-series lens R9801832</t>
  </si>
  <si>
    <t>R98014421</t>
  </si>
  <si>
    <t>F80 FLDX/FLD/FLD+ LENS ADAPTER</t>
  </si>
  <si>
    <t>Mandatory option when using an FLDX, FLD or FLD+ lens on the F80</t>
  </si>
  <si>
    <t>R9801825</t>
  </si>
  <si>
    <t xml:space="preserve">Adaptor plate for rigging frame </t>
  </si>
  <si>
    <t xml:space="preserve">Plate to adapt the balance of the frame with single point </t>
  </si>
  <si>
    <t>R9801774</t>
  </si>
  <si>
    <t>IR remote control protection sleeve</t>
  </si>
  <si>
    <t>Remote control not included</t>
  </si>
  <si>
    <t>R9802810</t>
  </si>
  <si>
    <t>BME K PULSE IR REMOTE CONTROL BASIC</t>
  </si>
  <si>
    <t>white</t>
  </si>
  <si>
    <t>R9803002</t>
  </si>
  <si>
    <t>BME K PULSE IR REMOTE CONTROL MULTI PRJ</t>
  </si>
  <si>
    <t>13149</t>
  </si>
  <si>
    <t>F80-Q7 - ESSENTIALCARE +1 (4Y)</t>
  </si>
  <si>
    <t>1Y Extended Warranty (4Y)</t>
  </si>
  <si>
    <t>13051</t>
  </si>
  <si>
    <t>F80-Q7 - ESSENTIALCARE +2 (5Y)</t>
  </si>
  <si>
    <t>2Y Extended Warranty (5Y)</t>
  </si>
  <si>
    <t>13150</t>
  </si>
  <si>
    <t>F80-4K7 - ESSENTIALCARE +1 (4Y)</t>
  </si>
  <si>
    <t>13052</t>
  </si>
  <si>
    <t>F80-4K7 - ESSENTIALCARE +2 (5Y)</t>
  </si>
  <si>
    <t>13151</t>
  </si>
  <si>
    <t>F80-Q9 - ESSENTIALCARE +1 (4Y)</t>
  </si>
  <si>
    <t>13053</t>
  </si>
  <si>
    <t>F80-Q9 - ESSENTIALCARE +2 (5Y)</t>
  </si>
  <si>
    <t>13152</t>
  </si>
  <si>
    <t>F80-4K9 - ESSENTIALCARE +1 (4Y)</t>
  </si>
  <si>
    <t>13054</t>
  </si>
  <si>
    <t>F80-4K9 - ESSENTIALCARE +2 (5Y)</t>
  </si>
  <si>
    <t>13333</t>
  </si>
  <si>
    <t>F80-Q12 - ESSENTIALCARE +1 (4Y)</t>
  </si>
  <si>
    <t>13335</t>
  </si>
  <si>
    <t>F80-Q12 - ESSENTIALCARE +2 (5Y)</t>
  </si>
  <si>
    <t>13334</t>
  </si>
  <si>
    <t>F80-4K12 - ESSENTIALCARE +1 (4Y)</t>
  </si>
  <si>
    <t>13336</t>
  </si>
  <si>
    <t>F80-4K12 - ESSENTIALCARE +2 (5Y)</t>
  </si>
  <si>
    <t>13798</t>
  </si>
  <si>
    <t>F80 ECO - LOW FREQ MAINT 20000 HRS</t>
  </si>
  <si>
    <t>Replacement of actuator</t>
  </si>
  <si>
    <t>R9010652</t>
  </si>
  <si>
    <t>G50-W7 - black - WW</t>
  </si>
  <si>
    <t>R9010653</t>
  </si>
  <si>
    <t>G50-W7 - white - WW</t>
  </si>
  <si>
    <t>R90106522</t>
  </si>
  <si>
    <t>G50-W7 - black - TAA compliant</t>
  </si>
  <si>
    <t>TAA compliant version</t>
  </si>
  <si>
    <t>R90106532</t>
  </si>
  <si>
    <t>G50-W7 - white - TAA compliant</t>
  </si>
  <si>
    <t>R9010655</t>
  </si>
  <si>
    <t>G50-W8 - black - WW</t>
  </si>
  <si>
    <t>R9010656</t>
  </si>
  <si>
    <t>G50-W8 - white - WW</t>
  </si>
  <si>
    <t>R90106552</t>
  </si>
  <si>
    <t>G50-W8 - black - TAA compliant</t>
  </si>
  <si>
    <t>R90106562</t>
  </si>
  <si>
    <t>G50-W8 - white - TAA compliant</t>
  </si>
  <si>
    <t>R9802300</t>
  </si>
  <si>
    <t>G LENS (0.65-0.75:1)</t>
  </si>
  <si>
    <t>R9801840</t>
  </si>
  <si>
    <t>G LENS (0.75-0.95:1)</t>
  </si>
  <si>
    <t>R9832755</t>
  </si>
  <si>
    <t>G LENS (WUXGA 0.95-1.22:1)</t>
  </si>
  <si>
    <t>R9801784</t>
  </si>
  <si>
    <t>G LENS (WUXGA 1.22-1.53:1) - STD LENS</t>
  </si>
  <si>
    <t>R9832756</t>
  </si>
  <si>
    <t>G LENS (WUXGA 1.52-2.92:1)</t>
  </si>
  <si>
    <t>R9832778</t>
  </si>
  <si>
    <t>G LENS (WUXGA 2.90-5.50:1)</t>
  </si>
  <si>
    <t>R9410231</t>
  </si>
  <si>
    <t>G50 LENS 0.37-0.4:1 UST + lens support + Safety cable</t>
  </si>
  <si>
    <t>R9410231 includes: R9801830  G LENS 0.37-0.39:1 UST 90° + R9802980  G50 LENS SUPPORT FOR 0.37-0.4:1 UST 90°  + R9801196  Safety Cable for TLD+ lenses   (items not sold separately)</t>
  </si>
  <si>
    <t>R9802488</t>
  </si>
  <si>
    <t>remote control unit for G-series</t>
  </si>
  <si>
    <t>one remote already in G-series body’s accessory box</t>
  </si>
  <si>
    <t>15342</t>
  </si>
  <si>
    <t>G50-W6 - ESSENTIALCARE +1 (4Y)</t>
  </si>
  <si>
    <t>15343</t>
  </si>
  <si>
    <t>G50-W6 - ESSENTIALCARE +2 (5Y)</t>
  </si>
  <si>
    <t>15344</t>
  </si>
  <si>
    <t>G50-W7 - ESSENTIALCARE +1 (4Y)</t>
  </si>
  <si>
    <t>15345</t>
  </si>
  <si>
    <t>G50-W7 - ESSENTIALCARE +2 (5Y)</t>
  </si>
  <si>
    <t>15346</t>
  </si>
  <si>
    <t>G50-W8 - ESSENTIALCARE +1 (4Y)</t>
  </si>
  <si>
    <t>15347</t>
  </si>
  <si>
    <t>G50-W8 - ESSENTIALCARE +2 (5Y)</t>
  </si>
  <si>
    <t>R9008755</t>
  </si>
  <si>
    <t>G60-W7 Black - body only</t>
  </si>
  <si>
    <t>R9408755</t>
  </si>
  <si>
    <t>G60-W7 Black - with standard lens</t>
  </si>
  <si>
    <t>R90087552</t>
  </si>
  <si>
    <t>R9008756</t>
  </si>
  <si>
    <t>G60-W7 White - body only</t>
  </si>
  <si>
    <t>R9408756</t>
  </si>
  <si>
    <t>G60-W7 White - with standard lens</t>
  </si>
  <si>
    <t>R90087562</t>
  </si>
  <si>
    <t>R9008757</t>
  </si>
  <si>
    <t>G60-W8 Black - body only</t>
  </si>
  <si>
    <t>R9010263</t>
  </si>
  <si>
    <t>G62-W9 Black - body only</t>
  </si>
  <si>
    <t>R90102632</t>
  </si>
  <si>
    <t>G62-W9 Black US - body only</t>
  </si>
  <si>
    <t>R9010264</t>
  </si>
  <si>
    <t>G62-W9 White - body only</t>
  </si>
  <si>
    <t>R90102642</t>
  </si>
  <si>
    <t>G62-W9 White US - body only</t>
  </si>
  <si>
    <t>R9010265</t>
  </si>
  <si>
    <t>G62-W11 Black - body only</t>
  </si>
  <si>
    <t>R90102652</t>
  </si>
  <si>
    <t>G62-W11 Black US - body only</t>
  </si>
  <si>
    <t>R9010266</t>
  </si>
  <si>
    <t>G62-W11 White - body only</t>
  </si>
  <si>
    <t>R90102662</t>
  </si>
  <si>
    <t>G62-W11 White US - body only</t>
  </si>
  <si>
    <t>R9010372</t>
  </si>
  <si>
    <t>G62-W14 Black - body only</t>
  </si>
  <si>
    <t>R90103722</t>
  </si>
  <si>
    <t>G62-W14 Black US - body only</t>
  </si>
  <si>
    <t>R9010373</t>
  </si>
  <si>
    <t>G62-W14 White - body only</t>
  </si>
  <si>
    <t>R90103732</t>
  </si>
  <si>
    <t>G62-W14 White US - body only</t>
  </si>
  <si>
    <t>R98017851</t>
  </si>
  <si>
    <t>G LENS (0.36:1) - UST</t>
  </si>
  <si>
    <t>R9409750</t>
  </si>
  <si>
    <t>G LENS 0.37-0.4:1 UST + lens support + Safety cable</t>
  </si>
  <si>
    <t>R9409750 includes: R9801830  G LENS 0.37-0.39:1 UST 90° + R9802720  G LENS SUPPORT FOR 0.37-0.39:1 UST 90° + R9801196  Safety Cable for TLD+ lenses</t>
  </si>
  <si>
    <t>R9802814</t>
  </si>
  <si>
    <t>G62 Rigging Frame</t>
  </si>
  <si>
    <t>13277</t>
  </si>
  <si>
    <t>G60-W7 - ESSENTIALCARE +1 (4Y)</t>
  </si>
  <si>
    <t>13280</t>
  </si>
  <si>
    <t>G60-W7 - ESSENTIALCARE +2 (5Y)</t>
  </si>
  <si>
    <t>13278</t>
  </si>
  <si>
    <t>G60-W8 - ESSENTIALCARE +1 (4Y)</t>
  </si>
  <si>
    <t>13281</t>
  </si>
  <si>
    <t>G60-W8 - ESSENTIALCARE +2 (5Y)</t>
  </si>
  <si>
    <t>13279</t>
  </si>
  <si>
    <t>G60-W10 - ESSENTIALCARE +1 (4Y)</t>
  </si>
  <si>
    <t>13282</t>
  </si>
  <si>
    <t>G60-W10 - ESSENTIALCARE +2 (5Y)</t>
  </si>
  <si>
    <t>14974</t>
  </si>
  <si>
    <t>G62-W9 - ESSENTIALCARE +1 (4Y)</t>
  </si>
  <si>
    <t>14975</t>
  </si>
  <si>
    <t>G62-W9 - ESSENTIALCARE +2 (5Y)</t>
  </si>
  <si>
    <t>14976</t>
  </si>
  <si>
    <t>G62-W11 - ESSENTIALCARE +1 (4Y)</t>
  </si>
  <si>
    <t>14977</t>
  </si>
  <si>
    <t>G62-W11 - ESSENTIALCARE +2 (5Y)</t>
  </si>
  <si>
    <t>15180</t>
  </si>
  <si>
    <t>G62-W14 - ESSENTIALCARE +1 (4Y)</t>
  </si>
  <si>
    <t>15181</t>
  </si>
  <si>
    <t>G62-W14 - ESSENTIALCARE +2 (5Y)</t>
  </si>
  <si>
    <t>R9009901</t>
  </si>
  <si>
    <t xml:space="preserve">G100 W16 TAA WW </t>
  </si>
  <si>
    <t>R9010132</t>
  </si>
  <si>
    <t xml:space="preserve">G100 W19 TAA WW </t>
  </si>
  <si>
    <t>R9010134</t>
  </si>
  <si>
    <t xml:space="preserve">G100 W22 TAA WW </t>
  </si>
  <si>
    <t>R9409730</t>
  </si>
  <si>
    <t>G100 UST lens + lens support + lens adaptor</t>
  </si>
  <si>
    <t>FLDX LENS 0.38:1 UST 90° + GC LENS SUPPORT FOR UST + GC LENS ADAPTER FOR FLDX</t>
  </si>
  <si>
    <t>R9802188</t>
  </si>
  <si>
    <t>GC LENS (0.65 – 0.75 :1) / GC+ LENS (0.65 – 0.75 :1)</t>
  </si>
  <si>
    <t>Lens memory for focus/zoom/shift</t>
  </si>
  <si>
    <t>R9802181</t>
  </si>
  <si>
    <t>GC LENS (0.84 – 1.02 : 1)</t>
  </si>
  <si>
    <t>Lens memory for shift only</t>
  </si>
  <si>
    <t>R9802182</t>
  </si>
  <si>
    <t>GC LENS (1.02 – 1.36 : 1)</t>
  </si>
  <si>
    <t>R9802183</t>
  </si>
  <si>
    <t>GC LENS (1.2 – 1.5 : 1)</t>
  </si>
  <si>
    <t>R98021831</t>
  </si>
  <si>
    <t xml:space="preserve">GC+ LENS (1.2 - 1.5 : 1) </t>
  </si>
  <si>
    <t>R98021841</t>
  </si>
  <si>
    <t xml:space="preserve">GC+ LENS (1.5 - 2.0 : 1) </t>
  </si>
  <si>
    <t>R98021851</t>
  </si>
  <si>
    <t xml:space="preserve">GC+ LENS (2.0 - 4.0 : 1) </t>
  </si>
  <si>
    <t>R9802186</t>
  </si>
  <si>
    <t>GC+ LENS (4.0 - 7.2 : 1)</t>
  </si>
  <si>
    <t>R98021861</t>
  </si>
  <si>
    <t>R9802187</t>
  </si>
  <si>
    <t>GC LENS (7.2 – 10.8 : 1) / GC+ LENS (7.2 – 10.8 : 1)</t>
  </si>
  <si>
    <t>R9802681</t>
  </si>
  <si>
    <t>G100 Rigging Frame</t>
  </si>
  <si>
    <t>14580</t>
  </si>
  <si>
    <t>G100-W16 - ESSENTIALCARE +1 (4Y)</t>
  </si>
  <si>
    <t>14581</t>
  </si>
  <si>
    <t>G100-W19 - ESSENTIALCARE +1 (4Y)</t>
  </si>
  <si>
    <t>14582</t>
  </si>
  <si>
    <t>G100-W22 - ESSENTIALCARE +1 (4Y)</t>
  </si>
  <si>
    <t>14583</t>
  </si>
  <si>
    <t>G100-W16 - ESSENTIALCARE +2 (5Y)</t>
  </si>
  <si>
    <t>14584</t>
  </si>
  <si>
    <t>G100-W19 - ESSENTIALCARE +2 (5Y)</t>
  </si>
  <si>
    <t>14585</t>
  </si>
  <si>
    <t>G100-W22 - ESSENTIALCARE +2 (5Y)</t>
  </si>
  <si>
    <t>R9409072-B</t>
  </si>
  <si>
    <t>BME UDM W15 COMM</t>
  </si>
  <si>
    <t>Body+GSM+WIFI</t>
  </si>
  <si>
    <t>R9409769-B</t>
  </si>
  <si>
    <t>BME UDM W19 COMM</t>
  </si>
  <si>
    <t>R9409070-B</t>
  </si>
  <si>
    <t>BME UDM W22 COMM</t>
  </si>
  <si>
    <t>R9401000-B</t>
  </si>
  <si>
    <t>BME UDM W30 COMM (gen2)</t>
  </si>
  <si>
    <t xml:space="preserve">Body(FLEX)+GSM+WIFI </t>
  </si>
  <si>
    <t>R9409072-B1</t>
  </si>
  <si>
    <t>BME UDM W15 COMM+LNS</t>
  </si>
  <si>
    <t>Body+GSM+WIFI+Any TLD+  (Except 90° UST  lens)</t>
  </si>
  <si>
    <t>R9409070-B1</t>
  </si>
  <si>
    <t>BME UDM W22 COMM+LNS</t>
  </si>
  <si>
    <t>R9401000-B1</t>
  </si>
  <si>
    <t>BME UDM W30 COMM+LNS (gen 2)</t>
  </si>
  <si>
    <t>Body(FLEX)+GSM+WIFI+Any TLD+  (Except 90° UST  lens)</t>
  </si>
  <si>
    <t>R9409072-FC</t>
  </si>
  <si>
    <t>BME UDM W15 COMM+FRM+FC</t>
  </si>
  <si>
    <t xml:space="preserve">Body+GSM+WIFI+Man Frame+FCase </t>
  </si>
  <si>
    <t>R9409070-FC</t>
  </si>
  <si>
    <t>BME UDM W22 COMM+FRM+FC</t>
  </si>
  <si>
    <t>R9401000-FC</t>
  </si>
  <si>
    <t>BME UDM W30 COMM+FRM+FC (gen 2)</t>
  </si>
  <si>
    <t xml:space="preserve">Body(FLEX)+GSM+WIFI+Man Frame+FCase </t>
  </si>
  <si>
    <t>R9409072-BT</t>
  </si>
  <si>
    <t>BME UDM W15 COMM+TOURING KIT</t>
  </si>
  <si>
    <t>Body+GSM+WIFI+MTR Frame+FCase+Fiber Input+Camera+Distance Meter+Ext Shutter</t>
  </si>
  <si>
    <t>R9409070-BT</t>
  </si>
  <si>
    <t>BME UDM W22 COMM+TOURING KIT</t>
  </si>
  <si>
    <t>R9401000-BT</t>
  </si>
  <si>
    <t>BME UDM W30 COMM+TOURING KIT (gen2)</t>
  </si>
  <si>
    <t>Body(FLEX)+GSM+WIFI+MTR Frame+FCase+Fiber Input+Camera+Distance Meter+Ext Shutter</t>
  </si>
  <si>
    <t>R9409072-BU</t>
  </si>
  <si>
    <t>BME UDM W15 NO COMM</t>
  </si>
  <si>
    <t>Body</t>
  </si>
  <si>
    <t>R9409769-BU</t>
  </si>
  <si>
    <t>BME UDM W19 NO COMM</t>
  </si>
  <si>
    <t>R9409070-BU</t>
  </si>
  <si>
    <t>BME UDM W22 NO COMM</t>
  </si>
  <si>
    <t>R9401000-BU</t>
  </si>
  <si>
    <t>BME UDM W30 NO COMM (gen 2)</t>
  </si>
  <si>
    <t>Body(FLEX)</t>
  </si>
  <si>
    <t>R9409072-B1U</t>
  </si>
  <si>
    <t>BME UDM W15 NO COMM+LNS</t>
  </si>
  <si>
    <t>Body+Any TLD+  (Except 90° UST  lens)</t>
  </si>
  <si>
    <t>R9409070-B1U</t>
  </si>
  <si>
    <t>BME UDM W22 NO COMM+LNS</t>
  </si>
  <si>
    <t>R9401000-B1U</t>
  </si>
  <si>
    <t>BME UDM W30 NO COMM+LNS (gen 2)</t>
  </si>
  <si>
    <t>Body(FLEX)+Any TLD+  (Except 90° UST  lens)</t>
  </si>
  <si>
    <t>R9409072-FCU</t>
  </si>
  <si>
    <t>BME UDM W15 NO COMM+FRM+FC</t>
  </si>
  <si>
    <t xml:space="preserve">Body+Man Frame+FCase </t>
  </si>
  <si>
    <t>R9409070-FCU</t>
  </si>
  <si>
    <t>BME UDM W22 NO COMM+FRM+FC</t>
  </si>
  <si>
    <t>R9401000-FCU</t>
  </si>
  <si>
    <t>BME UDM W30 NO COMM+FRM+FC (gen 2)</t>
  </si>
  <si>
    <t xml:space="preserve">Body(FLEX)+Man Frame+FCase </t>
  </si>
  <si>
    <t>R9409072-BTU</t>
  </si>
  <si>
    <t>BME UDM W15 NO COMM+TOURING KIT</t>
  </si>
  <si>
    <t>Body+MTR Frame+FCase+Fiber Input+Camera+Distance Meter+Ext Shutter</t>
  </si>
  <si>
    <t>R9409070-BTU</t>
  </si>
  <si>
    <t>BME UDM W22 NO COMM+TOURING KIT</t>
  </si>
  <si>
    <t>R9401000-BTU</t>
  </si>
  <si>
    <t>BME UDM W30 NO COMM+TOURING KIT (gen 2)</t>
  </si>
  <si>
    <t>Body(FLEX)+MTR Frame+FCase+Fiber Input+Camera+Distance Meter+Ext Shutter</t>
  </si>
  <si>
    <t>R9409071-B</t>
  </si>
  <si>
    <t>BME UDM 4K15 COMM</t>
  </si>
  <si>
    <t>R9409049-B</t>
  </si>
  <si>
    <t>BME UDM 4K22 COMM</t>
  </si>
  <si>
    <t>R9401001-B</t>
  </si>
  <si>
    <t>BME UDM 4K30 COMM (gen 2)</t>
  </si>
  <si>
    <t>Body(FLEX)+GSM+WIFI</t>
  </si>
  <si>
    <t>R9409071-B1</t>
  </si>
  <si>
    <t>BME UDM 4K15 COMM+LNS</t>
  </si>
  <si>
    <t>R9409049-B1</t>
  </si>
  <si>
    <t>BME UDM 4K22 COMM+LNS</t>
  </si>
  <si>
    <t>R9401001-B1</t>
  </si>
  <si>
    <t>BME UDM 4K30 COMM+LNS (gen 2)</t>
  </si>
  <si>
    <t>R9409071-FC</t>
  </si>
  <si>
    <t>BME UDM 4K15 COMM+FRM+FC</t>
  </si>
  <si>
    <t>R9409049-FC</t>
  </si>
  <si>
    <t>BME UDM 4K22 COMM+FRM+FC</t>
  </si>
  <si>
    <t>R9401001-FC</t>
  </si>
  <si>
    <t>BME UDM 4K30 COMM+FRM+FC (gen 2)</t>
  </si>
  <si>
    <t>R9409071-BT</t>
  </si>
  <si>
    <t>BME UDM 4K15 COMM+TOURING KIT</t>
  </si>
  <si>
    <t>R9409049-BT</t>
  </si>
  <si>
    <t>BME UDM 4K22 COMM+TOURING KIT</t>
  </si>
  <si>
    <t>R9401001-BT</t>
  </si>
  <si>
    <t>BME UDM 4K30 COMM+TOURING KIT (gen 2)</t>
  </si>
  <si>
    <t>R9409071-BU</t>
  </si>
  <si>
    <t>BME UDM 4K15 NO COMM</t>
  </si>
  <si>
    <t>R9409049-BU</t>
  </si>
  <si>
    <t>BME UDM 4K22 NO COMM</t>
  </si>
  <si>
    <t>R9401001-BU</t>
  </si>
  <si>
    <t>BME UDM 4K30 NO COMM (gen 2)</t>
  </si>
  <si>
    <t>R9409071-B1U</t>
  </si>
  <si>
    <t>BME UDM 4K15 NO COMM+LNS</t>
  </si>
  <si>
    <t>R9409049-B1U</t>
  </si>
  <si>
    <t>BME UDM 4K22 NO COMM+LNS</t>
  </si>
  <si>
    <t>R9401001-B1U</t>
  </si>
  <si>
    <t>BME UDM 4K30 NO COMM+LNS (gen 2)</t>
  </si>
  <si>
    <t>R9409071-FCU</t>
  </si>
  <si>
    <t>BME UDM 4K15 NO COMM+FRM+FC</t>
  </si>
  <si>
    <t>R9409049-FCU</t>
  </si>
  <si>
    <t>BME UDM 4K22 NO COMM+FRM+FC</t>
  </si>
  <si>
    <t>R9401001-FCU</t>
  </si>
  <si>
    <t>BME UDM 4K30 NO COMM+FRM+FC (gen 2)</t>
  </si>
  <si>
    <t>R9409071-BTU</t>
  </si>
  <si>
    <t>BME UDM 4K15 NO COMM+TOURING KIT</t>
  </si>
  <si>
    <t>R9409049-BTU</t>
  </si>
  <si>
    <t>BME UDM 4K22 NO COMM+TOURING KIT</t>
  </si>
  <si>
    <t>R9401001-BTU</t>
  </si>
  <si>
    <t>BME UDM 4K30 NO COMM+TOURING KIT (gen 2)</t>
  </si>
  <si>
    <t>R9801661</t>
  </si>
  <si>
    <t>TLD+ LENS 0.38 UST 90°</t>
  </si>
  <si>
    <t>0.40:1 for WUXGA ; 0.43:1 for WQ/4KUHD</t>
  </si>
  <si>
    <t>R9862001</t>
  </si>
  <si>
    <t>TLD+ LENS 0.65-0.85 UST 90°</t>
  </si>
  <si>
    <t>0.68-0.87:1 for WUXGA ; 0.73-0.94:1 for WQ/4KUHD</t>
  </si>
  <si>
    <t>R9862000</t>
  </si>
  <si>
    <t xml:space="preserve">TLD+ LENS 0.73  </t>
  </si>
  <si>
    <t>0.67:1 for HDX/F ; NOT FOR HDX 4K ; NOT FOR UDM/X 4K</t>
  </si>
  <si>
    <t>R9801414</t>
  </si>
  <si>
    <t xml:space="preserve">TLD+ LENS 0.85-1.16  </t>
  </si>
  <si>
    <t>0.85-1.24:1 for WUXGA ; 0.92-1.33:1 for WQXGA/4KUHD ; 0.86-1.25:1 for SXGA+</t>
  </si>
  <si>
    <t>R9862005</t>
  </si>
  <si>
    <t xml:space="preserve">TLD+ LENS 1.16-1.49  </t>
  </si>
  <si>
    <t>1.16-1.49:1 for WUXGA ; 1.24-1.56:1 for WQXGA/4KUHD ; 1.25-1.6:1 for SXGA+</t>
  </si>
  <si>
    <t>R9862010</t>
  </si>
  <si>
    <t xml:space="preserve">TLD+ LENS 1.5-2.0  </t>
  </si>
  <si>
    <t>1.39-1.87:1 for WUXGA ; 1.48-2.0 for WQXGA/4KUHD ; 1.5-2.0:1 for SXGA+</t>
  </si>
  <si>
    <t>R9862020</t>
  </si>
  <si>
    <t xml:space="preserve">TLD+ LENS 2.0-2.8  </t>
  </si>
  <si>
    <t>1.87-2.56:1 for WUXGA ; 2.0-2.76:1 for WQXGA/4KUHD ; 2.0-2.8:1 for SXGA+</t>
  </si>
  <si>
    <t>R9862030</t>
  </si>
  <si>
    <t xml:space="preserve">TLD+ LENS 2.8-4.5  </t>
  </si>
  <si>
    <t>2.56-4.17:1 for WUXGA ; 2.73-4.43:1 for WQXGA/4KUHD ; 2.8-4.5:1 for SXGA+</t>
  </si>
  <si>
    <t>R9862040</t>
  </si>
  <si>
    <t xml:space="preserve">TLD+ LENS 4.5-7.5  </t>
  </si>
  <si>
    <t>4.17-6.95:1 for WUXGA ; 4.43-7.39:1 for WQXGA/4KUHD ; 4.5-7.5:1 for SXGA+</t>
  </si>
  <si>
    <t>R9829997</t>
  </si>
  <si>
    <t>TLD+ LENS 7.5-11.2</t>
  </si>
  <si>
    <t>6.93-10.3:1 for WUXGA ; 7.39 - 10.8:1 for WQXGA/4KUHD ; 7.5-11.2:1 for SXGA+</t>
  </si>
  <si>
    <t>R9801836</t>
  </si>
  <si>
    <t xml:space="preserve">TLD+ 5 LENS STARTER PACK </t>
  </si>
  <si>
    <t>Predefined set of 5 TLD+ Lenses: 1.16-1.49:1 ; 1.5-2.0:1 ; 2.0-2.8:1 ; 2.8-4.5:1 ; 4.5-7.5:1 ;</t>
  </si>
  <si>
    <t>R9409600</t>
  </si>
  <si>
    <t xml:space="preserve">TLD+ ANY 5 LENS PACK </t>
  </si>
  <si>
    <t>Pick Any 5 Different TLD+ Lenses, excluding 90° UST lenses</t>
  </si>
  <si>
    <t>R9409601</t>
  </si>
  <si>
    <t>TLD+ ANY 4 LENS PACK WITH UST</t>
  </si>
  <si>
    <t>Pick Any 4 Different TLD+ Lenses, of which 1x 90° UST lens</t>
  </si>
  <si>
    <t>R9801196</t>
  </si>
  <si>
    <t xml:space="preserve">LENS SAFETY CABLE TLD+ </t>
  </si>
  <si>
    <t>R9802812</t>
  </si>
  <si>
    <t>BME K CDS LNS Update to TLD+ (MECH+METR)A</t>
  </si>
  <si>
    <t>kit to modify Christie ILS1 lenses to TLD +. Contains all parts including offset rings. ( From roadster, J series and M series projectors)</t>
  </si>
  <si>
    <t>R9801410</t>
  </si>
  <si>
    <t>LENS ADAPTER KIT V2</t>
  </si>
  <si>
    <t>Adapter for using DIGITAL PROJECTION lenses (From DP Titan series projectors)</t>
  </si>
  <si>
    <t>R5001455K</t>
  </si>
  <si>
    <t xml:space="preserve">FOCUS OFFSET RING KIT TLD </t>
  </si>
  <si>
    <t>Offset rings for the R9801410 ( 1 set for 2 lens conversions)</t>
  </si>
  <si>
    <t>R9801804</t>
  </si>
  <si>
    <t xml:space="preserve">LENS COVER TLD+ 0.38 </t>
  </si>
  <si>
    <t>1 set (works for one lens)</t>
  </si>
  <si>
    <t>R9801803</t>
  </si>
  <si>
    <t>LENS COVER TLD+ 0.65-0.85;0.8-1.16</t>
  </si>
  <si>
    <t>R9801147</t>
  </si>
  <si>
    <t xml:space="preserve">LENS COVER TLD+ 0.73 </t>
  </si>
  <si>
    <t>R9801148</t>
  </si>
  <si>
    <t xml:space="preserve">LENS COVER TLD+ 1.2;1.16-1.49;1.5-2;2-2.8;7.5-11 </t>
  </si>
  <si>
    <t>R9801149</t>
  </si>
  <si>
    <t>LENS COVER TLD+ 4.5-7.5 10</t>
  </si>
  <si>
    <t>R9802801</t>
  </si>
  <si>
    <t>HDX/F/Q/UDX WIFI USB MODULE</t>
  </si>
  <si>
    <t>Functional from SW 2.2.3 Note on availability: Limited to selected countries.  USA, EU, CAN, JP, AUS</t>
  </si>
  <si>
    <t>R9864031</t>
  </si>
  <si>
    <t>UDX/HDX 4K GSM MODULE PULSE</t>
  </si>
  <si>
    <t>For HDX 4K/UDX/XDL only
Note on availability: Limited to selected countries.  USA, EU, CAN, JP, AUS</t>
  </si>
  <si>
    <t>R9864003</t>
  </si>
  <si>
    <t>Input Module DP1.2 HDMI2.0 DUAL HDBaseT Quad 12G (+loop)</t>
  </si>
  <si>
    <t>for HDX 4K/ UDM / UDX/ XDL only</t>
  </si>
  <si>
    <t>R9864002</t>
  </si>
  <si>
    <t>Input Module Quad DP 1.2</t>
  </si>
  <si>
    <t>R9802253</t>
  </si>
  <si>
    <t>Input module SFP input card</t>
  </si>
  <si>
    <t xml:space="preserve">12G-SDI SFP input, does work with Barco IP and 3rd party fiber, Require R9009250 SFP to fiber LC 
</t>
  </si>
  <si>
    <t>R9009250</t>
  </si>
  <si>
    <t xml:space="preserve">SFP to fiber transceiver module </t>
  </si>
  <si>
    <t xml:space="preserve">converter for SFP to LC needed for input module fiber card R9802253 </t>
  </si>
  <si>
    <t>R9409094</t>
  </si>
  <si>
    <t>External Cooler Kit UDM W22</t>
  </si>
  <si>
    <t>Complete with tubes and mod kit. FIX install only. Install by certified barco tech only</t>
  </si>
  <si>
    <t>R9409093</t>
  </si>
  <si>
    <t>External Cooler Kit UDM 4K22</t>
  </si>
  <si>
    <t>R9801658</t>
  </si>
  <si>
    <t>UD X/M 8m tube extention</t>
  </si>
  <si>
    <t>2 tubes of 8 m to extend liquid cooling.</t>
  </si>
  <si>
    <t>DEP (Dual Eye Point) Feature UDX/M</t>
  </si>
  <si>
    <t>For UDX 4K / UDM 4K</t>
  </si>
  <si>
    <t>R9801770</t>
  </si>
  <si>
    <t>UDX/ UDM Laser distance meter + camera</t>
  </si>
  <si>
    <t>measures the distance with laser + monitor the screen . Note on availability: with pulse 1.9</t>
  </si>
  <si>
    <t>R9801851</t>
  </si>
  <si>
    <t>UDX/ UDM External Shutter</t>
  </si>
  <si>
    <t xml:space="preserve">Needs rental frame Rxxxxxxxx to attach the shutter </t>
  </si>
  <si>
    <t>R9801959</t>
  </si>
  <si>
    <t>UDM Flightcase</t>
  </si>
  <si>
    <t>Barco UDM flightcase</t>
  </si>
  <si>
    <t>R9801970</t>
  </si>
  <si>
    <t xml:space="preserve">UDM Stacking Frame </t>
  </si>
  <si>
    <t>Stacking rigging frame for UDM, ready for motorisation</t>
  </si>
  <si>
    <t>R9801755</t>
  </si>
  <si>
    <t>Motorization upgrade for rental Frame UDX /UDM</t>
  </si>
  <si>
    <t>Only for UDX V2, and V3 frames,  UDM all versions check your UDX frame version</t>
  </si>
  <si>
    <t>R9408960</t>
  </si>
  <si>
    <t>UDX Rigging frame for 2 coolers</t>
  </si>
  <si>
    <t>Excl coolers ; Fits 2 external coolers in a rigging frame for 2 x UDX</t>
  </si>
  <si>
    <t>Rubber for pulse remote control,(Remote control not included)</t>
  </si>
  <si>
    <t>R9801915</t>
  </si>
  <si>
    <t>BME K UDM FILTER SET</t>
  </si>
  <si>
    <t>R9801916</t>
  </si>
  <si>
    <t>BME K UDM FILTER TOP+SIDE 20 PC</t>
  </si>
  <si>
    <t>R9801917</t>
  </si>
  <si>
    <t>BME K UDM FRONT FILTER 6 PC</t>
  </si>
  <si>
    <t>R94018324</t>
  </si>
  <si>
    <t>UDM Brightness upgrade UDM X15 -&gt; X30</t>
  </si>
  <si>
    <t>starts in H2 2023; more info will follow</t>
  </si>
  <si>
    <t>R94018323</t>
  </si>
  <si>
    <t>UDM Brightness upgrade UDM X22 -&gt; X30</t>
  </si>
  <si>
    <t>14255</t>
  </si>
  <si>
    <t>UDM 15 - ESSENTIAL CARE +1 (4Y)</t>
  </si>
  <si>
    <t>14256</t>
  </si>
  <si>
    <t>UDM 15 - ESSENTIAL CARE +2 (5Y)</t>
  </si>
  <si>
    <t>14555</t>
  </si>
  <si>
    <t>UDM 19 - ESSENTIAL CARE +1 (4Y)</t>
  </si>
  <si>
    <t>14556</t>
  </si>
  <si>
    <t>UDM 19 - ESSENTIAL CARE +2 (5Y)</t>
  </si>
  <si>
    <t>14193</t>
  </si>
  <si>
    <t>UDM 22 - ESSENTIAL CARE +1 (4Y)</t>
  </si>
  <si>
    <t>14194</t>
  </si>
  <si>
    <t>UDM 22 - ESSENTIAL CARE +2 (5Y)</t>
  </si>
  <si>
    <t>15297</t>
  </si>
  <si>
    <t>UDM 30 - ESSENTIAL CARE +1 (4Y)</t>
  </si>
  <si>
    <t>15298</t>
  </si>
  <si>
    <t>UDM 30 - ESSENTIAL CARE +2 (5Y)</t>
  </si>
  <si>
    <t>14361</t>
  </si>
  <si>
    <t>Preventive Maintenance UDM - 1Y</t>
  </si>
  <si>
    <t>R9408834</t>
  </si>
  <si>
    <t>BME K UDM FIELD KIT</t>
  </si>
  <si>
    <t>Field kit containing critical spares for UDM</t>
  </si>
  <si>
    <t>R9408985-B</t>
  </si>
  <si>
    <t>UDX W26 COMM</t>
  </si>
  <si>
    <t>R9408986-B</t>
  </si>
  <si>
    <t>UDX W32 COMM</t>
  </si>
  <si>
    <t>R9408980-B</t>
  </si>
  <si>
    <t>UDX W40 COMM</t>
  </si>
  <si>
    <t>R9408981-B</t>
  </si>
  <si>
    <t>UDX U40 COMM</t>
  </si>
  <si>
    <t>R9409760-B</t>
  </si>
  <si>
    <t>UDX U45 LC COMM</t>
  </si>
  <si>
    <t>R9408985-B1</t>
  </si>
  <si>
    <t>UDX W26 COMM+LNS</t>
  </si>
  <si>
    <t>R9408986-B1</t>
  </si>
  <si>
    <t>UDX W32 COMM+LNS</t>
  </si>
  <si>
    <t>R9408980-B1</t>
  </si>
  <si>
    <t>UDX W40 COMM+LNS</t>
  </si>
  <si>
    <t>R9408985-FC</t>
  </si>
  <si>
    <t>UDX W26 COMM+FRM+FC</t>
  </si>
  <si>
    <t>R9408986-FC</t>
  </si>
  <si>
    <t>UDX W32 COMM+FRM+FC</t>
  </si>
  <si>
    <t>R9408980-FC</t>
  </si>
  <si>
    <t>UDX W40 COMM+FRM+FC</t>
  </si>
  <si>
    <t>R9408986-BT</t>
  </si>
  <si>
    <t>UDX W32 COMM+TOURING KIT</t>
  </si>
  <si>
    <t>R9408980-BT</t>
  </si>
  <si>
    <t>UDX W40 COMM+TOURING KIT</t>
  </si>
  <si>
    <t>R9408985-BU</t>
  </si>
  <si>
    <t>UDX W26 NO COMM</t>
  </si>
  <si>
    <t>Body only</t>
  </si>
  <si>
    <t>R9408986-BU</t>
  </si>
  <si>
    <t>UDX W32 NO COMM</t>
  </si>
  <si>
    <t>R9408980-BU</t>
  </si>
  <si>
    <t>UDX W40 NO COMM</t>
  </si>
  <si>
    <t>Body(FLEX) only</t>
  </si>
  <si>
    <t>R9408981-BU</t>
  </si>
  <si>
    <t>UDX U40 NO COMM</t>
  </si>
  <si>
    <t>R9409760-BU</t>
  </si>
  <si>
    <t>UDX U45 LC NO COMM</t>
  </si>
  <si>
    <t>R9408985-B1U</t>
  </si>
  <si>
    <t>UDX W26 NO COMM+LNS</t>
  </si>
  <si>
    <t>R9408986-B1U</t>
  </si>
  <si>
    <t>UDX W32 NO COMM+LNS</t>
  </si>
  <si>
    <t>R9408980-B1U</t>
  </si>
  <si>
    <t>UDX W40 NO COMM+LNS</t>
  </si>
  <si>
    <t>R9408985-FCU</t>
  </si>
  <si>
    <t>UDX W26 NO COMM+FRM+FC</t>
  </si>
  <si>
    <t>R9408986-FCU</t>
  </si>
  <si>
    <t>UDX W32 NO COMM+FRM+FC</t>
  </si>
  <si>
    <t>R9408980-FCU</t>
  </si>
  <si>
    <t>UDX W40 NO COMM+FRM+FC</t>
  </si>
  <si>
    <t>R9408986-BTU</t>
  </si>
  <si>
    <t>UDX W32 NO COMM+TOURING KIT</t>
  </si>
  <si>
    <t>R9408980-BTU</t>
  </si>
  <si>
    <t>UDX W40 NO COMM+TOURING KIT</t>
  </si>
  <si>
    <t>R9408984-B</t>
  </si>
  <si>
    <t>UDX 4K26 COMM</t>
  </si>
  <si>
    <t>R9408982-B</t>
  </si>
  <si>
    <t>UDX 4K32 COMM</t>
  </si>
  <si>
    <t>R9408949-B</t>
  </si>
  <si>
    <t>UDX 4K40 COMM</t>
  </si>
  <si>
    <t>R9408984-B1</t>
  </si>
  <si>
    <t>UDX 4K26 COMM+LNS</t>
  </si>
  <si>
    <t>R9408982-B1</t>
  </si>
  <si>
    <t>UDX 4K32 COMM+LNS</t>
  </si>
  <si>
    <t>R9408949-B1</t>
  </si>
  <si>
    <t>UDX 4K40 COMM+LNS</t>
  </si>
  <si>
    <t>R9408984-FC</t>
  </si>
  <si>
    <t>UDX 4K26 COMM+FRM+FC</t>
  </si>
  <si>
    <t>R9408982-FC</t>
  </si>
  <si>
    <t>UDX 4K32 COMM+FRM+FC</t>
  </si>
  <si>
    <t>R9408949-FC</t>
  </si>
  <si>
    <t>UDX 4K40 COMM+FRM+FC</t>
  </si>
  <si>
    <t>R9408982-BT</t>
  </si>
  <si>
    <t>UDX 4K32 COMM+TOURING KIT</t>
  </si>
  <si>
    <t>R9408949-BT</t>
  </si>
  <si>
    <t>UDX 4K40 COMM+TOURING KIT</t>
  </si>
  <si>
    <t>R9408984-BU</t>
  </si>
  <si>
    <t>UDX 4K26 NO COMM</t>
  </si>
  <si>
    <t>R9408982-BU</t>
  </si>
  <si>
    <t>UDX 4K32 NO COMM</t>
  </si>
  <si>
    <t>R9408949-BU</t>
  </si>
  <si>
    <t>UDX 4K40 NO COMM</t>
  </si>
  <si>
    <t>R9408984-B1U</t>
  </si>
  <si>
    <t>UDX 4K26 NO COMM+LNS</t>
  </si>
  <si>
    <t>R9408982-B1U</t>
  </si>
  <si>
    <t>UDX 4K32 NO COMM+LNS</t>
  </si>
  <si>
    <t>R9408949-B1U</t>
  </si>
  <si>
    <t>UDX 4K40 NO COMM+LNS</t>
  </si>
  <si>
    <t>R9408984-FCU</t>
  </si>
  <si>
    <t>UDX 4K26 NO COMM+FRM+FC</t>
  </si>
  <si>
    <t>R9408982-FCU</t>
  </si>
  <si>
    <t>UDX 4K32 NO COMM+FRM+FC</t>
  </si>
  <si>
    <t>R9408949-FCU</t>
  </si>
  <si>
    <t>UDX 4K40 NO COMM+FRM+FC</t>
  </si>
  <si>
    <t>R9408982-BTU</t>
  </si>
  <si>
    <t>UDX 4K32 NO COMM+TOURING KIT</t>
  </si>
  <si>
    <t>R9408949-BTU</t>
  </si>
  <si>
    <t>UDX 4K40 NO COMM+TOURING KIT</t>
  </si>
  <si>
    <t>UDX/XDL / HDX 4K GSM module</t>
  </si>
  <si>
    <t>For HDX 4K/UDX/XLD only
(WiFi &amp; GSM Limited to selected countries:  USA , EU, UK, CAN, JAP, AUS, SING, SOUTH-KR, CN, UAE, NZ, SAUDI)</t>
  </si>
  <si>
    <t>Input Module DP1.2 HDMI2.0 DUAL HDBaseT Quad 3G 12G (+loop)</t>
  </si>
  <si>
    <t>For UDX / UDM 4K</t>
  </si>
  <si>
    <t>Measures the distance with laser + monitor the screen . Note on availability: with pulse 1.9</t>
  </si>
  <si>
    <t xml:space="preserve">Needs rental frame R9801194 to attach the shutter.  Fits in a UDX flightcase. </t>
  </si>
  <si>
    <t>R9408741</t>
  </si>
  <si>
    <t>UDX External Cooling Kit</t>
  </si>
  <si>
    <t>Combi including the cables, tubes and external cooler. Complete kit. 8m.</t>
  </si>
  <si>
    <t>R9855884</t>
  </si>
  <si>
    <t>UDX Flightcase</t>
  </si>
  <si>
    <t>Official Barco UDX flightcase</t>
  </si>
  <si>
    <t>R9801194</t>
  </si>
  <si>
    <t>UDX Stacking Frame (V3)</t>
  </si>
  <si>
    <t>Not motorized</t>
  </si>
  <si>
    <t>UDX/UDM Motorization upgrade for rental Frame</t>
  </si>
  <si>
    <t>Only for UDX V2, and V3 frames and UDM all versions. Check your UDX frame version</t>
  </si>
  <si>
    <t>R9802513</t>
  </si>
  <si>
    <t>BME P Cable HDBT data upgrade UDX</t>
  </si>
  <si>
    <t>for data connection on pre 2020 UDX with 12G input Board</t>
  </si>
  <si>
    <t>R9802352</t>
  </si>
  <si>
    <t>BME K UDX BOTTOM FILTER FRAME</t>
  </si>
  <si>
    <t>R9802353</t>
  </si>
  <si>
    <t>BME K UDX BOTTOM FILTER NO FRAME</t>
  </si>
  <si>
    <t>R9801437</t>
  </si>
  <si>
    <t>BME K UDX FILTER FRONT 6 PACK</t>
  </si>
  <si>
    <t>R9409086</t>
  </si>
  <si>
    <t>PROJ MGMT SUITE INSIGHTS RETROFIT for UDX (SIM+WIFI+GSM)NON-CHINA</t>
  </si>
  <si>
    <t>Upgrades UDX to Projector Management Suite (only for USA, EU, CAN, JP, AUS)</t>
  </si>
  <si>
    <t>R9409130</t>
  </si>
  <si>
    <t>PROJ MGMT SUITE INSIGHTS RETROFIT for UDX (SIM+WIFI+GSM)CHINA ONLY</t>
  </si>
  <si>
    <t>Upgrades UDX to Projector Management Suite</t>
  </si>
  <si>
    <t>R9801852</t>
  </si>
  <si>
    <t>UDX Brightness upgrade UDX X32 -&gt; X40</t>
  </si>
  <si>
    <t>15% More Light (existing lasers will not be replaced)</t>
  </si>
  <si>
    <t>R9408750</t>
  </si>
  <si>
    <t>UDX Touring Kit Retrofit for V1 frames</t>
  </si>
  <si>
    <t>Touring kit upgrade for UDX field units - V3 Frame, Motorization Kit + Direct Fiber Input &amp; Transceiver + Camera &amp; Distance Meter + External Shutter + Wifi + GSM &amp; SIM (WiFi &amp; GSM Limited to selected countries:  USA , EU, UK, CAN, JAP, AUS, SING, SOUTH-KR, CN, UAE, NZ, SAUDI)</t>
  </si>
  <si>
    <t>R9408751</t>
  </si>
  <si>
    <t>UDX Touring Kit Retrofit for V2, V3 frames</t>
  </si>
  <si>
    <t>Touring kit upgrade for UDX field units - Motorization Kit + Direct Fiber Input &amp; Transceiver + Camera &amp; Distance Meter + External Shutter + Wifi + GSM &amp; SIM (WiFi &amp; GSM Limited to selected countries:  USA , EU, UK, CAN, JAP, AUS, SING, SOUTH-KR, CN, UAE, NZ, SAUDI)</t>
  </si>
  <si>
    <t>R9801794</t>
  </si>
  <si>
    <t>UDX Full LDM 1</t>
  </si>
  <si>
    <t>For UDX 4k32, U32, W32 and W26</t>
  </si>
  <si>
    <t>R9801795</t>
  </si>
  <si>
    <t>UDX Full LDM 2</t>
  </si>
  <si>
    <t>13147</t>
  </si>
  <si>
    <t>UDX 22 / 26 - ESSENTIALCARE +1 (4Y)</t>
  </si>
  <si>
    <t>13148</t>
  </si>
  <si>
    <t>UDX 32 / 40 - ESSENTIALCARE +1 (4Y)</t>
  </si>
  <si>
    <t>13049</t>
  </si>
  <si>
    <t>UDX 22 / 26 - ESSENTIALCARE +2 (5Y)</t>
  </si>
  <si>
    <t>13050</t>
  </si>
  <si>
    <t>UDX 32 / 40 - ESSENTIALCARE +2 (5Y)</t>
  </si>
  <si>
    <t>R9408703</t>
  </si>
  <si>
    <t>UDX FIELD KIT</t>
  </si>
  <si>
    <t>Field kit containing critical spares parts for UDX</t>
  </si>
  <si>
    <t>R9010404</t>
  </si>
  <si>
    <t>XDM-4K25C</t>
  </si>
  <si>
    <t>WITH TLD+ LENS HOLDER</t>
  </si>
  <si>
    <t>R9010405</t>
  </si>
  <si>
    <t>XDM-4K25B</t>
  </si>
  <si>
    <t>WITH XLD LENS HOLDER</t>
  </si>
  <si>
    <t>R9010403</t>
  </si>
  <si>
    <t>XDX-4K40</t>
  </si>
  <si>
    <t>0.40:1 for WUXGA; 0.43:1 for WQ/4KUHD; 0.38:1 for 0.98"4K</t>
  </si>
  <si>
    <t>0.68-0.87:1 for WUXGA; 0.73-0.94:1 for WQ/4KUHD; 0.64-0.82:1 for 0.98"4K</t>
  </si>
  <si>
    <t>0.85-1.24:1 for WUXGA; 0.92-1.33:1 for WQXGA/4KUHD; 0.86-1.25:1 for SXGA+; 0.8-1.16:1 for 0.98"4K</t>
  </si>
  <si>
    <t>1.16-1.49:1 for WUXGA; 1.24-1.56:1 for WQXGA/4KUHD; 1.25-1.6:1 for SXGA+; 1.09-1.4:1 for 0.98"4K</t>
  </si>
  <si>
    <t>1.39-1.87:1 for WUXGA; 1.48-2.0 for WQXGA/4KUHD; 1.5-2.0:1 for SXGA+; 1.3-1.8:1 for 0.98"4K</t>
  </si>
  <si>
    <t>1.87-2.56:1 for WUXGA; 2.0-2.76:1 for WQXGA/4KUHD; 2.0-2.8:1 for SXGA+; 1.8-2.4:1 for 0.98"4K</t>
  </si>
  <si>
    <t>2.56-4.17:1 for WUXGA; 2.73-4.43:1 for WQXGA/4KUHD; 2.8-4.5:1 for SXGA+; 2.4-3.9:1 for 0.98"4K</t>
  </si>
  <si>
    <t>4.17-6.95:1 for WUXGA; 4.43-7.39:1 for WQXGA/4KUHD; 4.5-7.5:1 for SXGA+; 3.9-6.5:1 for 0.98"4K</t>
  </si>
  <si>
    <t>6.93-10.3:1 for WUXGA; 7.39 - 10.8:1 for WQXGA/4KUHD; 7.5-11.2:1 for SXGA+; 6.5-9.7:1 for 0.98"4K</t>
  </si>
  <si>
    <t>R9802580</t>
  </si>
  <si>
    <t>XLD 4K LENS 0.38 UST 90°</t>
  </si>
  <si>
    <t>0.38:1 1.38"/0.54:1 0.98"; requires UST lens bracket (R9802714)</t>
  </si>
  <si>
    <t>R9802714</t>
  </si>
  <si>
    <t>XDX 0.38 UST lens bracket for R9802580</t>
  </si>
  <si>
    <t>R9409723</t>
  </si>
  <si>
    <t>XLD4K Lens 0.38 UST90° + UST lens bracket</t>
  </si>
  <si>
    <t>XLD4K Lens 0.38 UST90° (R9802580 )+ UST lens bracket (R9802714)</t>
  </si>
  <si>
    <t>R9852945</t>
  </si>
  <si>
    <t>XLD 4K LENS 0.72:1</t>
  </si>
  <si>
    <t>0.72:1 1.38"/1.01:1 0.98"</t>
  </si>
  <si>
    <t>R9852950</t>
  </si>
  <si>
    <t>XLD 4K LENS 1.01:1</t>
  </si>
  <si>
    <t>1.01:1 1.38"/1.42:1 0.98"</t>
  </si>
  <si>
    <t>R9856506</t>
  </si>
  <si>
    <t>XLD 4K LENS 1.13-1.72:1</t>
  </si>
  <si>
    <t>1.13-1.72 1.38"/1.58-2.42 0.98"</t>
  </si>
  <si>
    <t>R9856527</t>
  </si>
  <si>
    <t>XLD 4K LENS 1.46-2.10:1</t>
  </si>
  <si>
    <t>1.46-2.10 1.38"/2.04-2.93 0.98"</t>
  </si>
  <si>
    <t>R9856529</t>
  </si>
  <si>
    <t>XLD 4K LENS 2.00-3.35:1</t>
  </si>
  <si>
    <t>2.00-3.35 1.38"/2.80-4.69 0.98"</t>
  </si>
  <si>
    <t>R9855947</t>
  </si>
  <si>
    <t>XLD 4K LENS 2.53-4.98:1</t>
  </si>
  <si>
    <t>2.53-4.98 1.38"/3.55-6.97 0.98"</t>
  </si>
  <si>
    <t>R9852920</t>
  </si>
  <si>
    <t>XLD 4K LENS 4.98-7.68:1</t>
  </si>
  <si>
    <t>4.98-7.68:1  1.38"/6.97-10.80:1 0.98"</t>
  </si>
  <si>
    <t>R98529502</t>
  </si>
  <si>
    <t>XLD 4K-HC LENS 1.0:1</t>
  </si>
  <si>
    <t>R98565062</t>
  </si>
  <si>
    <t>XLD 4K-HC LENS 1.13-1.72</t>
  </si>
  <si>
    <t>R98565272</t>
  </si>
  <si>
    <t>XLD 4K-HC LENS 1.46-2.10</t>
  </si>
  <si>
    <t>R98565292</t>
  </si>
  <si>
    <t>XLD 4K-HC LENS 2.00-3.35</t>
  </si>
  <si>
    <t>14828</t>
  </si>
  <si>
    <t>XDM - ESSENTIAL CARE +1 (4Y)</t>
  </si>
  <si>
    <t>14829</t>
  </si>
  <si>
    <t>XDM - ESSENTIAL CARE +2 (5Y)</t>
  </si>
  <si>
    <t>R9409284</t>
  </si>
  <si>
    <t>FIELD KIT XDM</t>
  </si>
  <si>
    <t>14830</t>
  </si>
  <si>
    <t>XDX - ESSENTIAL CARE +1 (4Y)</t>
  </si>
  <si>
    <t>14831</t>
  </si>
  <si>
    <t>XDX - ESSENTIAL CARE +2 (5Y)</t>
  </si>
  <si>
    <t>R9409285</t>
  </si>
  <si>
    <t>FIELD KIT XDX</t>
  </si>
  <si>
    <t>R9406695</t>
  </si>
  <si>
    <t>XDL-4K75 SYSTEM</t>
  </si>
  <si>
    <t>R9406685</t>
  </si>
  <si>
    <t>XDL-4K60 SYSTEM</t>
  </si>
  <si>
    <t>R9406675</t>
  </si>
  <si>
    <t>XDL-4K30 SYSTEM</t>
  </si>
  <si>
    <t>R9801336</t>
  </si>
  <si>
    <t>XDL-4K60/75 HOSE KIT LASER 2.5M(8.2ft)</t>
  </si>
  <si>
    <t>R9801337</t>
  </si>
  <si>
    <t>XDL-4K60/75 HOSE KIT LASER 5M(16,4FT)</t>
  </si>
  <si>
    <t>R9801339</t>
  </si>
  <si>
    <t>XDL-4K60/75 HOSE KIT LASER 10M(32,8FT)</t>
  </si>
  <si>
    <t>R9801383</t>
  </si>
  <si>
    <t>XDL-4K30 HOSE SB KIT LSR 2.5M(8.2FT)</t>
  </si>
  <si>
    <t>R9801385</t>
  </si>
  <si>
    <t>XDL-4K30 HOSE SB KIT LSR 5M(16,4FT)</t>
  </si>
  <si>
    <t>R9801384</t>
  </si>
  <si>
    <t>XDL-4K30 HOSE SB KIT LSR 10M(32FT)</t>
  </si>
  <si>
    <t>1.38" 4K LENS 0.72:1</t>
  </si>
  <si>
    <t>1.38" 4K LENS 1.01:1</t>
  </si>
  <si>
    <t>1.38" 4K LENS 1.13-1.72:1</t>
  </si>
  <si>
    <t>1.38" 4K LENS 1.46-2.10:1</t>
  </si>
  <si>
    <t>1.38" 4K LENS 2.00-3.35:1</t>
  </si>
  <si>
    <t>1.38" 4K LENS 2.53-4.98:1</t>
  </si>
  <si>
    <t>1.38" 4K LENS 4.98-7.68:1</t>
  </si>
  <si>
    <t>1.38" 4K-HC LNS 1.0:1</t>
  </si>
  <si>
    <t>1.38" 4K-HC LNS 1.13-1.72</t>
  </si>
  <si>
    <t>1.38" 4K-HC LNS 1.46-2.10</t>
  </si>
  <si>
    <t>1.38" 4K-HC LNS 2.00-3.35</t>
  </si>
  <si>
    <t>for HDX 4K/UDX/XLD only</t>
  </si>
  <si>
    <t>R9801381</t>
  </si>
  <si>
    <t>BME CHLR EXHAUST KIT VERTICAL</t>
  </si>
  <si>
    <t>R9801380</t>
  </si>
  <si>
    <t>BME CHLR EXHAUST KIT HORIZ</t>
  </si>
  <si>
    <t>13268</t>
  </si>
  <si>
    <t>XDL-4K30 - ESSENTIALCARE +1 (3Y)</t>
  </si>
  <si>
    <t>1Y Extended Warranty (3Y)</t>
  </si>
  <si>
    <t>13274</t>
  </si>
  <si>
    <t>XDL-4K30 - ESSENTIALCARE +3 (5Y)</t>
  </si>
  <si>
    <t>3Y Extended Warranty (5Y)</t>
  </si>
  <si>
    <t>13269</t>
  </si>
  <si>
    <t>XDL-4K60 - ESSENTIALCARE +1 (3Y)</t>
  </si>
  <si>
    <t>13275</t>
  </si>
  <si>
    <t>XDL-4K60 - ESSENTIALCARE +3 (5Y)</t>
  </si>
  <si>
    <t>13270</t>
  </si>
  <si>
    <t>XDL-4K75 - ESSENTIALCARE +1 (3Y)</t>
  </si>
  <si>
    <t>13276</t>
  </si>
  <si>
    <t>XDL-4K75 - ESSENTIALCARE +3 (5Y)</t>
  </si>
  <si>
    <t>14021</t>
  </si>
  <si>
    <t>PREVENTIVE MAINTENANCE XDL - 1Y</t>
  </si>
  <si>
    <t>Only available during standard warranty or when an Essential Care contract is in place. Excludes travel and lodging.</t>
  </si>
  <si>
    <t>R9804130LIC</t>
  </si>
  <si>
    <t>INSIGHTS MGT SUITE - MONITOR 12M LIC</t>
  </si>
  <si>
    <t>12 months</t>
  </si>
  <si>
    <t>R9804131LIC</t>
  </si>
  <si>
    <t>INSIGHTS MGT SUITE - DIAGNOSE 12M LIC</t>
  </si>
  <si>
    <t>R9804132LIC</t>
  </si>
  <si>
    <t>INSIGHTS MGT SUITE - CONTROL 12M LIC</t>
  </si>
  <si>
    <t>R9804133LIC</t>
  </si>
  <si>
    <t>INSIGHTS MGT SUITE - MONITOR 36M LIC</t>
  </si>
  <si>
    <t>36 months</t>
  </si>
  <si>
    <t>R9804134LIC</t>
  </si>
  <si>
    <t>INSIGHTS MGT SUITE - DIAGNOSE 36M LIC</t>
  </si>
  <si>
    <t>R9804135LIC</t>
  </si>
  <si>
    <t>INSIGHTS MGT SUITE - CONTROL 36M LIC</t>
  </si>
  <si>
    <t>R9009650</t>
  </si>
  <si>
    <t>PDS-4K HDMI</t>
  </si>
  <si>
    <t>Single/dual screen presentation switcher
IN: 6x HDMI 2.0
OUT: 4x HDMI 2.0</t>
  </si>
  <si>
    <t>R9009651</t>
  </si>
  <si>
    <t>PDS-4K HDMI &amp; SDI</t>
  </si>
  <si>
    <t>Single/dual screen presentation switcher
IN: 6x HDMI 2.0 + 2x 12G-SDI
OUT: 4x HDMI 2.0 + 4x 12G-SDI</t>
  </si>
  <si>
    <t>R9009652</t>
  </si>
  <si>
    <t>PDS-4K HDMI with Audio/DisplayPort Card</t>
  </si>
  <si>
    <t>Single/dual screen presentation switcher with Dante Audio
IN: 6x HDMI 2.0, 2x DisplayPort 1.2
OUT: 4x HDMI 2.0</t>
  </si>
  <si>
    <t>R9009653</t>
  </si>
  <si>
    <t>PDS-4K HDMI &amp; SDI with Audio/DisplayPort Card</t>
  </si>
  <si>
    <t>Single/dual screen presentation switcher with Dante Audio
IN: 6x HDMI 2.0, 2x 12G-SDI, 2x DisplayPort 1.2 
OUT: 4x HDMI 2.0 + 4x 12G-SDI</t>
  </si>
  <si>
    <t>R9802040</t>
  </si>
  <si>
    <t>DP 1.2 and Audio card</t>
  </si>
  <si>
    <t>R9871179</t>
  </si>
  <si>
    <t>Rear rack mount kit (8.5")</t>
  </si>
  <si>
    <t>R9801820</t>
  </si>
  <si>
    <t>Rear rack mount kit (16.5")</t>
  </si>
  <si>
    <t>R9004795B</t>
  </si>
  <si>
    <t>ImagePRO-4K</t>
  </si>
  <si>
    <t>Incl 1 Tricombo Input Card and 1 Tricombo Output Card</t>
  </si>
  <si>
    <t>R9009231B</t>
  </si>
  <si>
    <t>ImagePRO 4K chassis</t>
  </si>
  <si>
    <t>No Gen I/O Card Included</t>
  </si>
  <si>
    <t>13161</t>
  </si>
  <si>
    <t>IMAGEPRO 4K  - ESSENTIALCARE +1 (4Y)</t>
  </si>
  <si>
    <t>1Y Extended Warranty (Y4)</t>
  </si>
  <si>
    <t>13063</t>
  </si>
  <si>
    <t>IMAGEPRO 4K - ESSENTIAL CARE +2 (5Y)</t>
  </si>
  <si>
    <t>2Y Extended Warranty (Y4 + Y5)</t>
  </si>
  <si>
    <t>14824</t>
  </si>
  <si>
    <t>PDS-4K - ESSENTIAL CARE +1 (4Y)</t>
  </si>
  <si>
    <t>14825</t>
  </si>
  <si>
    <t>PDS-4K - ESSENTIAL CARE +2 (5Y)</t>
  </si>
  <si>
    <t>15034</t>
  </si>
  <si>
    <t>PDS-4K AUDIO - ESSENTIAL CARE +1 (4Y)</t>
  </si>
  <si>
    <t>15035</t>
  </si>
  <si>
    <t>PDS-4K AUDIO - ESSENTIAL CARE +2 (5Y)</t>
  </si>
  <si>
    <t>R9029203BF</t>
  </si>
  <si>
    <t>E2 Gen2 Configuration - including US/EU power cord</t>
  </si>
  <si>
    <t>Incl Gen2 Chassis, 2x HDMI 2.0 Input , 2x DisplayPort 1.2 Input , 4x TriCombo Input , 2x HDMI 2.0 Output , 1x TriCombo Output, 1x 4K MVR, 8 VPUs  - including US/EU power cord</t>
  </si>
  <si>
    <t>R9029203I</t>
  </si>
  <si>
    <t>E2 Gen2 Configuration - including CN power cord</t>
  </si>
  <si>
    <t>Incl Gen2 Chassis, 2x HDMI 2.0 Input , 2x DisplayPort 1.2 Input , 4x TriCombo Input , 2x HDMI 2.0 Output , 1x TriCombo Output, 1x 4K MVR, 8 VPUs  - including CN power cord</t>
  </si>
  <si>
    <t>R9029203D</t>
  </si>
  <si>
    <t>E2 Gen2 Configuration - including IN power cord</t>
  </si>
  <si>
    <t>Incl Gen2 Chassis, 2x HDMI 2.0 Input , 2x DisplayPort 1.2 Input , 4x TriCombo Input , 2x HDMI 2.0 Output , 1x TriCombo Output, 1x 4K MVR, 8 VPUs - including IN power cord</t>
  </si>
  <si>
    <t>R9020384BF</t>
  </si>
  <si>
    <t>S3-4K Tri-Combo Gen2  Configuration - including US/EU power cord</t>
  </si>
  <si>
    <t>including US/EU power cord</t>
  </si>
  <si>
    <t>R9020384I</t>
  </si>
  <si>
    <t>S3-4K Tri-Combo Gen2  Configuration - including CN power cord</t>
  </si>
  <si>
    <t>including CN power cord</t>
  </si>
  <si>
    <t>R9020384D</t>
  </si>
  <si>
    <t>S3-4K Tri-Combo Gen2  Configuration - including IN power cord</t>
  </si>
  <si>
    <t>including IN power cord</t>
  </si>
  <si>
    <t>R9020385BF</t>
  </si>
  <si>
    <t>S3-4K Jr Gen2 Configuration - including US/EU power cord</t>
  </si>
  <si>
    <t>R9020385I</t>
  </si>
  <si>
    <t>S3-4K Jr Gen2 Configuration - including CN power cord</t>
  </si>
  <si>
    <t>R9020385D</t>
  </si>
  <si>
    <t>S3-4K Jr Gen2 Configuration - including IN power cord</t>
  </si>
  <si>
    <t>R9004796</t>
  </si>
  <si>
    <t>EC-200 to EC-210 Upgrade kit</t>
  </si>
  <si>
    <t>Incl processor and rear panel upgrades</t>
  </si>
  <si>
    <t>R9029359BF</t>
  </si>
  <si>
    <t>E2 Gen2 Empty Chassis - including US/EU power cord</t>
  </si>
  <si>
    <t>Does not include I/O cards  - including US/EU power cord</t>
  </si>
  <si>
    <t>R9029359I</t>
  </si>
  <si>
    <t>E2 Gen2 Empty Chassis - including CN power cord</t>
  </si>
  <si>
    <t>Does not include I/O cards - including CN power cord</t>
  </si>
  <si>
    <t>R9029359D</t>
  </si>
  <si>
    <t>E2 Gen2 Empty Chassis - including IN power cord</t>
  </si>
  <si>
    <t>Does not include I/O cards - including IN power cord</t>
  </si>
  <si>
    <t>R9029610BF</t>
  </si>
  <si>
    <t>S3 Empty Chassis - including US/EU power cord</t>
  </si>
  <si>
    <t>Does not include I/O cards -  - including US/EU power cord</t>
  </si>
  <si>
    <t>R9029610I</t>
  </si>
  <si>
    <t>S3 Empty Chassis - including CN power cord</t>
  </si>
  <si>
    <t>Does not include I/O cards  - including CN power cord</t>
  </si>
  <si>
    <t>R9029610D</t>
  </si>
  <si>
    <t>S3 Empty Chassis - including IN power cord</t>
  </si>
  <si>
    <t>R9004776B</t>
  </si>
  <si>
    <t xml:space="preserve">EX Video Processor </t>
  </si>
  <si>
    <t>Does not include I/O cards</t>
  </si>
  <si>
    <t>R9004766</t>
  </si>
  <si>
    <t>Fiber Optic Output Card</t>
  </si>
  <si>
    <t>Last time buy: available until supplies last
Does not include Transceiver 
(R9009250 - see accessories list below)</t>
  </si>
  <si>
    <t>R9004785B</t>
  </si>
  <si>
    <t xml:space="preserve">4K60 Tri-Combo Input Card </t>
  </si>
  <si>
    <t>HDMI 2.0/DP1.2/12G SDI/Quad SDI</t>
  </si>
  <si>
    <t>R9004786B</t>
  </si>
  <si>
    <t>4K60 Tri-Combo Output card</t>
  </si>
  <si>
    <t>R9004791B</t>
  </si>
  <si>
    <t>HDMI 2.0 Quad Input card</t>
  </si>
  <si>
    <t>HDMI 2.0 4K60p</t>
  </si>
  <si>
    <t>R9004792B</t>
  </si>
  <si>
    <t>HDMI 2.0 Quad Output card</t>
  </si>
  <si>
    <t>R9004793B</t>
  </si>
  <si>
    <t>DisplayPort 1.2 Quad Input card</t>
  </si>
  <si>
    <t>DP 1.2 4K60p</t>
  </si>
  <si>
    <t>R9004765B</t>
  </si>
  <si>
    <t>DisplayPort 1.2 Output Card</t>
  </si>
  <si>
    <t>R9004758B</t>
  </si>
  <si>
    <t>S3 VPU Cards</t>
  </si>
  <si>
    <t>Up to two cards per S3 and EX chassis (NOT for E2)</t>
  </si>
  <si>
    <t>R9004747B</t>
  </si>
  <si>
    <t>E2 VPU Card</t>
  </si>
  <si>
    <t>Installed in groups of four, either 0,4 or 8 per E2</t>
  </si>
  <si>
    <t>R9004746</t>
  </si>
  <si>
    <t>CXP Expansion Link Cards</t>
  </si>
  <si>
    <t>Does not include cable</t>
  </si>
  <si>
    <t>R9004797</t>
  </si>
  <si>
    <t>CXP Input/Output Expansion Card</t>
  </si>
  <si>
    <t>Extends EX Chassis for Input or Output</t>
  </si>
  <si>
    <t>R9004790</t>
  </si>
  <si>
    <t>EC-210 Event Master Controller</t>
  </si>
  <si>
    <t>Includes flight case</t>
  </si>
  <si>
    <t>R9004772</t>
  </si>
  <si>
    <t>EC-50 Event Controller</t>
  </si>
  <si>
    <t>Requires external computer connected via USB. Optional flight case available (R9070002)</t>
  </si>
  <si>
    <t>R9004783</t>
  </si>
  <si>
    <t>EC-30 Event Controller</t>
  </si>
  <si>
    <t>Requires external computer connected via USB</t>
  </si>
  <si>
    <t>R9008988</t>
  </si>
  <si>
    <t>EC-210 Flight Case</t>
  </si>
  <si>
    <t>R9080004</t>
  </si>
  <si>
    <t>EC-210 Dust Cover</t>
  </si>
  <si>
    <t>R9070002</t>
  </si>
  <si>
    <t>EC-50 Flight Case</t>
  </si>
  <si>
    <t>R9080001</t>
  </si>
  <si>
    <t>EC-50 Dust Cover</t>
  </si>
  <si>
    <t>R9080003</t>
  </si>
  <si>
    <t>EC-30 Dust Cover</t>
  </si>
  <si>
    <t>R9009631</t>
  </si>
  <si>
    <t>E2 Gen2 Genlock Board</t>
  </si>
  <si>
    <t>Incl sync connections for S3D- License not included (Gen2)</t>
  </si>
  <si>
    <t>R9004769</t>
  </si>
  <si>
    <t>E2 Gen1/S3 Power Supply</t>
  </si>
  <si>
    <t>Gen1 power supply handle is black</t>
  </si>
  <si>
    <t>R9801983</t>
  </si>
  <si>
    <t>E2 Gen2 Power Supply</t>
  </si>
  <si>
    <t>Gen2 power supply handle is red</t>
  </si>
  <si>
    <t>Replaces R9801782.  Works with R9802253 and R9004766</t>
  </si>
  <si>
    <t>R9004798</t>
  </si>
  <si>
    <t>E2 Shipping Case</t>
  </si>
  <si>
    <t>R9008915</t>
  </si>
  <si>
    <t>S3 Shipping Case</t>
  </si>
  <si>
    <t>R9004751</t>
  </si>
  <si>
    <t>Event Master Locking HDMI TO DVI Cable</t>
  </si>
  <si>
    <t>QTY8 with standoffs / Single Link only</t>
  </si>
  <si>
    <t>R9008989</t>
  </si>
  <si>
    <t>KIT, EM FIBER CABLE, RUGGED, MPO24, 100M</t>
  </si>
  <si>
    <t>Includes: Cable on reel, 2xMTP to Neutrik adapters with jumper cables, and 2x 100m transceivers</t>
  </si>
  <si>
    <t>R9009010</t>
  </si>
  <si>
    <t>KIT, EM FIBER CABLE, RUGGED, MPO24, 300M</t>
  </si>
  <si>
    <t>Includes: Cable on reel, 2xMTP to Neutri akdapters with jumper cables, and 2x 300m transceivers</t>
  </si>
  <si>
    <t>R9009011</t>
  </si>
  <si>
    <t>KIT, EM INSTALL FIBER CABLE, MPO24, 100M (black)</t>
  </si>
  <si>
    <t>Includes: Cable, 2x 100m transceivers</t>
  </si>
  <si>
    <t>R9009012</t>
  </si>
  <si>
    <t>KIT, EM INSTALL FIBER CABLE, MPO24, 300M (black)</t>
  </si>
  <si>
    <t>Includes: Cable, 2x 300m transceivers</t>
  </si>
  <si>
    <t>R9004752</t>
  </si>
  <si>
    <t>100m Expansion link fiber TX/RX Module (2 per kit)</t>
  </si>
  <si>
    <t>Required for 100m fiber cables</t>
  </si>
  <si>
    <t>R9009202</t>
  </si>
  <si>
    <t>300m Expansion link fiber TX/RX Module (2 per kit)</t>
  </si>
  <si>
    <t>Required for 300m fiber cables</t>
  </si>
  <si>
    <t>R9871290</t>
  </si>
  <si>
    <t>MTP Fiber optic cleaning kit</t>
  </si>
  <si>
    <t>R9004750</t>
  </si>
  <si>
    <t xml:space="preserve">Expansion link Cable 1 Meter (1 cable) </t>
  </si>
  <si>
    <t>1  CXP to CXP cable per kit</t>
  </si>
  <si>
    <t>R9004762</t>
  </si>
  <si>
    <t>Expansion Link Cable 5 Meter</t>
  </si>
  <si>
    <t>R9004754</t>
  </si>
  <si>
    <t>Expansion link Fiber cable 100 meter (1 cable)</t>
  </si>
  <si>
    <t>1 cable per kit
This item is Non Cancellable/ Non Returnable</t>
  </si>
  <si>
    <t>R9871285</t>
  </si>
  <si>
    <t>Rugged expansion link Fiber 100 meter on Reel</t>
  </si>
  <si>
    <t>Requires fiber TX/RX Module kit R9004752 and MTP to Opticalcon adapter
This item is Non Cancellable/ Non Returnable</t>
  </si>
  <si>
    <t>R9871289</t>
  </si>
  <si>
    <t>Throwdown MTP to Opticalcon adapter</t>
  </si>
  <si>
    <t>Converts rugged expansion link to MTP 24. Incl Jumper</t>
  </si>
  <si>
    <t>R9871287</t>
  </si>
  <si>
    <t>4 Port Rack mount MTP to Opticicalcon adapters</t>
  </si>
  <si>
    <t>Rack mountable converters for expansion link to MTP24. Incl. Jumpers</t>
  </si>
  <si>
    <t>13153</t>
  </si>
  <si>
    <t>E2 SCRMGTSYS NGS4U-ESSENTIALCARE +1 (4Y)</t>
  </si>
  <si>
    <t>13055</t>
  </si>
  <si>
    <t>E2 SCRMGTSYS NGS4U-ESSENTIALCARE +2 (5Y)</t>
  </si>
  <si>
    <t>13154</t>
  </si>
  <si>
    <t>E2 TRICOMBO NGS-4U-ESSENTIALCARE +1 (4Y)</t>
  </si>
  <si>
    <t>13056</t>
  </si>
  <si>
    <t>E2 TRICOMBO NGS-4U-ESSENTIALCARE +2 (5Y)</t>
  </si>
  <si>
    <t>13155</t>
  </si>
  <si>
    <t>E2 Jr, NGS-4U - ESSENTIALCARE +1 (4Y)</t>
  </si>
  <si>
    <t>13057</t>
  </si>
  <si>
    <t>E2 Jr, NGS-4U - ESSENTIALCARE +2 (5Y)</t>
  </si>
  <si>
    <t>13156</t>
  </si>
  <si>
    <t>S3 4K, NGS-3U - ESSENTIALCARE +1 (4Y)</t>
  </si>
  <si>
    <t>13058</t>
  </si>
  <si>
    <t>S3 4K, NGS-3U - ESSENTIALCARE +2 (5Y)</t>
  </si>
  <si>
    <t>13157</t>
  </si>
  <si>
    <t>S3 Jr, NGS-3U - ESSENTIALCARE +1 (4Y)</t>
  </si>
  <si>
    <t>13059</t>
  </si>
  <si>
    <t>S3 Jr, NGS-3U - ESSENTIALCARE +2 (5Y)</t>
  </si>
  <si>
    <t>13158</t>
  </si>
  <si>
    <t>S3 4K TRICO NGS-3U-ESSENTIALCARE +1 (4Y)</t>
  </si>
  <si>
    <t>13060</t>
  </si>
  <si>
    <t>S3 4K TRICO NGS-3U-ESSENTIALCARE +2 (5Y)</t>
  </si>
  <si>
    <t>13159</t>
  </si>
  <si>
    <t>S3 SA (STANDALONE)-ESSENTIALCARE +1 (4Y)</t>
  </si>
  <si>
    <t>13061</t>
  </si>
  <si>
    <t>S3 SA (STANDALONE)-ESSENTIALCARE +2 (5Y)</t>
  </si>
  <si>
    <t>13160</t>
  </si>
  <si>
    <t>EX TRICOMBO NGS-1U-ESSENTIALCARE +1 (4Y)</t>
  </si>
  <si>
    <t>13062</t>
  </si>
  <si>
    <t>EX TRICOMBO NGS-1U-ESSENTIALCARE +2 (5Y)</t>
  </si>
  <si>
    <t>14198</t>
  </si>
  <si>
    <t>EC-30/50 - ESSENTIALCARE +1 (4Y)</t>
  </si>
  <si>
    <t>14199</t>
  </si>
  <si>
    <t>EC-30/50 - ESSENTIALCARE +2 (5Y)</t>
  </si>
  <si>
    <t>14200</t>
  </si>
  <si>
    <t>EC-200/210 - ESSENTIALCARE +1 (4Y)</t>
  </si>
  <si>
    <t>14201</t>
  </si>
  <si>
    <t>EC-200/210 - ESSENTIALCARE +2 (5Y)</t>
  </si>
  <si>
    <t>R9029201</t>
  </si>
  <si>
    <t>E2 Gen2 BTO Chassis</t>
  </si>
  <si>
    <t>R9024757</t>
  </si>
  <si>
    <t>S3-4K BTO Chassis</t>
  </si>
  <si>
    <t>Does not include I/O cards: 
S3-4K BTO requires minimum of 2 I/O cards</t>
  </si>
  <si>
    <t>R9004785BTO</t>
  </si>
  <si>
    <t>R9004786BTO</t>
  </si>
  <si>
    <t>R9004791BTO</t>
  </si>
  <si>
    <t>R9004792BTO</t>
  </si>
  <si>
    <t>R9004793BTO</t>
  </si>
  <si>
    <t>R9004765BTO</t>
  </si>
  <si>
    <t>R9004758BTO</t>
  </si>
  <si>
    <t>R9004747BTO</t>
  </si>
  <si>
    <t>R9004746BTO</t>
  </si>
  <si>
    <t>R9004750BTO</t>
  </si>
  <si>
    <t>R9004769BTO</t>
  </si>
  <si>
    <t>R9871270LCS</t>
  </si>
  <si>
    <t>E2 Stereo 3D License</t>
  </si>
  <si>
    <t>R9871271LCS</t>
  </si>
  <si>
    <t>S3 Stereo 3D License</t>
  </si>
  <si>
    <t>R9009661</t>
  </si>
  <si>
    <t>FL40-4K MKII</t>
  </si>
  <si>
    <t>R9009663</t>
  </si>
  <si>
    <t>FL40-WU MKII</t>
  </si>
  <si>
    <t>R9009662</t>
  </si>
  <si>
    <t>FS40-4K MKII</t>
  </si>
  <si>
    <t>R9009664</t>
  </si>
  <si>
    <t>FS40-WU MKII</t>
  </si>
  <si>
    <t>R9008792</t>
  </si>
  <si>
    <t>FS70-4K4</t>
  </si>
  <si>
    <t>RGB color wheel for increased motion-, color- and SRP- performance with a dedicated IR light source</t>
  </si>
  <si>
    <t>R9023455</t>
  </si>
  <si>
    <t>FS70-4K6</t>
  </si>
  <si>
    <t>High Color option, WQXGA native ; including smear reduction and extended dimming</t>
  </si>
  <si>
    <t>R9023454</t>
  </si>
  <si>
    <t>FS70-W6</t>
  </si>
  <si>
    <t>High Color option ; including smear reduction and extended dimming</t>
  </si>
  <si>
    <t>R9008791</t>
  </si>
  <si>
    <t>F70-4K4</t>
  </si>
  <si>
    <t>RGB color wheel for increased motion-, color- and SRP- performance</t>
  </si>
  <si>
    <t>R9023463</t>
  </si>
  <si>
    <t>F70-4K6</t>
  </si>
  <si>
    <t>including smear reduction and extended dimming</t>
  </si>
  <si>
    <t>R9023472</t>
  </si>
  <si>
    <t>F70-4K6 3D</t>
  </si>
  <si>
    <t>3D version including smear reduction and extended dimming</t>
  </si>
  <si>
    <t>R9023453</t>
  </si>
  <si>
    <t>F70-4K8</t>
  </si>
  <si>
    <t>High Bright Version ; ‘High Color’ wheel can be ordered separately</t>
  </si>
  <si>
    <t>R9023462</t>
  </si>
  <si>
    <t>F70-W6</t>
  </si>
  <si>
    <t>R9023474</t>
  </si>
  <si>
    <t>F70-W6 3D</t>
  </si>
  <si>
    <t>R9023452</t>
  </si>
  <si>
    <t>F70-W8</t>
  </si>
  <si>
    <t>R9010613</t>
  </si>
  <si>
    <t>F400-4K</t>
  </si>
  <si>
    <t>F400 4K-UHD</t>
  </si>
  <si>
    <t>R9010614</t>
  </si>
  <si>
    <t>FS400-4K</t>
  </si>
  <si>
    <t>F400 4K-UHD (NVG Capable)</t>
  </si>
  <si>
    <t>R9010037</t>
  </si>
  <si>
    <t>F400-N4K</t>
  </si>
  <si>
    <t>F400 Native 4K</t>
  </si>
  <si>
    <t>R9010038</t>
  </si>
  <si>
    <t>FS400-N4K</t>
  </si>
  <si>
    <t>F400 Native 4K (NVG Capable)</t>
  </si>
  <si>
    <t>R9867889</t>
  </si>
  <si>
    <t>FLC 1.1-1.6:1 (EN83)</t>
  </si>
  <si>
    <t>Lens for F400-HR/FS400-HR</t>
  </si>
  <si>
    <t>R9802623</t>
  </si>
  <si>
    <t>F400 LENS HOLDER ADAPTER</t>
  </si>
  <si>
    <t>To adapt FLDX lenses for use on F400, FS400</t>
  </si>
  <si>
    <t>R9802701</t>
  </si>
  <si>
    <t>Lens Support Kit EN61</t>
  </si>
  <si>
    <t>Fits F400 &amp; F40</t>
  </si>
  <si>
    <t>R9802702</t>
  </si>
  <si>
    <t>Lens Support Kit EN63</t>
  </si>
  <si>
    <t>R9802703</t>
  </si>
  <si>
    <t>Lens Support Kit EN66</t>
  </si>
  <si>
    <t>R9802704</t>
  </si>
  <si>
    <t>Lens Support Kit EN76</t>
  </si>
  <si>
    <t>R9802705</t>
  </si>
  <si>
    <t>Lens Support Kit EN83</t>
  </si>
  <si>
    <t>0.38 : 1 (WUXGA) / 0.41 : 1 (4K UHD)</t>
  </si>
  <si>
    <t>UST-lens support for 90° F-series lens R9801832</t>
  </si>
  <si>
    <t>Includes both R9801832 + R9801956</t>
  </si>
  <si>
    <t>R9802244</t>
  </si>
  <si>
    <t>FLDX 0.65 : 1 (EN67)</t>
  </si>
  <si>
    <t>0.57 : 1 (WUXGA) / 0.61 : 1 (WQXGA) /  0.85 : 1 (F80) / 0.53:1 (4K)</t>
  </si>
  <si>
    <t>R9802232</t>
  </si>
  <si>
    <t>FLD+ Lens 0.28:1 (EN68)</t>
  </si>
  <si>
    <t>0.28 : 1 (WUXGA) / 0.30 : 1 (WQXGA) / Not approved FX400 (4K)</t>
  </si>
  <si>
    <t>R9802010</t>
  </si>
  <si>
    <t>FLDX Lens 0.8 : 1 (EN62)</t>
  </si>
  <si>
    <t>0.75:1 (WUXGA) / 0.8:1 (WQXGA) / 0.7:1 (4K) (limited shift on WQ and 4K)</t>
  </si>
  <si>
    <t>R9802243</t>
  </si>
  <si>
    <t>FLDX 0.8 - 1.21:1 (EN66)</t>
  </si>
  <si>
    <t>0.75 - 1.13 : 1 (WUXGA) / 0.8 -  1.21 : 1 (WQXGA) / 0.71 - 1.06 (4K)</t>
  </si>
  <si>
    <t>R9801220</t>
  </si>
  <si>
    <t>FLD+ Long Focus 0.8 - 1.21 : 1 (EN45)</t>
  </si>
  <si>
    <t>0.75 - 1.13 : 1 (WUXGA) / 0.8 -  1.21 : 1 (WQXGA) /  FOR PLANETARIUMS</t>
  </si>
  <si>
    <t>R9802003</t>
  </si>
  <si>
    <t>FLDX LENS 0.95 – 1.3 : 1 (EN76)</t>
  </si>
  <si>
    <t>0.89 - 1.21 : 1 /WUXGA) / 0.95 - 1.30 : 1 (WQXGA) / 0.83 - 1.14 : 1 (4K)</t>
  </si>
  <si>
    <t>R9010091</t>
  </si>
  <si>
    <t>FLDX LENS 0.95 – 1.3 : 1 (EN76-M)</t>
  </si>
  <si>
    <t>0.89 - 1.21 : 1 /WUXGA) / 0.95 - 1.30 : 1 (WQXGA) / 0.83 - 1.14 : 1 (4K) Optimized for motion platforms</t>
  </si>
  <si>
    <t>R9802242</t>
  </si>
  <si>
    <t>FLDX 1.2 - 1.7:1 (EN63)</t>
  </si>
  <si>
    <t>1.13 - 1.60 : 1 (WUXGA) / 1.2 - 1.7 : 1 (WQXGA) /  1.68 - 2.38 : 1 (F80) / 1.06 - 1.50 :1 (4K)</t>
  </si>
  <si>
    <t>FLDX 1.7 - 2.5:1 (EN61)</t>
  </si>
  <si>
    <t>1.58 - 2.33 : 1 (WUXGA) / 1.7 - 2.5 : 1 (WQXGA) /  2.25 - 3.30 : 1 (F80) / 1.48 - 2.18:1 (4K)</t>
  </si>
  <si>
    <t>R9802020</t>
  </si>
  <si>
    <t>FL40 Dust Filter</t>
  </si>
  <si>
    <t>R9802002</t>
  </si>
  <si>
    <t>FL40 Smoke Filter</t>
  </si>
  <si>
    <t>R9802233</t>
  </si>
  <si>
    <t>F70 DUST FILTER</t>
  </si>
  <si>
    <t>R9802234</t>
  </si>
  <si>
    <t>F70 SMOKE FILTER</t>
  </si>
  <si>
    <t>R9801431</t>
  </si>
  <si>
    <t>F70/F90 Colour Wheel Cassette, Brightness</t>
  </si>
  <si>
    <t>increases F70 Brightness to 8k Lumens</t>
  </si>
  <si>
    <t>R9801432</t>
  </si>
  <si>
    <t>F70/F90 CW cassette, Color</t>
  </si>
  <si>
    <t>R9801756</t>
  </si>
  <si>
    <t>Motorization upgrade for rental Frame F70/F90</t>
  </si>
  <si>
    <t>F70/F90/ Only for V2 frames, check your frame.</t>
  </si>
  <si>
    <t>R9802224</t>
  </si>
  <si>
    <t>R9801303</t>
  </si>
  <si>
    <t>Color Matching (per projector)</t>
  </si>
  <si>
    <t>13796</t>
  </si>
  <si>
    <t>F70 - LOW FREQ MAINT 20000 HRS</t>
  </si>
  <si>
    <t>Replacement of color wheel, phosphor wheel, fans, lasers and actuator</t>
  </si>
  <si>
    <t>13797</t>
  </si>
  <si>
    <t>F70 - LOW FREQ MAINT 40000 HRS</t>
  </si>
  <si>
    <t>Replacement of color wheel, phosphor wheel, fans, lasers, actuator and cooling</t>
  </si>
  <si>
    <t>15031</t>
  </si>
  <si>
    <t>F400 FS400 LOW FREQ MAINT 25000HRS</t>
  </si>
  <si>
    <t>Replacement of actuator and light source</t>
  </si>
  <si>
    <t>15032</t>
  </si>
  <si>
    <t>F400 FS400 LOW FREQ MAINT 50000HRS</t>
  </si>
  <si>
    <t>Replacement of actuator, fans, pump and light source</t>
  </si>
  <si>
    <t>14260</t>
  </si>
  <si>
    <t>FL40 FS40 Low Freq Maint 25000Hrs</t>
  </si>
  <si>
    <t>14261</t>
  </si>
  <si>
    <t>FL40 FS40 Low Freq Maint 50000Hrs</t>
  </si>
  <si>
    <t>Desono C-IC6</t>
  </si>
  <si>
    <t>In-Ceiling, Indoor 6.5" Coaxial Loudspeaker (priced individually, but sold in pairs)</t>
  </si>
  <si>
    <t>Tesira SEC-4</t>
  </si>
  <si>
    <t xml:space="preserve">Tesira 4 channel mic/line input card with acoustic echo cancellation per channel </t>
  </si>
  <si>
    <t>TesiraFORTE AVB AI</t>
  </si>
  <si>
    <t>Fixed I/O DSP with 12 analog inputs, 8 analog outputs, 8 channels configurable USB audio, 128 x 128 channels of AVB</t>
  </si>
  <si>
    <t>TesiraFORTE AVB VT</t>
  </si>
  <si>
    <t>Fixed I/O DSP with 12 analog inputs, 8 analog outputs, 8 channels configurable USB audio, 128 x 128 channels of AVB, and AEC technology (all 12 inputs), VoIP/POTS</t>
  </si>
  <si>
    <t>Parle TCM-XA</t>
  </si>
  <si>
    <t>Microphone - Ceiling, Beamforming with 2-channel amplifier</t>
  </si>
  <si>
    <t>VBC2500a</t>
  </si>
  <si>
    <t>Video Conferencing bar w/beamforming mics and 4k camera and ALS output</t>
  </si>
  <si>
    <t>ABC2500a</t>
  </si>
  <si>
    <t>Audio Conferencing bar w/beamforming mics and ALS output</t>
  </si>
  <si>
    <t>Voltera 300.2</t>
  </si>
  <si>
    <t>2-Channel amplifier, 300 total watts power sharing</t>
  </si>
  <si>
    <t>Voltera 300.4</t>
  </si>
  <si>
    <t>4-Channel amplifier, 300 total watts power sharing</t>
  </si>
  <si>
    <t>Voltera 600.2</t>
  </si>
  <si>
    <t>2-Channel amplifier, 600 total watts power sharing</t>
  </si>
  <si>
    <t>Voltera 600.4</t>
  </si>
  <si>
    <t>4-Channel amplifier, 600 total watts power sharing</t>
  </si>
  <si>
    <t>Apprimo 8i</t>
  </si>
  <si>
    <t>8" touch panel control system with built-in IP control</t>
  </si>
  <si>
    <t>Impera Tango</t>
  </si>
  <si>
    <t>Control Processor</t>
  </si>
  <si>
    <t xml:space="preserve"> Touch 4</t>
  </si>
  <si>
    <t>4" Touch Panel</t>
  </si>
  <si>
    <t>Touch 7</t>
  </si>
  <si>
    <t>7" Touch Panel</t>
  </si>
  <si>
    <t>Touch 10</t>
  </si>
  <si>
    <t>10" Touch Panel</t>
  </si>
  <si>
    <t>Modena Hub</t>
  </si>
  <si>
    <t>Wireless presentation hub</t>
  </si>
  <si>
    <t>Modena Hub Plus</t>
  </si>
  <si>
    <t>Wireless presentation hub with integrated WiFi access point</t>
  </si>
  <si>
    <t>Modena Hub Server</t>
  </si>
  <si>
    <t>Enterprise wireless presentation hub with Smart Room capabilities</t>
  </si>
  <si>
    <t>C-IC6LP-W White</t>
  </si>
  <si>
    <t>In-Ceiling, Indoor 6.5" Low Profile Coaxial Loudspeaker (priced individually, but sold in pairs)</t>
  </si>
  <si>
    <t>DX-IC4LP-W</t>
  </si>
  <si>
    <t>In-Ceiling, Indoor 4" Low Profile Coaxial Loudspeaker (priced individually, but sold in pairs)</t>
  </si>
  <si>
    <t>DX-IC4-W</t>
  </si>
  <si>
    <t>In-Ceiling, Indoor 4" Coaxial Loudspeaker (priced individually, but sold in pairs)</t>
  </si>
  <si>
    <t>Crowd Mics ATOM</t>
  </si>
  <si>
    <t>Audience Engagement Device</t>
  </si>
  <si>
    <t>Connect-X MP6</t>
  </si>
  <si>
    <t>Ethernet connected multi-port control extender, 1 bidirectional RS-232, 2 unidirectional RS-232/IR, 3 GPIO</t>
  </si>
  <si>
    <t xml:space="preserve">Echo Plus </t>
  </si>
  <si>
    <t>8-button control pad with Ethernet, 1 bidirectional RS-232 port, 1 unidirectional RS-232 port, 3 GPIO; US, white</t>
  </si>
  <si>
    <t>Echo</t>
  </si>
  <si>
    <t>8-button control pad with 1 bidirectional RS-232 port, 1 unidirectional RS-232 port, 3 GPIO; US, white</t>
  </si>
  <si>
    <t>Uniform 8U</t>
  </si>
  <si>
    <t>8-button E Ink control pad with Ethernet, 1 bidirectional RS-232 port, 2 unidirectional RS-232 ports, 3 GPIO; PoE (IEEE 802.3at Class 1, 4W)</t>
  </si>
  <si>
    <t>KP-U8-RP</t>
  </si>
  <si>
    <t>Wall adapter plate for Impera Uniform</t>
  </si>
  <si>
    <t>Apprimo TEC-X 1000</t>
  </si>
  <si>
    <t>Touch-enabled control pad with knob</t>
  </si>
  <si>
    <t>Apprimo TEC-X 2000</t>
  </si>
  <si>
    <t>Touch-enabled control pad</t>
  </si>
  <si>
    <t>BirdDog</t>
  </si>
  <si>
    <t>BDP4K</t>
  </si>
  <si>
    <t xml:space="preserve">BirdDog P4K Black. 4K 10-Bit Full NDI PTZ with 1" Sony Sensor. - </t>
  </si>
  <si>
    <t>BDP4KWHITE</t>
  </si>
  <si>
    <t xml:space="preserve">BirdDog P4K White. 4K 10-Bit Full NDI PTZ with 1" Sony Sensor. - </t>
  </si>
  <si>
    <t>BDP400B</t>
  </si>
  <si>
    <t xml:space="preserve">BirdDog P400 Black. 4K 10-Bit Full NDI with Sony Sensor - </t>
  </si>
  <si>
    <t>BDP400W</t>
  </si>
  <si>
    <t xml:space="preserve">BirdDog P400 White. 4K 10-Bit Full NDI with Sony Sensor - </t>
  </si>
  <si>
    <t>BDPF120</t>
  </si>
  <si>
    <t xml:space="preserve">BirdDog PF120 1080P Full NDI Camera with 20x optical zoom, and HDMI - </t>
  </si>
  <si>
    <t>BDP110B</t>
  </si>
  <si>
    <t xml:space="preserve">BirdDog P110. 1080P PTZ Camera with 10x Zoom, OLED screen, 360° Mohawk Tally, Video Scopes, Sony Exmor R sensor, NDI, SDI, HDMI, USB Webcam, PoE, SRT, NDI HX2, NDI HX3, H.264, FreeD, Full Colour Matrix, Kelvin Control, and exceptional lowlight performance. Add Auto-Tracking with free Cam Control software. - </t>
  </si>
  <si>
    <t>BDP110W</t>
  </si>
  <si>
    <t>BDP120B</t>
  </si>
  <si>
    <t xml:space="preserve">BirdDog P120. 1080P PTZ Camera with 20x Zoom, OLED screen, 360° Mohawk Tally, Video Scopes, Sony Exmor R sensor, NDI, SDI, HDMI, USB Webcam, PoE, SRT, NDI HX2, NDI HX3, H.264, FreeD, Full Colour Matrix, Kelvin Control, and exceptional lowlight performance. Add Auto-Tracking with free Cam Control software - </t>
  </si>
  <si>
    <t>BDP120W</t>
  </si>
  <si>
    <t>BDP200B</t>
  </si>
  <si>
    <t xml:space="preserve">BirdDog Eyes P200 1080P Full NDI PTZ Camera w/Sony Sensor &amp; HDMI/3G-SDI (Black) - </t>
  </si>
  <si>
    <t>BDP200W</t>
  </si>
  <si>
    <t xml:space="preserve">BirdDog Eyes P200 1080P Full NDI PTZ Camera w/Sony Sensor &amp; HDMI/3G-SDI (White) - </t>
  </si>
  <si>
    <t>BDP240B</t>
  </si>
  <si>
    <t xml:space="preserve">BirdDog P240. 1080P Full NDI PTZ Camera w/ updated Sony Exmor R Sensor, Balanced XLR, SDI, HDMI and UVC USB (Black) - </t>
  </si>
  <si>
    <t>BDP240W</t>
  </si>
  <si>
    <t xml:space="preserve">BirdDog P240. 1080P Full NDI PTZ Camera w/ updated Sony Exmor R Sensor, Balanced XLR, SDI, HDMI and UVC USB (White) - </t>
  </si>
  <si>
    <t>BDA200GEN2</t>
  </si>
  <si>
    <t>BirdDog Eyes A200 Gen 2 IP67 Weatherproof Full NDI PTZ Camera w/Sony Sensor &amp; SDI (White). Now includes Full Colour Matrix and Gamma tools. - ** Please note A200 does not come with a Power Supply. Please be sure to order either the BD-A-PP97, BirdDog 97W PoE Power Injector for A200 / A300 or the BD-A-P24-5, BirdDog Power adaptor 24VAC 5A for A200 / A300 from the accessories below.</t>
  </si>
  <si>
    <t>BDA300GEN2</t>
  </si>
  <si>
    <t>BirdDog Eyes A300 Gen 2 IP67 Weatherproof Full NDI PTZ Camera w/Sony Sensor &amp; SDI (White). Now includes Full Colour Matrix and Gamma tools. - ** Please note A300 does not come with a Power Supply. Please be sure to order either the BD-A-PP97, BirdDog 97W PoE Power Injector for A200 / A300 or the BD-A-P24-5, BirdDog Power adaptor 24VAC 5A for A200 / A300 from the accessories below.</t>
  </si>
  <si>
    <t>BDPTZKEY</t>
  </si>
  <si>
    <t xml:space="preserve">BirdDog PTZ Keyboard controller w/NDI, VISCA, RS-232 &amp; RS422, BirdDog Comms compatible - </t>
  </si>
  <si>
    <t>BDPTZKEYEXT4</t>
  </si>
  <si>
    <t xml:space="preserve">BirdDog PTZ Keyboard 4 Year Extended Warranty. Extends normal 2 year warranty to 4 years total from date of purchase. Must be purchased with camera, strictly can not be added later. - </t>
  </si>
  <si>
    <t>BDPTZKEYEXT5</t>
  </si>
  <si>
    <t xml:space="preserve">BirdDog PTZ Keyboard 5 Year Extended Warranty. Extends normal 2 year warranty to 5years total from date of purchase. Must be purchased with camera, strictly can not be added later. - </t>
  </si>
  <si>
    <t>BDP240BUNDLEEXT4</t>
  </si>
  <si>
    <t xml:space="preserve">BirdDog P240 Promo Bundle (3x P240 and 1x PTZ Keyboard) 4 Year Extended Warranty. Extends normal 2 year warranty to 4 years total from date of purchase. Must be purchased with camera, strictly can not be added later. - </t>
  </si>
  <si>
    <t>BDP240BUNDLEEXT5</t>
  </si>
  <si>
    <t xml:space="preserve">BirdDog P240 Promo Bundle (3x P240 and 1x PTZ Keyboard) 5 Year Extended Warranty. Extends normal 2 year warranty to 5 years total from date of purchase. Must be purchased with camera, strictly can not be added later. - </t>
  </si>
  <si>
    <t xml:space="preserve">BirdDog P120. 1080P PTZ Camera with 120x Zoom, OLED screen, 360° Mohawk Tally, Video Scopes, Sony Exmor R sensor, NDI, SDI, HDMI, USB Webcam, PoE, SRT, NDI HX2, NDI HX3, H.264, FreeD, Full Colour Matrix, Kelvin Control, and exceptional lowlight performance. Add Auto-Tracking with free Cam Control software - </t>
  </si>
  <si>
    <t>BDA200</t>
  </si>
  <si>
    <t xml:space="preserve">BirdDog Eyes A200 IP67 Weatherproof Full NDI PTZ Camera w/Sony Sensor &amp; SDI (White) - </t>
  </si>
  <si>
    <t>BDA300</t>
  </si>
  <si>
    <t xml:space="preserve">BirdDog Eyes A300 IP67 Extreme Weatherproof Full NDI PTZ Camera w/Sony Sensor &amp; SDI (White) - </t>
  </si>
  <si>
    <t>BD-P4K-WM</t>
  </si>
  <si>
    <t xml:space="preserve">BirdDog Wall Mount for P4K - </t>
  </si>
  <si>
    <t>BD-P4K-CM</t>
  </si>
  <si>
    <t xml:space="preserve">BirdDog Ceiling Mount for P4K - </t>
  </si>
  <si>
    <t>BD-P-WM</t>
  </si>
  <si>
    <t xml:space="preserve">BirdDog Wall Mount for P100 / P110 / P120 / P200 / P240 / P400 - </t>
  </si>
  <si>
    <t>BD-P-CM</t>
  </si>
  <si>
    <t xml:space="preserve">BirdDog Ceiling Mount for P100 / P110 / P120 / P200 / P240 / P400 - </t>
  </si>
  <si>
    <t>BD-P-WM-WHITE</t>
  </si>
  <si>
    <t xml:space="preserve">BirdDog Wall Mount for P100 / P110 / P120 / P200 / P240 / P400 - White Colour - </t>
  </si>
  <si>
    <t>BD-P-CM-WHITE</t>
  </si>
  <si>
    <t xml:space="preserve">BirdDog Ceiling Mount for P100 / P110 / P120 / P200 / P240 / P400 - White Colour - </t>
  </si>
  <si>
    <t>BD-CC45RS</t>
  </si>
  <si>
    <t xml:space="preserve">BirdDog RJ45 to RS422/232 Control Cable Adapter for P100 / P110 / P120 / P200 / P240 - </t>
  </si>
  <si>
    <t>BD-CC45232</t>
  </si>
  <si>
    <t xml:space="preserve">BirdDog RJ45 to RS232 Control Cable Adapter - </t>
  </si>
  <si>
    <t>BD-CC8MDP</t>
  </si>
  <si>
    <t xml:space="preserve">BirdDog 8 Pin Mini Din TO Phoenix Control Cable Adapter - </t>
  </si>
  <si>
    <t>BD-RC-1</t>
  </si>
  <si>
    <t xml:space="preserve">BirdDog Infra Red Remote Control for all cameras - </t>
  </si>
  <si>
    <t>BD-P12-2</t>
  </si>
  <si>
    <t xml:space="preserve">BirdDog Power Adapter 12VDC 2A (P100 / P110 / P120 / P200) - </t>
  </si>
  <si>
    <t>BD-P12-4</t>
  </si>
  <si>
    <t xml:space="preserve">BirdDog Power Adapter 12VDC 4A (P240 / P400 and P4K) - </t>
  </si>
  <si>
    <t>BDRN-B</t>
  </si>
  <si>
    <t xml:space="preserve">BirdDog rear numbers Black for P110-P120 (4-5-6-7-8-9-0) Note: relevant units ship with 1-2-3 - </t>
  </si>
  <si>
    <t>BDRN-W</t>
  </si>
  <si>
    <t xml:space="preserve">BirdDog rear numbers White for P110-P120 (4-5-6-7-8-9-0) Note: relevant units ship with 1-2-3 - </t>
  </si>
  <si>
    <t>BD-PTZK-JB01</t>
  </si>
  <si>
    <t xml:space="preserve">BirdDog Junction Box, for PTZ Keyboard RS232/422/485 connection and power supply  - </t>
  </si>
  <si>
    <t>BD-PTZK-NC45</t>
  </si>
  <si>
    <t xml:space="preserve">BirdDog Network Control Cable for PTZ Keyboard control connection  - </t>
  </si>
  <si>
    <t>BD-PTZK-422232</t>
  </si>
  <si>
    <t xml:space="preserve">BirdDog RS422/232 RJ45 Adaptor for PTZ Keyboard RJ45 RS232/422/485 wire connection  - </t>
  </si>
  <si>
    <t>BD-PTZK-45C</t>
  </si>
  <si>
    <t xml:space="preserve">BirdDog RJ45 Coupler for PTZ Keyboard RJ45 network control cable extension.  - </t>
  </si>
  <si>
    <t>BD-PTZK-422232C</t>
  </si>
  <si>
    <t xml:space="preserve">BirdDog RS422/232 RJ45 Adaptor + RJ45 Coupler - </t>
  </si>
  <si>
    <t>BD-A300-WM</t>
  </si>
  <si>
    <t xml:space="preserve">BirdDog A300 Wall Mounting Kit - </t>
  </si>
  <si>
    <t>BD-A300-CM</t>
  </si>
  <si>
    <t xml:space="preserve">BirdDog A300 Ceiling Mounting Kit - </t>
  </si>
  <si>
    <t>BD-A300-MB</t>
  </si>
  <si>
    <t xml:space="preserve">BirdDog Upright/Ceiling Mounting Base for A300 - </t>
  </si>
  <si>
    <t>BD-A200-WM</t>
  </si>
  <si>
    <t xml:space="preserve">BirdDog A200 Wall Mounting Kit - </t>
  </si>
  <si>
    <t>BD-A200-CMS</t>
  </si>
  <si>
    <t xml:space="preserve">BirdDog A200 Ceiling Mount Kit - </t>
  </si>
  <si>
    <t>BD-A-PMA</t>
  </si>
  <si>
    <t xml:space="preserve">BirdDog Pole Mount Adapter for A200 / A300 - </t>
  </si>
  <si>
    <t>BD-A-CMA</t>
  </si>
  <si>
    <t xml:space="preserve">BirdDog Corner Mount Adapter for A200 / A300 - </t>
  </si>
  <si>
    <t>BD-A-PP97</t>
  </si>
  <si>
    <t xml:space="preserve">BirdDog 97W PoE Power Injector for A200 / A300 - </t>
  </si>
  <si>
    <t>BD-A-P24-5</t>
  </si>
  <si>
    <t xml:space="preserve">BirdDog 110v Power adaptor 24VAC 5A for A200 / A300 - </t>
  </si>
  <si>
    <t>BDP240BUNDLE-BBB</t>
  </si>
  <si>
    <t xml:space="preserve">3x P240 Black and 1x FREE PTZ Keyboard - </t>
  </si>
  <si>
    <t>BDP240BUNDLE-WBB</t>
  </si>
  <si>
    <t xml:space="preserve">2x P240 Black, 1x P240 White, and 1x FREE PTZ Keyboard - </t>
  </si>
  <si>
    <t>BDVW-4PACK</t>
  </si>
  <si>
    <t>BirdDog VideoWall bundle. Includes 4x BirdDog PLAY and 1x VideoWall software licence - Shipping ~ April 2023</t>
  </si>
  <si>
    <t>BDVW-9PACK</t>
  </si>
  <si>
    <t>BirdDog VideoWall bundle. Includes 9x BirdDog PLAY and 1x VideoWall software licence - Shipping ~ April 2023</t>
  </si>
  <si>
    <t xml:space="preserve">BDSDM1-HDMI </t>
  </si>
  <si>
    <t xml:space="preserve">BirdDog SDM-L Bi-directional NDI converter for SDM-enabled display devices. Supports Full NDI, NDI HX2, SRT up to UHD30p resolutions (HDMI 1.4 format on internal connector) - </t>
  </si>
  <si>
    <t xml:space="preserve">BDSDM1-DP </t>
  </si>
  <si>
    <t xml:space="preserve">BirdDog SDM-L Bi-directional NDI converter for SDM-enabled display devices. Supports Full NDI, NDI HX2, SRT up to UHD60p resolutions (DisplayPort format on internal connector) - </t>
  </si>
  <si>
    <t>BDSDM2</t>
  </si>
  <si>
    <t xml:space="preserve">BirdDog SDM-S NDI decoder for SDM-enabled display devices. Supports Full NDI, NDI HX2, SRT up to UHD60p resolutions (DisplayPort/HDMI 2.0 format on internal connector) - </t>
  </si>
  <si>
    <t>BDVW</t>
  </si>
  <si>
    <t>BirdDog VideoWall Software - Available now!</t>
  </si>
  <si>
    <t>BDCLOUDBETTER1M</t>
  </si>
  <si>
    <t>1 Cloud Core Subscription W/ 2 Cloud Connect Subscriptions and 50GB of Data lasting 30 days from activation date (PLEASE NOTE: One endpoint only)  - New Account Plan option</t>
  </si>
  <si>
    <t>BDCLOUDBETTER12M</t>
  </si>
  <si>
    <t>1 Cloud Core Subscription W/ 2 Cloud Connect Subscriptions and 600GB of Data lasting 365 days from activation date (PLEASE NOTE: One endpoint only)  - New Account Plan option</t>
  </si>
  <si>
    <t>BDCLOUDBEST1M</t>
  </si>
  <si>
    <t>2 Cloud Core Subscriptions W/ 5 Cloud Connect Subscriptions and 200 GB of Data (2 Endpoints) lasting 30 days from activation date - New Account Plan option</t>
  </si>
  <si>
    <t>BDCLOUDBEST12M</t>
  </si>
  <si>
    <t>2 Cloud Core Subscriptions W/ 5 Cloud Connect Subscriptions and 2400 GB of Data (2 Endpoints) lasting 365 days from activation date - New Account Plan option</t>
  </si>
  <si>
    <t>BDCLOUDCONNECT1M</t>
  </si>
  <si>
    <t>1 Additional Cloud Connect App Subscription  (Must Be added to existing Cloud or Cloud Enterprise account) - Must be added to existing (Better, Best, Enterprise) Plan</t>
  </si>
  <si>
    <t>BDCLOUDCONNECT12M</t>
  </si>
  <si>
    <t>BDCLOUDCORE1M</t>
  </si>
  <si>
    <t>1 Additional Cloud Core Subscription (Must Be added to existing Cloud account)  - Must be added to existing (Better, Best) Plan</t>
  </si>
  <si>
    <t>BDCLOUDCORE12M</t>
  </si>
  <si>
    <t>BDCLOUDDATA50</t>
  </si>
  <si>
    <t xml:space="preserve">50GB of data (1 time use) - </t>
  </si>
  <si>
    <t>BDCLOUDDATA150</t>
  </si>
  <si>
    <t xml:space="preserve">150GB of data (1 time use) - </t>
  </si>
  <si>
    <t>BDCLOUDDATA400</t>
  </si>
  <si>
    <t xml:space="preserve">400GB of data (1 time use) - </t>
  </si>
  <si>
    <t>BIRDDOGREP1M</t>
  </si>
  <si>
    <t xml:space="preserve">1 BirdDog Reporter Subscription lasting 30 days from activation - </t>
  </si>
  <si>
    <t>BIRDDOGREP12M</t>
  </si>
  <si>
    <t xml:space="preserve">1 BirdDog Reporter Subscription lasting 365 days from activation - </t>
  </si>
  <si>
    <t>BDCLOUDENTERPRISE</t>
  </si>
  <si>
    <t>2 Cloud Core Subscriptions for 365days W/ 5 Cloud Connect Subscriptions for 365 days and 2400 GB of Data  + Record Engine, 2FA, Encoder Engine, API Support (2 Enterprise Endpoints) + 2 x free Reporter licenses. - New Enterprise Account Plan option</t>
  </si>
  <si>
    <t>BDCLOUDDX12M</t>
  </si>
  <si>
    <t xml:space="preserve">1 BirdDog Cloud DX Endpoint Subscription for 365 days (Must Be added to existing Enterprise Cloud account only, not available for non-Enterprise systems) - Must Be added to existing Enterprise Cloud account </t>
  </si>
  <si>
    <t>BDCLOUDCOREEP1M</t>
  </si>
  <si>
    <t>1 Additional Cloud Core Subscription for 30 days (Must Be added to existing Enterprise Cloud account) + Record Engine, 2FA, Encoder Engine, API Support - Must be added to existing (Enterprise) Plan</t>
  </si>
  <si>
    <t>BDCLOUDCOREEP12M</t>
  </si>
  <si>
    <t>1 Additional Cloud Core Subscription for 365 days (Must Be added to existing Enterprise Cloud account) + Record Engine, 2FA, Encoder Engine, API Support - Must be added to existing (Enterprise) Plan</t>
  </si>
  <si>
    <t>BDCOMMS</t>
  </si>
  <si>
    <t xml:space="preserve">BirdDog Comms - NDI Audio comms - </t>
  </si>
  <si>
    <t>BDCENTRALPRO2.0</t>
  </si>
  <si>
    <t xml:space="preserve">BirdDog Central Pro 2.0 - Video distribution and routing control - </t>
  </si>
  <si>
    <t>BDCENTRALEP</t>
  </si>
  <si>
    <t>Central Enterprise – Browser based, enterprise level NDI routing and control with media playback engine, and support for thousands of sources - **NEW** Available soon!</t>
  </si>
  <si>
    <t>BDMVLITE</t>
  </si>
  <si>
    <t xml:space="preserve">BirdDog Multiview Lite - NDI Multiviewer. Create up to six, 2x2 outputs - </t>
  </si>
  <si>
    <t>BDMVPRO</t>
  </si>
  <si>
    <t xml:space="preserve">BirdDog Multiview Pro - NDI Multiviewer Pro. Create up to six 4x4 outputs - </t>
  </si>
  <si>
    <t>BDMVPROMAC</t>
  </si>
  <si>
    <t xml:space="preserve">BirdDog Multiview Pro - NDI Multiviewer Pro. Create up to six 4x4 outputs for MAC - </t>
  </si>
  <si>
    <t>BDMVPROSER</t>
  </si>
  <si>
    <t>Multiview Server – Server based multiview generator accessed via system tray on windows devices. - **NEW** Available soon!</t>
  </si>
  <si>
    <t>BDCDIRECTOR</t>
  </si>
  <si>
    <t>Camera Director – Multi-camera production software for automating PTZ productions - **NEW** Available soon!</t>
  </si>
  <si>
    <t>BDDANTEBRIDGE</t>
  </si>
  <si>
    <t xml:space="preserve">BirdDog Dante NDI Bridge - </t>
  </si>
  <si>
    <t>Brightsign</t>
  </si>
  <si>
    <t>AU335</t>
  </si>
  <si>
    <t>Distributes quality high bandwidth, 24-bit audio including Dolby Atmos, Dolby Audio, and PMC audio to ARC/eARC soundbars &amp; AV receivers</t>
  </si>
  <si>
    <t>LS425</t>
  </si>
  <si>
    <t>H.265, Full HD, HTML5, graphics &amp; digital audio, HDMI out, ideal for looping video, simple HTML5 widgets and animation and single touchscreen experiences</t>
  </si>
  <si>
    <t>LS445</t>
  </si>
  <si>
    <t>H.265, Full HD, and 4K vide, HTML5, graphics &amp; digital audio, HDMI out, ideal for looping video, simple HTML5 widgets and animation and single touch experiences</t>
  </si>
  <si>
    <t>HD225</t>
  </si>
  <si>
    <t>H.265, Delivers 4K60p video in HDR, HMTL5, Flexible I/O for USB, serial, GPIO, IR, &amp; Ethernet</t>
  </si>
  <si>
    <t>HD1025</t>
  </si>
  <si>
    <t>Built for interactivity, delivers 4K60p video in HDR, HMTL5, flexible I/O for USB, serial, GPIO, IR, &amp; Ethernet</t>
  </si>
  <si>
    <t>XD235</t>
  </si>
  <si>
    <t>Professional 4K player with Dynamic memory allocation, optimized motion graphics, 4k content, PoE+, full open GL ES, and dynamic mosaic mode for enterprise+ experience with standard I/O</t>
  </si>
  <si>
    <t>XD1035</t>
  </si>
  <si>
    <t>Professional 4K player with Dynamic memory allocation, optimized motion graphics, 4k content, PoE+, full open GL ES, and dynamic mosaic mode for enterprise+ experience with expanded I/O</t>
  </si>
  <si>
    <t>Powerful 4K, dual video decode,enterprise+ HTML5 player with PoE+ &amp; Live TV, dual USB, HDMI 2.0 input and expanded I/O package</t>
  </si>
  <si>
    <t>XT1144-T</t>
  </si>
  <si>
    <t>A Tade Agreement Act (TAA) compliant version of the XT1144</t>
  </si>
  <si>
    <t>XT245</t>
  </si>
  <si>
    <t xml:space="preserve">Powerful ultra-thin player delivering the highest quality video from 1080p to 8K60 &amp; playing 3D motion graphics at high frame rates. Standard I/O package with GB Ethernet supporting PoE+, GPIO, IR and digital audio ports </t>
  </si>
  <si>
    <t>XT1145</t>
  </si>
  <si>
    <t>Powerful ultr-thin player delivering the highest quality video from 1080p to 8k60p &amp; playing 3D motion graphics at high frame rates. Expanded I/O package with GB Ethernet supporting PoE+, GPIO, IR digital audio, serial, dual USB and HDMI input ports</t>
  </si>
  <si>
    <t>XT2145</t>
  </si>
  <si>
    <t>Powerful ultr-thin player delivering the highest quality video from 1080p to 8k60p &amp; playing 3D motion graphics at high frame rates. Standard I/O package with GB Ethernet supporting PoE+, GPIO, IR digital audio, serial, dual USB and HDMI input and 2 HDMI output ports</t>
  </si>
  <si>
    <t>XC2055</t>
  </si>
  <si>
    <t xml:space="preserve">Expert 8K player with dual 4K HDMI outputs, elite HTML, PoE, full open GL with 5x more graphics power to create stunning video and graphics, and interactive experieces </t>
  </si>
  <si>
    <t>XC4055</t>
  </si>
  <si>
    <t xml:space="preserve">Expert multi-headed 8K player with quad output, elite HTML , mulytiple HDMI outputs, full open GL with 5x more graphics power to create stunning video and graphics, and interactive experieces </t>
  </si>
  <si>
    <t>XBM1U</t>
  </si>
  <si>
    <t>FUSION XL SINGLE BOLT-DOWN, LANDSCAPE</t>
  </si>
  <si>
    <t>Large FP Mounts</t>
  </si>
  <si>
    <t>XBM1UP</t>
  </si>
  <si>
    <t>FUSION XL SINGLE BOLT-DOWN, PORTRAIT</t>
  </si>
  <si>
    <t>XCB1U</t>
  </si>
  <si>
    <t>EXTRA LARGE, B2B, CEILING MOUNT</t>
  </si>
  <si>
    <t>XCB7000</t>
  </si>
  <si>
    <t>CEILING MOUNT, DUAL COLUMN, XL, B2B</t>
  </si>
  <si>
    <t>XCM1U</t>
  </si>
  <si>
    <t>XL, SINGLE COLUMN, CEILING MOUNT</t>
  </si>
  <si>
    <t>XCM7000</t>
  </si>
  <si>
    <t>EXTRA LARGE, DUAL COLUMN, CEILING MOUNT</t>
  </si>
  <si>
    <t>XFA1UB</t>
  </si>
  <si>
    <t>X-LARGE FUSION MANUAL HT ADJ  FLOOR BLK</t>
  </si>
  <si>
    <t>XFD1U</t>
  </si>
  <si>
    <t>Electric Height Adj Floor Support XL -US</t>
  </si>
  <si>
    <t>XPA1UB</t>
  </si>
  <si>
    <t>X-LARGE FUSION MANUAL HEGHT ADJ CART BLK</t>
  </si>
  <si>
    <t>XPA1US</t>
  </si>
  <si>
    <t>X-LARGE FUSION MANUAL HGT ADJ CART SLVR</t>
  </si>
  <si>
    <t>XPD1U</t>
  </si>
  <si>
    <t>Electric Height Adjust Cart XL - US</t>
  </si>
  <si>
    <t>XSD1U</t>
  </si>
  <si>
    <t>ELECTRIC HEIGHT ADJUST WALL - XL</t>
  </si>
  <si>
    <t>XSM1U</t>
  </si>
  <si>
    <t>Micro-Adjust Fixed Wall Mount, X-Large</t>
  </si>
  <si>
    <t>Micro-Adjust Tilt Wall Mount, X-Large</t>
  </si>
  <si>
    <t>XTM1U-G</t>
  </si>
  <si>
    <t>EXTRA LARGE TILT MOUNT ASSEMBLY, TAA</t>
  </si>
  <si>
    <t>XVAUB</t>
  </si>
  <si>
    <t>VIDEO CONFERENCE CART</t>
  </si>
  <si>
    <t>XVM1U</t>
  </si>
  <si>
    <t>FUSION EXTRA LARGE CART</t>
  </si>
  <si>
    <t>XVM1X1U</t>
  </si>
  <si>
    <t>XL FUSION FREESTANDING VIDEO WALL</t>
  </si>
  <si>
    <t>FSE-BASE</t>
  </si>
  <si>
    <t>FreeSpeak Edge Base Station: (16) beltpacks*, 1RU</t>
  </si>
  <si>
    <t>FreeSpeak Edge Base Station: (16) beltpacks*, 1RU with 4-wire, 2-wire with Power Supply, Dante</t>
  </si>
  <si>
    <t>PSU-EXT-001</t>
  </si>
  <si>
    <t xml:space="preserve">External Power Supply for FSE-BASE &amp; Arcadia </t>
  </si>
  <si>
    <t xml:space="preserve">External Power Supply for FSE-BASE &amp; Arcadia  </t>
  </si>
  <si>
    <t>CAB-RJ45-PGM-SA</t>
  </si>
  <si>
    <t>Four-Wire Analog Audio Splitter Cable - PGM/SA</t>
  </si>
  <si>
    <t>Four-Wire Analog Audio Splitter Cable - PGM/SA with (1) RJ45 to (1) 3-pin XLR-F &amp; (1) 3-pin XLR-M</t>
  </si>
  <si>
    <t>FSII-BASE-II-5</t>
  </si>
  <si>
    <t>FreeSpeak II Base Station: 5 beltpacks*, 1RU</t>
  </si>
  <si>
    <t>FreeSpeak II Base Station: 5 beltpacks*, 1RU with 4-wire, 2-wire with Power Supply, Program Audio, Stage Announce</t>
  </si>
  <si>
    <t>FSII-BASE-II-5-X5</t>
  </si>
  <si>
    <t>FreeSpeak II Base Station: 5 beltpacks*, 1RU with 4-wire, 2-wire, Program Audio, Stage Announce, 5 pin XLR-Female HS</t>
  </si>
  <si>
    <t>FSII-BASE-II</t>
  </si>
  <si>
    <t>FreeSpeak II Base Station: 25 beltpacks*, 1RU</t>
  </si>
  <si>
    <t>FreeSpeak II Base Station: 25 beltpacks*, 1RU with 4-wire, 2-wire with Power Supply, Program Audio, Stage Announce</t>
  </si>
  <si>
    <t>FSII-BASE-II-X5</t>
  </si>
  <si>
    <t>FreeSpeak II Base Station: 25 beltpacks*, 1RU with 4-wire, 2-wire, Program Audio, Stage Announce, 5 pin XLR-Female HS</t>
  </si>
  <si>
    <t>FSII-BASE-II-25BP-LICENSE</t>
  </si>
  <si>
    <t>FreeSpeak II Base Station: 25 Beltpack License</t>
  </si>
  <si>
    <t>FreeSpeak II Base Station: 25 Beltpack License upgrades any FSII-BASE-II-5</t>
  </si>
  <si>
    <t>FSII-BASE-II-SW</t>
  </si>
  <si>
    <t>FreeSpeak II Base Station: Feature License</t>
  </si>
  <si>
    <t>FreeSpeak II Base Station: Feature License upgrades any FSII-BASE-II-5 to version 1.5*</t>
  </si>
  <si>
    <t>FSII-SPL</t>
  </si>
  <si>
    <t xml:space="preserve">FreeSpeak II Transceiver Splitter </t>
  </si>
  <si>
    <t>FreeSpeak II Transceiver Splitter  with (1) E1 RJ45/SFP input to 5 E1 Non-IP transceivers</t>
  </si>
  <si>
    <t>FSII-BP19-X4-US</t>
  </si>
  <si>
    <t>FreeSpeak II Beltpack: 1.9GHz, US</t>
  </si>
  <si>
    <t>FreeSpeak II Beltpack: 1.9GHz, US with (5) assignable keys, (4) pin XLR-Male headset</t>
  </si>
  <si>
    <t>FSII-BP19-X5-US</t>
  </si>
  <si>
    <t>FreeSpeak II Beltpack: 1.9GHz, US with (5) assignable keys, (5) pin XLR-Female headset</t>
  </si>
  <si>
    <t>FSII-BP19-X7-US</t>
  </si>
  <si>
    <t>FreeSpeak II Beltpack: 1.9GHz, US, (2) GPI</t>
  </si>
  <si>
    <t>FreeSpeak II Beltpack: 1.9GHz, US, (2) GPI with (5) assignable keys, 7 pin XLR-Male headset</t>
  </si>
  <si>
    <t>FSII-TCVR-IP-19-US</t>
  </si>
  <si>
    <t>FreeSpeak II Transceiver: 1.9GHz, IP, US</t>
  </si>
  <si>
    <t>FreeSpeak II Transceiver: 1.9GHz, IP, US for (10) FSII-BP19 beltpacks</t>
  </si>
  <si>
    <t>FSII-TCVR-19-US</t>
  </si>
  <si>
    <t>FreeSpeak II Transceiver: 1.9GHz, US</t>
  </si>
  <si>
    <t>FreeSpeak II Transceiver: 1.9GHz, US for (5) FSII-BP19 beltpacks</t>
  </si>
  <si>
    <t>FSII-BP24-X4</t>
  </si>
  <si>
    <t>FreeSpeak II Beltpack: 2.4GHz</t>
  </si>
  <si>
    <t>FreeSpeak II Beltpack: 2.4GHz with (5) assignable keys, (4) pin XLR-Male headset</t>
  </si>
  <si>
    <t>FSII-BP24-X5</t>
  </si>
  <si>
    <t>FreeSpeak II Beltpack: 2.4GHz with (5) assignable keys, (5) pin XLR-Female headset</t>
  </si>
  <si>
    <t>FSII-BP24-X7</t>
  </si>
  <si>
    <t>FreeSpeak II Beltpack: 2.4GHz, (2) GPI</t>
  </si>
  <si>
    <t>FreeSpeak II Beltpack: 2.4GHz, (2) GPI with (5) assignable keys, 7 pin XLR-Male headset</t>
  </si>
  <si>
    <t>FSII-TCVR-24</t>
  </si>
  <si>
    <t>FreeSpeak II Transceiver: 2.4GHz</t>
  </si>
  <si>
    <t>FreeSpeak II Transceiver: 2.4GHz for (4) FSII-BP2(4) beltpacks</t>
  </si>
  <si>
    <t>Encore Remote Station: 2Ch, 1RU</t>
  </si>
  <si>
    <t>Encore Remote Station: 4Ch, 1RU</t>
  </si>
  <si>
    <t>Encore Remote Station: 4Ch, 1RU with Stage Announce, 5 Program Audio, Hot-Mic</t>
  </si>
  <si>
    <t>HelixNet Remote Station: 4Ch, Program Audio</t>
  </si>
  <si>
    <t>CCC-720192-6-SO</t>
  </si>
  <si>
    <t>Adapter cable, DB-9F to 3.5mm, 6ft</t>
  </si>
  <si>
    <t xml:space="preserve">Adapter cable, DB-9F to 3.5mm, 6ft </t>
  </si>
  <si>
    <t>CCC-801015</t>
  </si>
  <si>
    <t>Adapter cable, U-229/U to DB9</t>
  </si>
  <si>
    <t xml:space="preserve">Adapter cable, U-229/U to DB9 </t>
  </si>
  <si>
    <t>CCC-801004</t>
  </si>
  <si>
    <t>Adapter cable, XLR-3F to Balun Box</t>
  </si>
  <si>
    <t>Adapter cable, XLR-3F to Balun Box Adapter cable, XLR-3F to Balun Box</t>
  </si>
  <si>
    <t>CCC-803003</t>
  </si>
  <si>
    <t>Splitter box XLR-3F to (5) XLR-3M</t>
  </si>
  <si>
    <t>Splitter box XLR-3F to (5) XLR-3M Splitter box XLR-3F to (5) XLR-3M</t>
  </si>
  <si>
    <t>CCC-720500</t>
  </si>
  <si>
    <t>I-Station kit with modified AUX-101 module</t>
  </si>
  <si>
    <t>I-Station kit with modified AUX-101 module I-Station kit with modified AUX-101 module</t>
  </si>
  <si>
    <t>BP-MOUNT</t>
  </si>
  <si>
    <t>Beltpack Mounting Kit</t>
  </si>
  <si>
    <t>Beltpack Mounting Kit for RS-700, FSII-BP, FSE-BP, HXII-BP</t>
  </si>
  <si>
    <t>HelixNet Surface Mount: Desk/Wall</t>
  </si>
  <si>
    <t>AC60-W-MOUNT</t>
  </si>
  <si>
    <t>FreeSpeak II Charger Wall Mount</t>
  </si>
  <si>
    <t>FreeSpeak II Charger Wall Mount for AC60</t>
  </si>
  <si>
    <t>Video Codec - SX10 Display Mount Kit</t>
  </si>
  <si>
    <t>Network Switch - Managed 48-Port PoE</t>
  </si>
  <si>
    <t>Clockaudio</t>
  </si>
  <si>
    <t>AA8000</t>
  </si>
  <si>
    <t>Wireless System Antenna Distribution Amplifier</t>
  </si>
  <si>
    <t>AB9000</t>
  </si>
  <si>
    <t>Wireless System Antenna Booster</t>
  </si>
  <si>
    <t>AEP9000</t>
  </si>
  <si>
    <t>Antenna Extension Panel</t>
  </si>
  <si>
    <t>ARM100NRF</t>
  </si>
  <si>
    <t>Motorized retractable through-table condenser omnidirectional microphone with shock mount and RF filter.  Nickel</t>
  </si>
  <si>
    <t>ARM100RF</t>
  </si>
  <si>
    <t>Motorized retractable through-table condenser omnidirectional microphone with shock mount and RF filter. Black</t>
  </si>
  <si>
    <t>ARM102NRF</t>
  </si>
  <si>
    <t>Motorized retractable through-table condenser cardioid microphone with shock mount and RF filter. Nickel</t>
  </si>
  <si>
    <t>ARM102RF</t>
  </si>
  <si>
    <t>Motorized retractable through-table condenser cardioid microphone with shock mount and RF filter. Black</t>
  </si>
  <si>
    <t>ARM202NRF</t>
  </si>
  <si>
    <t>Motorized retractable through-table dual element condenser cardioid microphone with shock mount and RF filter. Nickel.</t>
  </si>
  <si>
    <t>ARM202RF</t>
  </si>
  <si>
    <t>Motorized retractable through-table dual element condenser cardioid microphone with shock mount and RF filter. Black.</t>
  </si>
  <si>
    <t>ARMController</t>
  </si>
  <si>
    <t xml:space="preserve">Controller for ARM microphones. (1)ARM-Controller will support (4) ARM microphones </t>
  </si>
  <si>
    <t>ARMF100NRF Straight Cut</t>
  </si>
  <si>
    <t>Straight Cut Motorized retractable through-table condenser omnidirectional microphone with shock mount and RF filter.  Nickel</t>
  </si>
  <si>
    <t>ARMF100RF Straight Cut</t>
  </si>
  <si>
    <t>Straight Cut Motorized retractable through-table condenser omnidirectional microphone with shock mount and RF filter. Black</t>
  </si>
  <si>
    <t>ARMF102NRF Straight Cut</t>
  </si>
  <si>
    <t>Straight Cut Motorized retractable through-table condenser cardioid microphone with shock mount and RF filter. Nickel</t>
  </si>
  <si>
    <t>ARMF102RF Straight Cut</t>
  </si>
  <si>
    <t>Straight Cut Motorized retractable through-table condenser cardioid microphone with shock mount and RF filter. Black</t>
  </si>
  <si>
    <t>ARMPSU4</t>
  </si>
  <si>
    <t>Power supply unit 12V DC for ARM-Controller.  (1) ARM-PSU4 required for every (4) ARM-Controllers</t>
  </si>
  <si>
    <t>C002EGRF</t>
  </si>
  <si>
    <t>Omni directional, low profile, Boundary layer condenser microphone, 118" cable, In Line PPA with RF Filter, XLR termination. Stone Grey</t>
  </si>
  <si>
    <t>C002ERF</t>
  </si>
  <si>
    <t>Omni directional, low profile, Boundary layer condenser microphone, 118" cable, In Line PPA with RF Filter, XLR termination. Black</t>
  </si>
  <si>
    <t>C003ERF</t>
  </si>
  <si>
    <t xml:space="preserve">Omni directional Boundary Layer condenser microphone, through desktop with RF Filter. For Black order C003E RF. White order C003EW RF. </t>
  </si>
  <si>
    <t>C003EWRF</t>
  </si>
  <si>
    <t>C004ERF</t>
  </si>
  <si>
    <t xml:space="preserve">Cardioid Boundary Layer condenser microphone, through desktop with RF filter. For Black order C004E RF. White order C004EW RF. </t>
  </si>
  <si>
    <t>C004EWRF</t>
  </si>
  <si>
    <t>Cardioid Boundary Layer condenser microphone, through desktop with RF filter. For Black order C004E RF. White order C004EW RF.</t>
  </si>
  <si>
    <t>C006E</t>
  </si>
  <si>
    <t>Half Cardioid Mini Boundary Layer microphone. Black</t>
  </si>
  <si>
    <t>C006EG</t>
  </si>
  <si>
    <t>Half Cardioid Mini Boundary Layer microphone. Grey Nextel</t>
  </si>
  <si>
    <t>C007CPPW01</t>
  </si>
  <si>
    <t>Ceiling mountable Omnidirectional, microphone, CPPW01 Permanent Install. Black</t>
  </si>
  <si>
    <t>C007CPPW01WR</t>
  </si>
  <si>
    <t>Ceiling mountable Omnidirectional, WATER RESISTANT, microphone, CPPW01 Permanent Install. Black</t>
  </si>
  <si>
    <t>C007E</t>
  </si>
  <si>
    <t xml:space="preserve">Ceiling mountable Omni directional microphone, PPA. Black </t>
  </si>
  <si>
    <t xml:space="preserve">C007ENRF </t>
  </si>
  <si>
    <t>Ceiling mountable Omni directional microphone, PPA. Nickel</t>
  </si>
  <si>
    <t>C007ERF</t>
  </si>
  <si>
    <t>Ceiling mountable omnidirectional microphone, In line RF PPA with XLR termination. Finish Black.</t>
  </si>
  <si>
    <t>C007ERFLED</t>
  </si>
  <si>
    <t>Ceiling mountable omnidirectional microphone with Bi-Color LED, In line RF PPA with XLR termination. Black</t>
  </si>
  <si>
    <t xml:space="preserve">C007EW </t>
  </si>
  <si>
    <t>Ceiling mountable Omni directional microphone, PPA.  White</t>
  </si>
  <si>
    <t>C007EWR</t>
  </si>
  <si>
    <t xml:space="preserve">Ceiling mountable Omni directional, WATER RESISTANT, microphone, PPA. Black </t>
  </si>
  <si>
    <t>C007EWRF</t>
  </si>
  <si>
    <t>Ceiling mountable omnidirectional microphone, In line RF PPA with XLR termination. Finish White.</t>
  </si>
  <si>
    <t>C007EWRFLED</t>
  </si>
  <si>
    <t>Ceiling mountable omnidirectional microphone with Bi-Color LED, In line RF PPA with XLR termination. White</t>
  </si>
  <si>
    <t>C007EWWR</t>
  </si>
  <si>
    <t>Ceiling mountable Omni directional, WATER RESISTANT, microphone, PPA. White</t>
  </si>
  <si>
    <t>C007JPM</t>
  </si>
  <si>
    <t>Ceiling mountable Omni directional microphone, 3.5mm Mono Connector Black</t>
  </si>
  <si>
    <t>C007LL</t>
  </si>
  <si>
    <t xml:space="preserve">Ceiling mountable Omni directional microphone, CAP002-Line Level PreAmp. Black </t>
  </si>
  <si>
    <t>C007LLWR</t>
  </si>
  <si>
    <t>Ceiling mountable Omni directional, WATER RESISTANT, microphone,   CAP002 - Line Level  PreAmp. Black</t>
  </si>
  <si>
    <t>C007NRF</t>
  </si>
  <si>
    <t xml:space="preserve">Ceiling mountable Omnidirectional microphone, CPPW01 Permanent Install. Nickel  </t>
  </si>
  <si>
    <t>C007RF</t>
  </si>
  <si>
    <t xml:space="preserve">Ceiling mountable Omnidirectional microphone, CPPW01 Permanent Install. Black  </t>
  </si>
  <si>
    <t>C007WCPPW01</t>
  </si>
  <si>
    <t>Ceiling mountable Omnidirectional, microphone, CPPW01 Permanent Install. White</t>
  </si>
  <si>
    <t>C007WCPPW01WR</t>
  </si>
  <si>
    <t>Ceiling mountable Omnidirectional, WATER RESISTANT, microphone, CPPW01 Permanent Install. White</t>
  </si>
  <si>
    <t>C007WJPM</t>
  </si>
  <si>
    <t>Ceiling mountable Omni directional microphone, 3.5mm Mono Connector White</t>
  </si>
  <si>
    <t>C007WLL</t>
  </si>
  <si>
    <t>Ceiling mountable Omni directional microphone, CAP002-Line Level PreAmp. White</t>
  </si>
  <si>
    <t>C007WLLWR</t>
  </si>
  <si>
    <t>Ceiling mountable Omni directional, WATER RESISTANT, microphone,   CAP002 - Line Level  PreAmp. White</t>
  </si>
  <si>
    <t>C007WRF</t>
  </si>
  <si>
    <t>Ceiling mountable Omnidirectional microphone, CPPW01 Permanent Install.   White</t>
  </si>
  <si>
    <t>C008EGRF</t>
  </si>
  <si>
    <t>Stingray table top Cardioid Boundary layer condenser microphone, 10 ft cable, XLR termination with RF Filter. Stone Grey Nextel</t>
  </si>
  <si>
    <t xml:space="preserve">C008ERF </t>
  </si>
  <si>
    <t>Stingray table top Cardioid Boundary layer condenser microphone, 10 ft cable, XLR termination with RF Filter. Black.</t>
  </si>
  <si>
    <t>C009EGRF</t>
  </si>
  <si>
    <t>Large plate Omni directional Boundary layer microphone, In Line RF PPA with XLR termination. Stone Grey Nextel</t>
  </si>
  <si>
    <t>C009ERF</t>
  </si>
  <si>
    <t>Large plate Omni directional Boundary layer microphone, In Line RF PPA with XLR termination. Black</t>
  </si>
  <si>
    <t>C011ENRF</t>
  </si>
  <si>
    <t xml:space="preserve">Omni directional Boundary Layer microphone, solid brass tip to tip, through desktop with RF Filter.  Nickel </t>
  </si>
  <si>
    <t>C011ERF</t>
  </si>
  <si>
    <t xml:space="preserve">Omni directional Boundary Layer microphone, solid brass tip to tip, through desktop with RF Filter.  Black </t>
  </si>
  <si>
    <t>C012ENRF</t>
  </si>
  <si>
    <t xml:space="preserve">Cardioid condenser Boundary Layer microphone, solid brass tip to tip, through desktop with RF Filter. Nickel </t>
  </si>
  <si>
    <t>C012ERF</t>
  </si>
  <si>
    <t>Cardioid condenser Boundary Layer microphone, solid brass tip to tip, through desktop with RF Filter.                                                                                Black</t>
  </si>
  <si>
    <t>C015E RF</t>
  </si>
  <si>
    <t>Microphone base solution with membrane switch, 5 Pin male XLR output, built in Omni directional condenser microphone with RF Filter. Black</t>
  </si>
  <si>
    <t>C016E RF</t>
  </si>
  <si>
    <t>Microphone base solution with membrane switch, 5 Pin male XLR output, built in Cardioid condenser microhphone with RF filter. Black</t>
  </si>
  <si>
    <t>C1000H</t>
  </si>
  <si>
    <t>Wide band super-cardioid condenser capsule, Black, terminated with TA3M connector. For use with CA Series and S750.</t>
  </si>
  <si>
    <t>C1001E-RF</t>
  </si>
  <si>
    <t>High Performance super-cardioid condenser gooseneck microphone with Knuckle Joint, XLR termination with RF Filter. Finish: Satin Black</t>
  </si>
  <si>
    <t>C301EHalo</t>
  </si>
  <si>
    <t>Cardioid Condenser gooseneck HALO microphone with Knuckle Joint, 5 Pin XLR termination</t>
  </si>
  <si>
    <t>C301ERF</t>
  </si>
  <si>
    <t>Cardioid Condenser gooseneck microphone with Knuckle Joint, XLR termination with RF Filter</t>
  </si>
  <si>
    <t>C301ESRF</t>
  </si>
  <si>
    <t>Cardioid Condenser gooseneck microphone with Knuckle Joint, On/Off switch, XLR termination with RF Filter</t>
  </si>
  <si>
    <t>C303D-P UDP</t>
  </si>
  <si>
    <t>Dante and AES67 compatible Tri-Element Array Hanging Condenser Microphone. Three high quality Cardiod capsules covering 360 Degrees with Built in RF Filter. Plenum Rated and POE powered Black Finish. UDP Version (For Crestron/AMX/QSC logic control users only)</t>
  </si>
  <si>
    <t>C303RF</t>
  </si>
  <si>
    <t>Tri-Element Array Hanging Condenser Microphone. Three high quality Cardiod capsules covering 360 Degrees with Built in RF Filter. Black Finish</t>
  </si>
  <si>
    <t>C303WD-P ConMon</t>
  </si>
  <si>
    <t>Dante and AES67 compatible Tri-Element Array Hanging Condenser Microphone. Three high quality Cardiod capsules covering 360 Degrees with Built in RF Filter. Plenum Rated and POE powered White Finish. ConMon Version (For Symetrix logic control users only)</t>
  </si>
  <si>
    <t>C303WD-P UDP</t>
  </si>
  <si>
    <t>Dante and AES67 compatible Tri-Element Array Hanging Condenser Microphone. Three high quality Cardiod capsules covering 360 Degrees with Built in RF Filter. Plenum Rated and POE powered White Finish. UDP Version (For Crestron/AMX/QSC logic control users only)</t>
  </si>
  <si>
    <t>C303WRF</t>
  </si>
  <si>
    <t>Tri-Element Array Hanging Condenser Microphone. Three high quality Cardiod capsules covering 360 Degrees with Built in RF Filter. White Finish</t>
  </si>
  <si>
    <t>C30H-CPPW01-RF</t>
  </si>
  <si>
    <t>Omnidirectional, low profile boundary layer condenser micophone with CPPW01RF. Through desk, ceiling, panel mount. Open ended termination. Satin Black</t>
  </si>
  <si>
    <t>C3100</t>
  </si>
  <si>
    <t>Cardioid Condenser gooseneck microphone, 5", Sonic range, terminated with Fem TA3F connector. PPA not included. For RF Version (GSM-Immunity) Must use Either SM20 RF or SM80 RF Shock Mounts.</t>
  </si>
  <si>
    <t>C3100RFCP</t>
  </si>
  <si>
    <t xml:space="preserve">C3100 Cardioid Condenser microphone, 5", CPPW01RF mounted on Ceiling Plate. Black </t>
  </si>
  <si>
    <t>C3100W-RF-CP</t>
  </si>
  <si>
    <t xml:space="preserve">C3100 Cardioid Condenser microphone, 5", CPPW01RF mounted on Ceiling Plate. White </t>
  </si>
  <si>
    <t>C310R</t>
  </si>
  <si>
    <t>Cardioid condenser microphone, Rigid shaft, 50 degree bend radius, terminated with female TA3F Tini Q connector</t>
  </si>
  <si>
    <t>C312SR</t>
  </si>
  <si>
    <t>Cardioid condenser microphone. Slim line semi rigid gooseneck shaft, 8" shaft length, terminated with Female TA3F Tini Q Connector.</t>
  </si>
  <si>
    <t>C313SR</t>
  </si>
  <si>
    <t>Cardioid condenser microphone, Slim line semi rigid shaft, 12" shaft length, terminated with female TA3F Tini Q Connector.</t>
  </si>
  <si>
    <t>C314SR</t>
  </si>
  <si>
    <t>Cardioid condenser microphone. Slim Line semi rigid gooseneck shaft, 16" shaft length, terminated with Female TA3F Tini Q connector.</t>
  </si>
  <si>
    <t>C31EHALORF</t>
  </si>
  <si>
    <t>Full Flex Shaft, HAO, 5 Pin XLR with RF Filter</t>
  </si>
  <si>
    <t>C31ERF</t>
  </si>
  <si>
    <t>Cardioid condenser gooseneck microphone, Sonic range, 7.2", Full Flex shaft, XLR termination with RF filter</t>
  </si>
  <si>
    <t>C31ESRF</t>
  </si>
  <si>
    <t>Cardioid condenser gooseneck microphone, Sonic range, 7.2", Full Flex shaft, On/Off switch, LED, XLR with RF Filter</t>
  </si>
  <si>
    <t>C31PPARFInLine</t>
  </si>
  <si>
    <t>Cardioid condenser gooseneck microphone, Sonic range, 4", Full Flex shaft, flange mount, open ended with PPA RF In Line.</t>
  </si>
  <si>
    <t>C32EHALORF</t>
  </si>
  <si>
    <t>Cardioid condenser HALO gooseneck microphone, Sonic range, 11.8", Full Flex shaft, XLR termination with RF Filter</t>
  </si>
  <si>
    <t>C32ESRF</t>
  </si>
  <si>
    <t>Cardioid condenser gooseneck microphone, Sonic range, 11.2", Full Flex shaft, On/Off switch, LED, XLR with RF Filter</t>
  </si>
  <si>
    <t>C32ESRRF</t>
  </si>
  <si>
    <t>Cardioid condenser gooseneck microphone, Sonic range, 11.2", Semi Rigid shaft, XLR termination with RF Filter</t>
  </si>
  <si>
    <t>C32PPARFInLine</t>
  </si>
  <si>
    <t>Cardioid condenser gooseneck microphone, Sonic range, 8", Semi Rigid shaft, flange mount, open ended with PPA RF In Line.</t>
  </si>
  <si>
    <t>C33ESRHALORF</t>
  </si>
  <si>
    <t>Cardioid condenser HALO gooseneck microphone, Sonic range, 15.2", Semi Rigid shaft, XLR termination with RF Filter</t>
  </si>
  <si>
    <t>C33ESRRF</t>
  </si>
  <si>
    <t>Cardioid condenser gooseneck microphone, Sonic range, 15.2", Semi Rigid shaft, XLR termination with RF Filter</t>
  </si>
  <si>
    <t>C33ESSRRF</t>
  </si>
  <si>
    <t>Cardioid condenser gooseneck microphone, Sonic range, 15.2", Semi Rigid shaft, On/Off switch, LED, XLR with RF Filter</t>
  </si>
  <si>
    <t>C33SRHaloPPARFInLine</t>
  </si>
  <si>
    <t>Cardioid condenser gooseneck HALO microphone, Sonic range, 12", Semi Rigid shaft, flange mount, open ended with PPA RF In Line</t>
  </si>
  <si>
    <t>C33SRPPARFInLine</t>
  </si>
  <si>
    <t>Cardioid condenser gooseneck microphone, Sonic range, 12", Semi Rigid shaft, flange mount, open ended with PPA RF In Line</t>
  </si>
  <si>
    <t>C34ESRHALORF</t>
  </si>
  <si>
    <t>Cardiod condenser HALO gooseneck microphone, Sonic range, 19.2", Semi Rigid shaft, XLR termination with RF Filter</t>
  </si>
  <si>
    <t>C34ESRRF</t>
  </si>
  <si>
    <t>Cardiod condenser gooseneck microphone, Sonic range, 19.2", Semi Rigid shaft, XLR termination with RF Filter</t>
  </si>
  <si>
    <t>C34ESSRRF</t>
  </si>
  <si>
    <t>Cardioid condenser gooseneck microphone, Sonic range, 19.2", Semi Rigid shaft, On/Off switch, LED, XLR with RF Filter</t>
  </si>
  <si>
    <t>C34SRHaloPPARFInLine</t>
  </si>
  <si>
    <t>Cardioid condenser gooseneck HALO microphone, Sonic range, 16", Semi Rigid shaft, open ended  PPA RF In Line</t>
  </si>
  <si>
    <t>C34SRPPARFInLine</t>
  </si>
  <si>
    <t>Cardioid condenser gooseneck microphone, Sonic range, 16", Semi Rigid shaft, flange mount, open ended with PPA RF In Line</t>
  </si>
  <si>
    <t>C35ESRHALORF</t>
  </si>
  <si>
    <t>Semi rigid shaft, HALO, 5 Pin XLR with RF Filter</t>
  </si>
  <si>
    <t>C35ESRRF</t>
  </si>
  <si>
    <t>Cardioid condenser gooseneck microphone, Sonic range, 23.2", Semi Rigid shaft, XLR termination with RF Filter</t>
  </si>
  <si>
    <t>C35ESSRRF</t>
  </si>
  <si>
    <t>Cardioid condenser gooseneck microphone, Sonic range, 23.2", Semi Rigid shaft, On/Off switch, LED, XLR with RF Filter</t>
  </si>
  <si>
    <t>C35SRPPARFInLine</t>
  </si>
  <si>
    <t>Cardioid condenser gooseneck microphone, Sonic range, 20", Semi Rigid shaft, flange mount, open ended with PPA RF In Line</t>
  </si>
  <si>
    <t>C36ESRHALORF</t>
  </si>
  <si>
    <t>C36ESRRF</t>
  </si>
  <si>
    <t>Cardioid condenser gooseneck microphone, Sonic range, 27.2", Semi Rigid shaft, XLR termination with RF Filter</t>
  </si>
  <si>
    <t>C36ESSRRF</t>
  </si>
  <si>
    <t>Cardioid condenser gooseneck microphone, Sonic range, 27.2", Semi Rigid shaft, On/Off switch, LED, XLR with RF Filter</t>
  </si>
  <si>
    <t>C36SRPPARFInLine</t>
  </si>
  <si>
    <t>Cardioid condenser gooseneck microphone, Sonic range, 24, Semi Rigid shaft, flange mount, open ended with PPA RF In Line</t>
  </si>
  <si>
    <t xml:space="preserve">C3H </t>
  </si>
  <si>
    <t>Cardioid condenser capsule, Black. For use with CA series and S750.</t>
  </si>
  <si>
    <t>C3SERF</t>
  </si>
  <si>
    <t xml:space="preserve">Cardioid condenser Hanging microphone, 25ft cable,PPA RF with XLR termination. Black </t>
  </si>
  <si>
    <t>C3SEWRF</t>
  </si>
  <si>
    <t xml:space="preserve">Cardioid condenser Hanging microphone, 25ft cable, PPA RF with XLR termination. White </t>
  </si>
  <si>
    <t>C3SRFCP</t>
  </si>
  <si>
    <t xml:space="preserve">Cardioid condenser Hanging microphone and CPPW01RF mounted on Ceiling Plate. Black </t>
  </si>
  <si>
    <t>C3SWRFCP</t>
  </si>
  <si>
    <t xml:space="preserve">Cardioid condenser Hanging microphone and  CPPW01RF mounted on Ceiling Plate. White </t>
  </si>
  <si>
    <t>C420E</t>
  </si>
  <si>
    <t>Twin Mount shaft, low profile, Cardioid condenser microphone, dual PPA with 5 Pin XLR. Full redundancy.</t>
  </si>
  <si>
    <t>C430E</t>
  </si>
  <si>
    <t>Twin mount shaft with independent PPA, miniature gooseneck with TA3F connector. For use with C3H, C800H and C900 Capsules (not included).</t>
  </si>
  <si>
    <t>C600</t>
  </si>
  <si>
    <t>Slimline Cardioid condenser microphone.  Includes case and microphone clip.</t>
  </si>
  <si>
    <t>C650E</t>
  </si>
  <si>
    <t>Slimline cardioid condenser microphone, designed with patented shock mount spider suspension for capsule. Includes case and microphone clip.</t>
  </si>
  <si>
    <t>C800ERF</t>
  </si>
  <si>
    <t>Hypercardioid condenser Mini Shotgun microphone, 18.6" Semi Rigid shaft, XLR termination with RF Filter. Black or White</t>
  </si>
  <si>
    <t>C800ESRF</t>
  </si>
  <si>
    <t>Hypercardioid condenser Mini Shotgun microphone, 18.6" Semi Rigid shaft,On/Off switch, XLR termination with RF Filter. Black or White</t>
  </si>
  <si>
    <t>C800H</t>
  </si>
  <si>
    <t>Hypercardioid Mini Shotgun capsule for CA Series and S750</t>
  </si>
  <si>
    <t>C800-SRPPA-RF In-Line</t>
  </si>
  <si>
    <t>Mini Shotgun Hypercardioid condenser microphone, 
semi rigid shaft, 18.3’’</t>
  </si>
  <si>
    <t>C801ERF</t>
  </si>
  <si>
    <t>Hypercardioid condenser Mini shotgun microphone on Knuckle Joint, 10", XLR termination with RF Filter. Black</t>
  </si>
  <si>
    <t>C801ESRF</t>
  </si>
  <si>
    <t>Hypercardioid condenser Mini shotgun microphone on Knuckle Joint, 10", On/Off switch, XLR termination with RF Filter. Black</t>
  </si>
  <si>
    <t>C801PPARFInLine</t>
  </si>
  <si>
    <t>Hypercardioid condenser Mini shotgun microphone on Kkuckle Joint, 6", flange mount, open ended PPA RF In Line</t>
  </si>
  <si>
    <t>C815ERF</t>
  </si>
  <si>
    <t>Hypercardiod condenser Slim Line Short Shotgun microphone, full flex shaft, 12.5", XLR termination with RF Filter</t>
  </si>
  <si>
    <t>C816ESRRF</t>
  </si>
  <si>
    <t>Hypercardiod condenser Slim Line Short Shotgun microphone, semi rigid shaft, 17.5", XLR termination with RF Filter</t>
  </si>
  <si>
    <t>C850E</t>
  </si>
  <si>
    <t>Supercardioid Shotgun microphone, XLR Termination.  Includes windshield and stand adaptor with camera shoe 5/8" stand thread</t>
  </si>
  <si>
    <t>C8SERF</t>
  </si>
  <si>
    <t>Hypercardioid condenser Hanging Mini Shotgun microphone with Knuckle Joint, 25 ft cable, PPA RF with XLR termination. Black</t>
  </si>
  <si>
    <t>C8SEWRF</t>
  </si>
  <si>
    <t>Hypercardioid condenser Hanging Mini Shotgun microphone with Knuckle Joint, 25 ft cable, PPA RF with XLR termination. White</t>
  </si>
  <si>
    <t>C8SRFCP</t>
  </si>
  <si>
    <t xml:space="preserve">Hypercardioid condenser hanging Mini Shotgun microphone with Knuckle Joint, 25ft cable, CPPW01RF mounted on Ceiling Plate.Black  </t>
  </si>
  <si>
    <t>C8SWRFCP</t>
  </si>
  <si>
    <t xml:space="preserve">Hypercardioid condenser hanging Mini Shotgun microphone with Knuckle Joint, 25ft cable, CPPW01RF mounted on Ceiling Plate.White </t>
  </si>
  <si>
    <t>CA30RF</t>
  </si>
  <si>
    <t xml:space="preserve">12" Gooseneck, Semi Rigid shaft, Knuckle Joint, PPA with RF Filter and TA3F connector. </t>
  </si>
  <si>
    <t>CA40RF</t>
  </si>
  <si>
    <t xml:space="preserve">16" Gooseneck, Semi Rigid shaft, Knuckle Joint, PPA with RF Filter and TA3F connector. </t>
  </si>
  <si>
    <t>CA700RF</t>
  </si>
  <si>
    <t>28" Rigid Shaft, Knuckle Joint, PPA with RF Filter and TA3F connector. For use with SM155</t>
  </si>
  <si>
    <t>CA900RF</t>
  </si>
  <si>
    <t>48" Rigid Shaft, Knuckle Joint, PPA with RF Filter and TA3F connector. For use with SM155</t>
  </si>
  <si>
    <t>CAK1RF</t>
  </si>
  <si>
    <t>Phantom Power Adaptor with Knuckle Joint, RF Filter and TA3F connector</t>
  </si>
  <si>
    <t>CAP002</t>
  </si>
  <si>
    <t>Line Level Pre Amplifier designed for use with electret condenser microphones, Line Level output</t>
  </si>
  <si>
    <t>CCRM4000B</t>
  </si>
  <si>
    <t>Wall mounting brackets</t>
  </si>
  <si>
    <t>CCRM4000-M-C303-RF</t>
  </si>
  <si>
    <t>Same as CCRM4000-SL-C303-RF but with (1) Ceiling mounted IR sensor, (1) Remote Control &amp; (1) PSU-18. You need (1) CCRM4000-M to control up to (99) CCRM4000-SL-C303W-RF</t>
  </si>
  <si>
    <t>CCRM4000-M-C303W-RF</t>
  </si>
  <si>
    <t>Same as CCRM4000-SL-C303W-RF but with (1) Ceiling mounted IR sensor, (1) Remote Control &amp; (1) PSU-18. You need (1) CCRM4000-M to control up to (99) CCRM4000-SL-C303W-RF</t>
  </si>
  <si>
    <t>CCRM4000-M-P-C303W-RF</t>
  </si>
  <si>
    <t>Same as CCRM4000-SL-P-C303W-RF but with (1) Ceiling mounted IR sensor, (1) Remote Control &amp; (1) PSU-18. You need (1) CCRM4000-M to control up to (99) CCRM4000-SL-C303W-RF</t>
  </si>
  <si>
    <t>CCRM4000-SL-C303-RF</t>
  </si>
  <si>
    <t>The CCRM4000-SL is supplied with (1) C303-RF and magnet, (1) Ceiling bezel with Locking ring and Safety cable. Ceiling tile bridge included.</t>
  </si>
  <si>
    <t>CCRM4000-SL-C303W-RF</t>
  </si>
  <si>
    <t>The CCRM4000-SL is supplied with (1) C303W-RF and magnet, (1) Ceiling bezel with Locking ring and Safety cable. Ceiling tile bridge included.</t>
  </si>
  <si>
    <t>CCRM4000-SL-P-C303W-RF</t>
  </si>
  <si>
    <t>PLENUM VERSION The CCRM4000-SL is supplied with (1) white C303W-RF and magnet, (1) Ceiling bezel with Locking ring and Safety cable. Ceiling tile bridge included.</t>
  </si>
  <si>
    <t xml:space="preserve">CCRM-PSU-018   </t>
  </si>
  <si>
    <t>PSU 18 (18VDC, 2 Amp Switch Mode Power Supply) (One PSU 18 will power 4 CCRM4000 units)</t>
  </si>
  <si>
    <t>CDT100MK3</t>
  </si>
  <si>
    <t>UDP Version (For Crestron/AMX/QSC logic control users only) Dante Transporter for Audio and Control signals transported over Dante System. AES67 Compatible</t>
  </si>
  <si>
    <t>CDT100MK3-PSU</t>
  </si>
  <si>
    <t>UDP Version (For Crestron/AMX/QSC logic control users only) Dante Transporter for Audio and Control signals transported over Dante System. AES67 Compatible (PSU1205 Power Supply included)</t>
  </si>
  <si>
    <t>CL5FS</t>
  </si>
  <si>
    <t>Miniature Omni Lavalier microphone, open ended termination. Tan</t>
  </si>
  <si>
    <t>CL5FSPPACombo</t>
  </si>
  <si>
    <t>Miniature Omni Lavalier microphone with PPA In Line, XLR termination. Tan</t>
  </si>
  <si>
    <t>CL6</t>
  </si>
  <si>
    <t>Cardioid condenser Lavalier microphone, terminated with a TA4F connector. Dark Grey</t>
  </si>
  <si>
    <t>CMH2000</t>
  </si>
  <si>
    <t>Ultra light miniature headworn microphone, Omni, open ended termination TA4F connector. Black</t>
  </si>
  <si>
    <t>CPPW01</t>
  </si>
  <si>
    <t>Universal Phantom power adaptor 9V to 48V for permanent install, terminal screw connections.</t>
  </si>
  <si>
    <t>CPPW01-RF</t>
  </si>
  <si>
    <t>RF Universal Phantom power adaptor 9V to 48V for permanent install, terminal screw connections.</t>
  </si>
  <si>
    <t>CRM100NRF</t>
  </si>
  <si>
    <t>Retractable through table condenser Omni directional microphone with shock mount and RF Filter Nickel</t>
  </si>
  <si>
    <t>CRM100RF</t>
  </si>
  <si>
    <t>Retractable through table condenser Omni directional microphone with shock mount and RF Filter Black</t>
  </si>
  <si>
    <t>CRM102NRF</t>
  </si>
  <si>
    <t>Retractable through table condenser Cardioid  microphone with shock mount and RF Filter Nickel</t>
  </si>
  <si>
    <t>CRM102RF</t>
  </si>
  <si>
    <t>Retractable through table condenser Cardioid  microphone with shock mount and RF Filter Black</t>
  </si>
  <si>
    <t>CRM200SNRF RGB</t>
  </si>
  <si>
    <t>Retractable through table condenser Omni directional microphone with shock mount and RF Filter. RGB light touch switch. Nickel.</t>
  </si>
  <si>
    <t>CRM200SRF RGB</t>
  </si>
  <si>
    <t>Retractable through table condenser Omni directional microphone with shock mount and RF Filter. RGB light touch switch. Black.</t>
  </si>
  <si>
    <t>CRM202NRF</t>
  </si>
  <si>
    <t>Retractable through-table dual element condenser cardioid microphone with shock mount and RF filter. Nickel.</t>
  </si>
  <si>
    <t>CRM202RF</t>
  </si>
  <si>
    <t>Retractable through-table dual element condenser cardioid microphone with shock mount and RF filter. Black.</t>
  </si>
  <si>
    <t>CRM202SNRF RGB</t>
  </si>
  <si>
    <t>Retractable through-table dual element condenser cardioid microphone with shock mount and RF filter. RGB light touch switch. Nickel.</t>
  </si>
  <si>
    <t xml:space="preserve">CRM202SRF RGB </t>
  </si>
  <si>
    <t>Retractable through-table dual element condenser cardioid microphone with shock mount and RF filter. RGB light touch switch. Black.</t>
  </si>
  <si>
    <t>CRM203NRF</t>
  </si>
  <si>
    <t>Retractable through-table triple element condenser cardioid microphone with shock mount and RF filter. Nickel.</t>
  </si>
  <si>
    <t>CRM203RF</t>
  </si>
  <si>
    <t>Retractable through-table triple element condenser cardioid microphone with shock mount and RF filter. Black.</t>
  </si>
  <si>
    <t xml:space="preserve">CRM203SNRF RGB </t>
  </si>
  <si>
    <t>Retractable through-table triple element condenser cardioid microphone with shock mount and RF filter. RGB light touch switch. Nickel.</t>
  </si>
  <si>
    <t>CRM203SRF RGB</t>
  </si>
  <si>
    <t>Retractable through-table triple element condenser cardioid microphone with shock mount and RF filter. RGB light touch switch. Black.</t>
  </si>
  <si>
    <t>CRMF100NRF Straight Cut</t>
  </si>
  <si>
    <t>Straight Cut Retractable through table condenser Omni directional microphone with shock mount and RF Filter Nickel</t>
  </si>
  <si>
    <t>CRMF100RF Straight Cut</t>
  </si>
  <si>
    <t>Straight Cut Retractable through table condenser Omni directional microphone with shock mount and RF Filter Black</t>
  </si>
  <si>
    <t>CRMF102NRF Straight Cut</t>
  </si>
  <si>
    <t>Straight Cut Retractable through table condenser Cardioid  microphone with shock mount and RF Filter Nickel</t>
  </si>
  <si>
    <t>CRMF102RF Straight Cut</t>
  </si>
  <si>
    <t>Straight Cut Retractable through table condenser Cardioid  microphone with shock mount and RF Filter Black</t>
  </si>
  <si>
    <t>CS1NRF</t>
  </si>
  <si>
    <t xml:space="preserve">Consultant Series Single-element table top boundary layer microphone permanent install or mobile application with RF Filter. Nickel Finish </t>
  </si>
  <si>
    <t>CS1RF</t>
  </si>
  <si>
    <t>Consultant Series Single-element table top boundary layer microphone, permanent install or mobile application with RF Filter. Black Nextel finish</t>
  </si>
  <si>
    <t>CS1S RF RGB</t>
  </si>
  <si>
    <t>Boundry layer microphone with half cardioid polar pattern, built in PPA, RGB LED,Switch and RF Filter. Open ended termination. Black</t>
  </si>
  <si>
    <t>CS1SN RF RGB</t>
  </si>
  <si>
    <t>Boundry layer microphone with half cardioid polar pattern, built in PPA, RGB LED,Switch and RF Filter. Open ended termination. Nickel</t>
  </si>
  <si>
    <t>CS2NRF</t>
  </si>
  <si>
    <t xml:space="preserve">Consultant Series Dual-element table top boundary layer microphone permanent install or mobile application with RF Filter, Nickel finish </t>
  </si>
  <si>
    <t>CS2RF</t>
  </si>
  <si>
    <t xml:space="preserve">Consultant Series Dual-element table top boundary layer microphone permanent install or mobile application with RF Filter, Black Nextel finish </t>
  </si>
  <si>
    <t>CS2S RF RGB</t>
  </si>
  <si>
    <t>Same as CS2 RF, with RGB Halo ring and touch sensitive switch for remote switching from DSP.  Finish Black Nextel</t>
  </si>
  <si>
    <t>CS2SN RF RGB</t>
  </si>
  <si>
    <t>Same as CS2 RF, with RGB Halo ring and touch sensitive switch for remote switching from DSP.  Finish: Nickel</t>
  </si>
  <si>
    <t>CS2SV-RF RGB</t>
  </si>
  <si>
    <t>Same as CS2S-RF RGB but in a 90 degree V-Shape, with RGB Halo ring and touch sensitive switch for remote switching
from DSP. Finish: Nextel Black</t>
  </si>
  <si>
    <t>CS2SVN-RF RGB</t>
  </si>
  <si>
    <t>Same as CS2S-RF RGB but in a 90 degree V-Shape, with RGB Halo ring and touch sensitive switch for remote switching
from DSP. Finish: Nickel</t>
  </si>
  <si>
    <t>CS3NRF</t>
  </si>
  <si>
    <t xml:space="preserve">Consultant Series Tri-element table top boundary layer microphone permanent install or mobile application with RF Filter. Nickel finish </t>
  </si>
  <si>
    <t>CS3RF</t>
  </si>
  <si>
    <t xml:space="preserve">Consultant Series Tri-element table top boundary layer microphone permanent install or mobile application with RF Filter. Black Nextel finish </t>
  </si>
  <si>
    <t>CS3S RF RGB</t>
  </si>
  <si>
    <t>Same as CS3 RF, with RGB Halo ring and touch sensitive switch for remote switching from DSP.  Finish Black Nextel</t>
  </si>
  <si>
    <t>CS3SN RF RGB</t>
  </si>
  <si>
    <t>Same as CS3 RF, with RGB Halo ring and touch sensitive switch for remote switching from DSP.  Finish Nickel</t>
  </si>
  <si>
    <t>CS4NRF</t>
  </si>
  <si>
    <t>Consultant Series Four-element table top boundary layer microphone, permanent install or mobile application with RF Filter. Nickel finish</t>
  </si>
  <si>
    <t>CS4RF</t>
  </si>
  <si>
    <t xml:space="preserve">Consultant Series Four-element table top boundary layer microphone, permanent install or mobile application with RF Filter. Black Nextel finish </t>
  </si>
  <si>
    <t xml:space="preserve">CS4S RF RGB </t>
  </si>
  <si>
    <t>Same as CS4 RF, with RGB Halo ring and touch sensitive switch for remote switching from DSP.  Finish Black</t>
  </si>
  <si>
    <t>CS4SN RF RGB</t>
  </si>
  <si>
    <t>Same as CS4 RF, with RGB Halo ring and touch sensitive switch for remote switching from DSP.  Finish Nickel</t>
  </si>
  <si>
    <t>CUB-33</t>
  </si>
  <si>
    <t>The CUB-33 tabletop USB microphone comes with the popular C3 series Gooseneck, and a capacitive touch screen with integrated VU meter.Robust and easy to set up. It is driverless and compatible with 
Windows and MacOS and is ‘’mute-sync’’ compatible with the Zoom meeting app</t>
  </si>
  <si>
    <t>CUI-2</t>
  </si>
  <si>
    <t>The CUI-2 is a 2 channel USB microphone preamp (with 48V Phantom Power) with a TS RGB touch switch port (switch not included) for muting. It is designed to be mounted under the desk for a clean minimalist workspace. It provides two countersinked knobs: one for gain control and one for brightness control for LED button. Includes a cover plate to block access to the dials and dipswitches. Micro USB cable also included. Requires a USB port of 500ma capacity.</t>
  </si>
  <si>
    <t>CUI-2 XLR Adaptor</t>
  </si>
  <si>
    <t>Optional audio cable for using a XLR microphone with the CUI-2. 3 feet long XLR Female to 6 position euro block adaptor.</t>
  </si>
  <si>
    <t>CW7000</t>
  </si>
  <si>
    <t>Wireless UHF Multi Channel wireless microphone receiver with Hand Held dynamic cardioid microphone transmitter. Freq: 533-569MHz 1 of each CW7000R and CW7000T</t>
  </si>
  <si>
    <t>CW7001</t>
  </si>
  <si>
    <t>Wireless UHF Multi Channel wireless microphone receiver with Belt Pck Transmitter. Freq: 533-569MHz 1 of each CW7000R and CW7001T</t>
  </si>
  <si>
    <t>D33</t>
  </si>
  <si>
    <t>Cardioid Dynamic gooseneck microphone, 12", open ended termination</t>
  </si>
  <si>
    <t>D33E</t>
  </si>
  <si>
    <t>Cardioid Dynamic gooseneck microphone, 14", XLR termination</t>
  </si>
  <si>
    <t>D34</t>
  </si>
  <si>
    <t>Cardioid Dynamic gooseneck microphone, 16", open ended termination</t>
  </si>
  <si>
    <t>D34E</t>
  </si>
  <si>
    <t>Cardioid Dynamic gooseneck microphone, 18", XLR termination</t>
  </si>
  <si>
    <t>D43</t>
  </si>
  <si>
    <t>D43E</t>
  </si>
  <si>
    <t>D44</t>
  </si>
  <si>
    <t>D44E</t>
  </si>
  <si>
    <t>D5</t>
  </si>
  <si>
    <t>Cardioid Dynamic stub microphone, 2.3", XLR termination</t>
  </si>
  <si>
    <t>D525E</t>
  </si>
  <si>
    <t xml:space="preserve">Handheld Supercardioid Dynamic ENG microphone, patented shock mount suspension. Soft touch. Black </t>
  </si>
  <si>
    <t>D550E</t>
  </si>
  <si>
    <t>Handheld Omni directional Dynamic ENG microphone, patented shock mount suspension. Soft touch. Black</t>
  </si>
  <si>
    <t>D700</t>
  </si>
  <si>
    <t>Handheld dynamic super cardioid Finish:Soft Touch Satin Black</t>
  </si>
  <si>
    <t>D700S</t>
  </si>
  <si>
    <t>Handheld dynamic super cardioid with silent on-off switch, Finish:Soft Touch Satin Black</t>
  </si>
  <si>
    <t>DMB1D43LATCH</t>
  </si>
  <si>
    <t xml:space="preserve">Desk Mounting Dynamic Cardioid paging microphone with Latching Switch. </t>
  </si>
  <si>
    <t>DMB1D43PTT</t>
  </si>
  <si>
    <t xml:space="preserve">Desktop Dynamic Cardioid paging microphone  with PTT Switch. </t>
  </si>
  <si>
    <t>DMB2D43Latch</t>
  </si>
  <si>
    <t xml:space="preserve">Desktop Dynamic Cardioid paging microphone  with (2) Latching Switches. </t>
  </si>
  <si>
    <t>DMB2D43PTT</t>
  </si>
  <si>
    <t xml:space="preserve">Desktop Dynamic Cardioid paging microphone with (2) PTT Switches. </t>
  </si>
  <si>
    <t>HW1200</t>
  </si>
  <si>
    <t>Light weight headworn Cardioid microphone with TA4F connector.</t>
  </si>
  <si>
    <t>HW1600</t>
  </si>
  <si>
    <t>Rugged lightweight headworn microphone for aerobics. Water Resitant with open ended termination.</t>
  </si>
  <si>
    <t>LB001PS012</t>
  </si>
  <si>
    <t>LOGI BOX is used for applications requiring local switching as opposed to remote logic control. Includes I/O cable fitted with TA3F connector and PSU.</t>
  </si>
  <si>
    <t>PP2</t>
  </si>
  <si>
    <t>Two Channel Phantom Power Supply</t>
  </si>
  <si>
    <t>PPA</t>
  </si>
  <si>
    <t>Universal Phantom power adaptor 9V to 48V with Bass cut filter, XLR to TA3M</t>
  </si>
  <si>
    <t>PPARF</t>
  </si>
  <si>
    <t>PPM</t>
  </si>
  <si>
    <t>Belt Pack Battery/Phantom Power Supply</t>
  </si>
  <si>
    <t>PSU1205</t>
  </si>
  <si>
    <t>Power supply PST-AC1250 12V 5A switch mode power supply with 5.5 X 2.1mm barrel plug includes 3 pin cord.For CDT100</t>
  </si>
  <si>
    <t>RRM/RCP9000</t>
  </si>
  <si>
    <t>Rack mounting kit dor two CW9000R or CW7000R receivers. Includes blank panel when mounting single unit.</t>
  </si>
  <si>
    <t>S120</t>
  </si>
  <si>
    <t>Table Stand fitted with mounting hole</t>
  </si>
  <si>
    <t>S120X</t>
  </si>
  <si>
    <t>Table stand fitted with Fem 3 pin XLR</t>
  </si>
  <si>
    <t>S120X5</t>
  </si>
  <si>
    <t>Table stand fitted with Fem 5 Pin XLR</t>
  </si>
  <si>
    <t>S120X5SLatch</t>
  </si>
  <si>
    <t>Table stand fitted with Fem 5 pin XLR and  Latching switch</t>
  </si>
  <si>
    <t>S120X5SPTT</t>
  </si>
  <si>
    <t>Table stand fitted with Fem 5 pin XLR and  PTT switch</t>
  </si>
  <si>
    <t>S120XSLatch</t>
  </si>
  <si>
    <t>Table stand fitted with Fem 3 pin XLR and  Latching switch</t>
  </si>
  <si>
    <t>S120XSPTT</t>
  </si>
  <si>
    <t>Table stand fitted with Fem 3 Pin XLR and (PTT) Push to talk switch</t>
  </si>
  <si>
    <t>S133RF</t>
  </si>
  <si>
    <t>Table stand with membrane switch fitted with 3 Pin Fem XLR input and 3 pin Male XLR output.</t>
  </si>
  <si>
    <t>S135RF</t>
  </si>
  <si>
    <t>Table stand with membrane switch fitted with 3 Pin Fem XLR input and 5 pin XLR output.</t>
  </si>
  <si>
    <t>S140RF</t>
  </si>
  <si>
    <t>Table stand with membrane switch fitted with Tini Q input connector, 5 pin XLR output, RF PPA built in.</t>
  </si>
  <si>
    <t>S155RF</t>
  </si>
  <si>
    <t>Table stand with programmable membrane switch, fitted with Fem 5 pin input connector, 5 pin male XLR output.</t>
  </si>
  <si>
    <t>S157RF</t>
  </si>
  <si>
    <t>Table stand with programmable membrane switch fitted with 5 pin female XLR input and 7 pin male XLR output. Logic control.</t>
  </si>
  <si>
    <t>S750</t>
  </si>
  <si>
    <t>Mini table stand fitted with male and female Mini 3 Pin XLR and 10 ft of cable. Requires PPA (not Included).</t>
  </si>
  <si>
    <t>S80SPTT</t>
  </si>
  <si>
    <t>Plate with Switch and Bi-Color LED for the C003E/C004E/C011E/C012E microphones and SM20-RF/SM10.</t>
  </si>
  <si>
    <t>SA3</t>
  </si>
  <si>
    <t>Stand adaptor for C3 or C600 series microphones. 5/8" thread</t>
  </si>
  <si>
    <t>SA5</t>
  </si>
  <si>
    <t>Stand adaptor for D500 series microphone. 5/8" thread</t>
  </si>
  <si>
    <t>SEC07</t>
  </si>
  <si>
    <t>Ceiling mountable boundary layer microphone, mic/line level selection. Finish: White</t>
  </si>
  <si>
    <t>SM10</t>
  </si>
  <si>
    <t>Shockmount pass-through with XLR female to XLR Male</t>
  </si>
  <si>
    <t>SM10-Lock</t>
  </si>
  <si>
    <t>Shockmount pass-through with lockable XLR female to XLR Male</t>
  </si>
  <si>
    <t>SM10-X5</t>
  </si>
  <si>
    <t>Shockmount pass-through with 5 Pin XLR female to 5 Pin XLR Male</t>
  </si>
  <si>
    <t>SM110</t>
  </si>
  <si>
    <t>Table top microphone stand with built in shockmount</t>
  </si>
  <si>
    <t>SM155</t>
  </si>
  <si>
    <t>Shock mount base</t>
  </si>
  <si>
    <t>SM20RF</t>
  </si>
  <si>
    <t>Shock mount through table with TB3M connector Module terminated with 3 Pin XLR includes built in PPA with RF Filter</t>
  </si>
  <si>
    <t>SM70</t>
  </si>
  <si>
    <t>Shock mount, surface fitting</t>
  </si>
  <si>
    <t>SM75</t>
  </si>
  <si>
    <t>Shock absorbing base mount, 3 Pin Fem XLR</t>
  </si>
  <si>
    <t>SM75 X5</t>
  </si>
  <si>
    <t>Shock absorbing base mount, 5 Pin Fem XLR</t>
  </si>
  <si>
    <t>SM80</t>
  </si>
  <si>
    <t xml:space="preserve">Shock absorbing base mount with pocket door, female 3 Pin XLR. </t>
  </si>
  <si>
    <t>SM80G</t>
  </si>
  <si>
    <t>SM80N</t>
  </si>
  <si>
    <t>SM80RF</t>
  </si>
  <si>
    <t>Shock absorbing base mount with pocket door, female TA3F with RF Filter. For Black order SM80 RF Black, Gold order SM80 RF Gold or Nickel order SM80 RF Nickel</t>
  </si>
  <si>
    <t>SM80RFG</t>
  </si>
  <si>
    <t>SM80RFN</t>
  </si>
  <si>
    <t>SM80SNPTT</t>
  </si>
  <si>
    <t>Shock absorbing base mount with flap, 3 pin female XLR, LED, Momentar(PTT) switch. For Nickel order SM80SN PTT</t>
  </si>
  <si>
    <t>SM80SPTT</t>
  </si>
  <si>
    <t>Shock absorbing base mount with flap, 3 pin female XLR, LED, Momentary(PTT) switch.For Black order SM80S Black PTT.</t>
  </si>
  <si>
    <t>SM80SRFNPTT</t>
  </si>
  <si>
    <t>Shock absorbing base mount with pocket door, female TA3F with RF Filter, Led and PTT switch . For Black order SM80SRF Black PTT, or Nickel order SM80SRF Nickel PTT</t>
  </si>
  <si>
    <t>SM80SRFPTT</t>
  </si>
  <si>
    <t>SM80SX5NPTT</t>
  </si>
  <si>
    <t>Shock absorbing mount with flap, 5 Pin Female XLR, LED, Momentary (PTT) Finish:Nickel</t>
  </si>
  <si>
    <t>SM80SX5PTT</t>
  </si>
  <si>
    <t>Shock absorbing mount with flap, 5 Pin Female XLR, LED, Momentary (PTT) Finish:Black</t>
  </si>
  <si>
    <t>SM80X5</t>
  </si>
  <si>
    <t>Shock absorbing base mount with pocket door, female 5 Pin XLR. For Black order SM80 X5 Black</t>
  </si>
  <si>
    <t>SM80NX5</t>
  </si>
  <si>
    <t>Shock absorbing base mount with pocket door, female 5 Pin XLR. For Nickel order SM80 X5 Nickel</t>
  </si>
  <si>
    <t>SM93</t>
  </si>
  <si>
    <t>Shock mount surface fitting, 3 Pin XLR</t>
  </si>
  <si>
    <t>SM95</t>
  </si>
  <si>
    <t>Shock mount surface fitting, 5 Pin XLR</t>
  </si>
  <si>
    <t>SWP2 RGB</t>
  </si>
  <si>
    <t>Switch Plate with RGB Halo ring and touch sensitive switch for the CRMF/ARMF single element straight cut microphone series. Nextel Black Finish</t>
  </si>
  <si>
    <t>SWP2N RGB</t>
  </si>
  <si>
    <t>Switch Plate with RGB Halo ring and touch sensitive switch for the CRMF/ARMF single element straight cut microphone series. Nickel Finish</t>
  </si>
  <si>
    <t>TIM-1000-CM</t>
  </si>
  <si>
    <t>Tracking intelligent microphone with RGB ring,Dante/AES67 compatible, Ceiling mount, White Finish</t>
  </si>
  <si>
    <t>TIM-1000-PM-Kit</t>
  </si>
  <si>
    <t>TIM-1000 Top cover for Pole mount application on standard 2" pole (pole not included). White Finish</t>
  </si>
  <si>
    <t>TMR-1000</t>
  </si>
  <si>
    <t>Mounting Ring for TIM-1000 for new construction drywall applications. 
Includes mounting ears to facilitate 16" or 24" OC stud mounting.Black Finish.</t>
  </si>
  <si>
    <t>TSB-1000</t>
  </si>
  <si>
    <t>Support bridge for TIM-1000</t>
  </si>
  <si>
    <t>TSB-P-1000</t>
  </si>
  <si>
    <t>TIM-1000 Plenum box, including support bridge</t>
  </si>
  <si>
    <t>TS003</t>
  </si>
  <si>
    <t>Touch sensitive switch and RGB Halo ring combination designed for remote switching from DSP</t>
  </si>
  <si>
    <t>TS005</t>
  </si>
  <si>
    <t>Litetouch RGB Halo ring with switch combination for remote switching.  Compatible with all 24mm Clockaudio through table products. Black Finish</t>
  </si>
  <si>
    <t>TS005W</t>
  </si>
  <si>
    <t>Litetouch RGB Halo ring with switch combination for remote switching.  Compatible with all 24mm Clockaudio through table products. White Finish</t>
  </si>
  <si>
    <t>UDA 8000</t>
  </si>
  <si>
    <t>Directional Antenna</t>
  </si>
  <si>
    <t>UOA 8000</t>
  </si>
  <si>
    <t>Omni-Directional Antenna</t>
  </si>
  <si>
    <t>USP 8000</t>
  </si>
  <si>
    <t>Antenna Splitter</t>
  </si>
  <si>
    <t>W2</t>
  </si>
  <si>
    <t>Foam Windscreen for C3 series (C31 to C36, C3100...)</t>
  </si>
  <si>
    <t>W3</t>
  </si>
  <si>
    <t>Foam Windscreen for D3 and D5 series</t>
  </si>
  <si>
    <t>W8</t>
  </si>
  <si>
    <t>Foam Windscreen for C800 Series</t>
  </si>
  <si>
    <t>Contemporary Research</t>
  </si>
  <si>
    <t>5114-001</t>
  </si>
  <si>
    <t>232-ATSC 4K - HDTV Tuner incl. Universal Rack Mount Kit</t>
  </si>
  <si>
    <t>5111-001</t>
  </si>
  <si>
    <t>ATSC-SDI 4i - HDTV Tuner w/ SDI incl. Universal Rack Mount Kit</t>
  </si>
  <si>
    <t>5122-001</t>
  </si>
  <si>
    <t>ATSC-mini - HDTV Tuner  w/ mounting wings</t>
  </si>
  <si>
    <t>VENUE VIZION</t>
  </si>
  <si>
    <t>Venue Vizion - HDTV Distribution and  TV Control (modulator and control selection needed with purchase order)</t>
  </si>
  <si>
    <t>VENUE VIZION IPTV</t>
  </si>
  <si>
    <t>Venue Vizion IPTV - IPTV Distribution and  TV Control (encoder and TV/Displays makes and models needed with purchase order)</t>
  </si>
  <si>
    <t>5105-001</t>
  </si>
  <si>
    <t xml:space="preserve">QMOD-HDMI RGB  HDTV Modulator - IPTV Encoder incl. Universal Rack Mount Kit
</t>
  </si>
  <si>
    <t>5098-001</t>
  </si>
  <si>
    <t>QMOD-HDMI 2 HDTV Modulator - IPTV Encoder incl. Universal Rack Mount Kit</t>
  </si>
  <si>
    <t>5104-001</t>
  </si>
  <si>
    <t>QMOD-SDI HDMI HDTV Modulator - IPTV Encoder incl. Universal Rack Mount Kit</t>
  </si>
  <si>
    <t>5095-001</t>
  </si>
  <si>
    <t>QMOD-SDI 2 HDTV Modulator - IPTV Encoder incl. Universal Rack Mount Kit</t>
  </si>
  <si>
    <t>5097-001</t>
  </si>
  <si>
    <t>QMOD-YPB 2 HDTV Modulator - IPTV Encoder incl. Universal Rack Mount Kit</t>
  </si>
  <si>
    <t>5108-001</t>
  </si>
  <si>
    <t>QIP-HDMI 2  IPTV Encoder incl. Universal Rack Mount Kit</t>
  </si>
  <si>
    <t>5109-001</t>
  </si>
  <si>
    <t>QIP-SDI 2  IPTV Encoder incl. Universal Rack Mount Kit</t>
  </si>
  <si>
    <t>5110-001</t>
  </si>
  <si>
    <t>QIP-SDI HDMI IPTV Encoder incl. Universal Rack Mount Kit</t>
  </si>
  <si>
    <t>5115-001</t>
  </si>
  <si>
    <t>QIP-YPB 2 IPTV Encoder incl. Universal Rack Mount Kit</t>
  </si>
  <si>
    <t>5117-001</t>
  </si>
  <si>
    <t>IP-SDI 4i IPTV Decoder with SDI</t>
  </si>
  <si>
    <t>5302-001</t>
  </si>
  <si>
    <t>Luxul AV‐Series 26‐port/24 PoE+ Gigabit  Managed Switch</t>
  </si>
  <si>
    <t>5081-001</t>
  </si>
  <si>
    <t>QCA9-33 - Active Combiner, 8+1 Inputs, 33dB Max incl. Universal Rack Mount Kit</t>
  </si>
  <si>
    <t>5082-001</t>
  </si>
  <si>
    <t>QCP8 - Passive Combiner, incl. Universal Rack Mount Kit</t>
  </si>
  <si>
    <t>5092-001</t>
  </si>
  <si>
    <t>QDA4-45 - Distribution Amp/Combiner incl. Universal Rack Mount Kit</t>
  </si>
  <si>
    <t>5059-007</t>
  </si>
  <si>
    <t>SW- DX Display Express Software (ONLY)</t>
  </si>
  <si>
    <t>5059-003</t>
  </si>
  <si>
    <t>SSV-DX Display Express PC with Software</t>
  </si>
  <si>
    <t>5041-001</t>
  </si>
  <si>
    <t>ICE-HE-DXL Display Control Center w/ embedded DXL software incl. Universal Rack Mount Kit</t>
  </si>
  <si>
    <t>5041-002</t>
  </si>
  <si>
    <t>IP-DXL Display Control Center w/ embedded DXL software incl. Universal Rack Mount Kit</t>
  </si>
  <si>
    <t>5119-001</t>
  </si>
  <si>
    <t>ICC1-TC Tuner/Controller, low profile, 1-way RF</t>
  </si>
  <si>
    <t>5064-001</t>
  </si>
  <si>
    <t>ICC1-232 RS-232 Display Controller, 1-way RF</t>
  </si>
  <si>
    <t>5101-001</t>
  </si>
  <si>
    <t>ICC1-IRX Display Controller, 1-way RF</t>
  </si>
  <si>
    <t>5116-001</t>
  </si>
  <si>
    <t>QIP-DVX IPTV Decoder/Controller</t>
  </si>
  <si>
    <t>5088-001</t>
  </si>
  <si>
    <t>232-AMP+ Stereo Mixer/Amplifier</t>
  </si>
  <si>
    <t>5096-001</t>
  </si>
  <si>
    <t xml:space="preserve">232-AMP+W -Stereo Mixer/Amplifier 
</t>
  </si>
  <si>
    <t>5103-001</t>
  </si>
  <si>
    <t>SMG-40 Sound masking Generator Amp</t>
  </si>
  <si>
    <t>5401-001</t>
  </si>
  <si>
    <t>PS12-1.0 - 12VDC 1.0A Power Supply</t>
  </si>
  <si>
    <t>5402-001</t>
  </si>
  <si>
    <t>PS12-1.5 - 12VDC 1.5A Power Supply</t>
  </si>
  <si>
    <t>5403-001</t>
  </si>
  <si>
    <t>PS12-2.0 - 12VDC 2.0A Power Supply</t>
  </si>
  <si>
    <t>FPD01</t>
  </si>
  <si>
    <t>5404-001</t>
  </si>
  <si>
    <t>PS12-8-4Y - 12VDC 8A Power Supply with 4-Unit Y cable</t>
  </si>
  <si>
    <t>5400-001</t>
  </si>
  <si>
    <t xml:space="preserve">PS12-500S - 12VDC 500mA Power Supply </t>
  </si>
  <si>
    <t>5405-001</t>
  </si>
  <si>
    <t xml:space="preserve">PS18-3 - 18VDC 3A Power Supply, 2-Pin Terminal  </t>
  </si>
  <si>
    <t>5406-001</t>
  </si>
  <si>
    <t>PS24-2.5 - 24VDC 2.5A Power Supply</t>
  </si>
  <si>
    <t>5008-001</t>
  </si>
  <si>
    <t>RK1 -Single Rack Kit, 1 RU</t>
  </si>
  <si>
    <t>5008-015</t>
  </si>
  <si>
    <t>RK2EZ-Dual Rack Kit, 1 RU</t>
  </si>
  <si>
    <t>5024-004</t>
  </si>
  <si>
    <t>HD2-RC- IR Remote for ICC2-ATSC+ tuner/controller</t>
  </si>
  <si>
    <t>5077-001</t>
  </si>
  <si>
    <t>RF-AB - Switch, self-terminating, closure controlled</t>
  </si>
  <si>
    <t>5061-003</t>
  </si>
  <si>
    <t>CC-COM-B- RS-232 Black Null Modem Cable, DB9F-F, 6'</t>
  </si>
  <si>
    <t>5061-009</t>
  </si>
  <si>
    <t xml:space="preserve">CC-COM-3.5- DB9 female to 3.5mm, Serial cable, 6'. For use on select LG, Samsung and all Sunbrite TV's. </t>
  </si>
  <si>
    <t>5032-001</t>
  </si>
  <si>
    <t>IR-RXC; External IR Receiver (works with most HDTV tuners)</t>
  </si>
  <si>
    <t>5034-001</t>
  </si>
  <si>
    <t>IR-RXD External IR Receiver (works with QIP-D IPTV Decoder)</t>
  </si>
  <si>
    <t>5061-013</t>
  </si>
  <si>
    <t>CC-USB, USB to 3.5mm Power Sensor Cable</t>
  </si>
  <si>
    <t xml:space="preserve">DCi2x1250N </t>
  </si>
  <si>
    <t>Two-channel, 1250W @ 4Ω Power Amplifier with BLU link, 70V/100V</t>
  </si>
  <si>
    <t xml:space="preserve">DCi2x1250 </t>
  </si>
  <si>
    <t>Two-channel, 1250W @ 4Ω Analog Power Amplifier, 70V/100V</t>
  </si>
  <si>
    <t>DCi2x2400N</t>
  </si>
  <si>
    <t>Two-channel, 2400W @ 4Ω Power Amplifier with BLU link, 70V/100V</t>
  </si>
  <si>
    <t>DCi2x300N</t>
  </si>
  <si>
    <t>Two-channel, 300W @ 4Ω Power Amplifier with BLU link, 70V/100V</t>
  </si>
  <si>
    <t>dci2x300</t>
  </si>
  <si>
    <t>Two-channel, 300W @ 4Ω Analog Power Amplifier, 70V/100V</t>
  </si>
  <si>
    <t>DCI2x600N</t>
  </si>
  <si>
    <t>Two-channel, 600W @ 4Ω Power Amplifier with BLU link, 70V/100V</t>
  </si>
  <si>
    <t>DCi2x600</t>
  </si>
  <si>
    <t>Two-channel, 600W @ 4Ω Analog Power Amplifier, 70V/100V</t>
  </si>
  <si>
    <t>DCI4x1250D</t>
  </si>
  <si>
    <t>Dante-enabled amplifier with DSP, network control/monitoring, GPIO, 2/4/8Ω and 70/100V operation.  4 channels, 1250W/ch.</t>
  </si>
  <si>
    <t>DCi4x1250ND</t>
  </si>
  <si>
    <t>Four-channel, 1250W @ 4Ω Power Amplifier with AVB, 70V/100V</t>
  </si>
  <si>
    <t xml:space="preserve">DCI4x1250N </t>
  </si>
  <si>
    <t>Four-channel, 1250W @ 4Ω Power Amplifier with BLU link, 70V/100V</t>
  </si>
  <si>
    <t xml:space="preserve">DCi4x1250 </t>
  </si>
  <si>
    <t>Four-channel, 1250W @ 4Ω Analog Power Amplifier, 70V/100V</t>
  </si>
  <si>
    <t>DCI4x2400N</t>
  </si>
  <si>
    <t>Four-channel, 2400W @ 4Ω Power Amplifier with BLU link, 70V/100V</t>
  </si>
  <si>
    <t>DCi4x300D</t>
  </si>
  <si>
    <t>DCI4300 DANTE</t>
  </si>
  <si>
    <t>DCI4x300N</t>
  </si>
  <si>
    <t>Four-channel, 300W @ 4Ω Power Amplifier with BLU link, 70V/100V</t>
  </si>
  <si>
    <t>DCI4x300</t>
  </si>
  <si>
    <t>Four-channel, 300W @ 4Ω Analog Power Amplifier, 70V/100V</t>
  </si>
  <si>
    <t>DCI4x600D</t>
  </si>
  <si>
    <t>DCI4600 DANTE</t>
  </si>
  <si>
    <t xml:space="preserve">DCI4x600N </t>
  </si>
  <si>
    <t>Four-channel, 600W @ 4Ω Power Amplifier with BLU link, 70V/100V</t>
  </si>
  <si>
    <t xml:space="preserve">DCi4x600 </t>
  </si>
  <si>
    <t>Four-channel, 600W @ 4Ω Analog Power Amplifier, 70V/100V</t>
  </si>
  <si>
    <t>DCI8x300D</t>
  </si>
  <si>
    <t>DCI8300 DANTE</t>
  </si>
  <si>
    <t>DCi8x300N</t>
  </si>
  <si>
    <t>Eight-channel, 300W @ 4Ω Power Amplifier with BLU link, 70V/100V</t>
  </si>
  <si>
    <t>DCi8x300</t>
  </si>
  <si>
    <t>Eight-channel, 300W @ 4Ω Analog Power Amplifier, 70V/100V</t>
  </si>
  <si>
    <t xml:space="preserve">DCI8x600D </t>
  </si>
  <si>
    <t>Dante-enabled amplifier with DSP, network control/monitoring, GPIO, 2/4/8Ω and 70/100V operation.  8 channels, 600W/ch.</t>
  </si>
  <si>
    <t xml:space="preserve">DCi8x600ND </t>
  </si>
  <si>
    <t>Eight-channel, 600W @ 4Ω Power Amplifier with AVB, 70V/100V</t>
  </si>
  <si>
    <t xml:space="preserve">DCI8x600N </t>
  </si>
  <si>
    <t>Eight-channel, 600W @ 4Ω Power Amplifier with BLU link, 70V/100V</t>
  </si>
  <si>
    <t xml:space="preserve">DCi8x600 </t>
  </si>
  <si>
    <t>Eight-channel, 600W @ 4Ω Analog Power Amplifier, 70V/100V</t>
  </si>
  <si>
    <t>CT4150</t>
  </si>
  <si>
    <t>Crown ComTech DriveCore CT4150, Four channel, 125W @ 4/8Ω Power Amp</t>
  </si>
  <si>
    <t>CT475</t>
  </si>
  <si>
    <t>Crown ComTech DriveCore CT475, Four channel, 75W @ 4/8Ω Power Amp</t>
  </si>
  <si>
    <t>CT8150</t>
  </si>
  <si>
    <t>Crown ComTech DriveCore CT8150, Eight channel, 125W @ 4/8Ω Power Amp</t>
  </si>
  <si>
    <t>CT875</t>
  </si>
  <si>
    <t>Crown ComTech DriveCore CT875, Eight channel, 75W @ 4/8Ω Power Amp</t>
  </si>
  <si>
    <t xml:space="preserve">XLS1002 </t>
  </si>
  <si>
    <t>Two-channel, 350W @ 4Ω Power Amplifier</t>
  </si>
  <si>
    <t xml:space="preserve">XLS1502 </t>
  </si>
  <si>
    <t>Two-channel, 525W @ 4Ω Power Amplifier</t>
  </si>
  <si>
    <t xml:space="preserve">XLS2002 </t>
  </si>
  <si>
    <t>Two-channel, 650W @ 4Ω Power Amplifier</t>
  </si>
  <si>
    <t xml:space="preserve">XLS2502 </t>
  </si>
  <si>
    <t>Two-channel, 775W @ 4Ω Power Amplifier</t>
  </si>
  <si>
    <t>Motorized; ceiling recessed, tensioned</t>
  </si>
  <si>
    <t>140093</t>
  </si>
  <si>
    <t>Access V, 104 1/4", 21:9 Ultrawide, Matt White XT1000VB, 110 V</t>
  </si>
  <si>
    <t>140094</t>
  </si>
  <si>
    <t>Access V, 126", 21:9 Ultrawide, Matt White XT1000VB, 110 V</t>
  </si>
  <si>
    <t>140095</t>
  </si>
  <si>
    <t>Access V, 152", 21:9 Ultrawide, Matt White XT1000VB, 110 V</t>
  </si>
  <si>
    <t>140096</t>
  </si>
  <si>
    <t>Access V, 182 3/8", 21:9 Ultrawide, Matt White XT1000VB, 110 V</t>
  </si>
  <si>
    <t>140097</t>
  </si>
  <si>
    <t>Access V, 208 3/8", 21:9 Ultrawide, Matt White XT1000VB, 110 V</t>
  </si>
  <si>
    <t>139114Q</t>
  </si>
  <si>
    <t>Access E, 109", 16:10, Matt White XT1000E, 110 V, with Quiet Motor</t>
  </si>
  <si>
    <t>Motorized; ceiling recessed, non-tensioned</t>
  </si>
  <si>
    <t>139114U</t>
  </si>
  <si>
    <t>Access E, 109", 16:10, Matt White XT1000E, 110 V, with LVC-IV Low Voltage Controller</t>
  </si>
  <si>
    <t>139114QU</t>
  </si>
  <si>
    <t>Access E, 109", 16:10, Matt White XT1000E, 110 V, with Quiet Motor &amp; LVC-IV Low Voltage Controller</t>
  </si>
  <si>
    <t>139114</t>
  </si>
  <si>
    <t>Access E, 109", 16:10, Matt White XT1000E, 110 V</t>
  </si>
  <si>
    <t>139115</t>
  </si>
  <si>
    <t>Access E, 113", 16:10, Matt White XT1000E, 110 V</t>
  </si>
  <si>
    <t>139115Q</t>
  </si>
  <si>
    <t>Access E, 113", 16:10, Matt White XT1000E, 110 V, with Quiet Motor</t>
  </si>
  <si>
    <t>139115U</t>
  </si>
  <si>
    <t>Access E, 113", 16:10, Matt White XT1000E, 110 V, with LVC-IV Low Voltage Controller</t>
  </si>
  <si>
    <t>139115QU</t>
  </si>
  <si>
    <t>Access E, 113", 16:10, Matt White XT1000E, 110 V, with Quiet Motor &amp; LVC-IV Low Voltage Controller</t>
  </si>
  <si>
    <t>139116Q</t>
  </si>
  <si>
    <t>Access E, 123", 16:10, Matt White XT1000E, 110 V, with Quiet Motor</t>
  </si>
  <si>
    <t>139116U</t>
  </si>
  <si>
    <t>Access E, 123", 16:10, Matt White XT1000E, 110 V, with LVC-IV Low Voltage Controller</t>
  </si>
  <si>
    <t>139116QU</t>
  </si>
  <si>
    <t>Access E, 123", 16:10, Matt White XT1000E, 110 V, with Quiet Motor &amp; LVC-IV Low Voltage Controller</t>
  </si>
  <si>
    <t>139116</t>
  </si>
  <si>
    <t>Access E, 123", 16:10, Matt White XT1000E, 110 V</t>
  </si>
  <si>
    <t>139117</t>
  </si>
  <si>
    <t>Access E, 137", 16:10, Matt White XT1000E, 110 V</t>
  </si>
  <si>
    <t>139117Q</t>
  </si>
  <si>
    <t>Access E, 137", 16:10, Matt White XT1000E, 110 V, with Quiet Motor</t>
  </si>
  <si>
    <t>139117U</t>
  </si>
  <si>
    <t>Access E, 137", 16:10, Matt White XT1000E, 110 V, with LVC-IV Low Voltage Controller</t>
  </si>
  <si>
    <t>139117QU</t>
  </si>
  <si>
    <t>Access E, 137", 16:10, Matt White XT1000E, 110 V, with Quiet Motor &amp; LVC-IV Low Voltage Controller</t>
  </si>
  <si>
    <t>139042Q</t>
  </si>
  <si>
    <t>Access E, 165", 16:10, Matt White XT1000E, 110 V, with Quiet Motor</t>
  </si>
  <si>
    <t>139042U</t>
  </si>
  <si>
    <t>Access E, 165", 16:10, Matt White XT1000E, 110 V, with LVC-IV Low Voltage Controller</t>
  </si>
  <si>
    <t>139042QU</t>
  </si>
  <si>
    <t>Access E, 165", 16:10, Matt White XT1000E, 110 V, with Quiet Motor &amp; LVC-IV Low Voltage Controller</t>
  </si>
  <si>
    <t>139042</t>
  </si>
  <si>
    <t>Access E, 165", 16:10, Matt White XT1000E, 110 V</t>
  </si>
  <si>
    <t>139043Q</t>
  </si>
  <si>
    <t>Access E, 189", 16:10, Matt White XT1000E, 110 V, with Quiet Motor</t>
  </si>
  <si>
    <t>139043U</t>
  </si>
  <si>
    <t>Access E, 189", 16:10, Matt White XT1000E, 110 V, with LVC-IV Low Voltage Controller</t>
  </si>
  <si>
    <t>139043QU</t>
  </si>
  <si>
    <t>Access E, 189", 16:10, Matt White XT1000E, 110 V, with Quiet Motor &amp; LVC-IV Low Voltage Controller</t>
  </si>
  <si>
    <t>139043</t>
  </si>
  <si>
    <t>Access E, 189", 16:10, Matt White XT1000E, 110 V</t>
  </si>
  <si>
    <t>139044</t>
  </si>
  <si>
    <t>Access E, 198", 16:10, Matt White XT1000E, 110 V</t>
  </si>
  <si>
    <t>139044U</t>
  </si>
  <si>
    <t>Access E, 198", 16:10, Matt White XT1000E, 110 V, with LVC-IV Low Voltage Controller</t>
  </si>
  <si>
    <t>139045U</t>
  </si>
  <si>
    <t>Access E, 222", 16:10, Matt White XT1000E, 110 V, with LVC-IV Low Voltage Controller</t>
  </si>
  <si>
    <t>139045</t>
  </si>
  <si>
    <t>Access E, 222", 16:10, Matt White XT1000E, 110 V</t>
  </si>
  <si>
    <t>139113QU</t>
  </si>
  <si>
    <t>Access E, 94", 16:10, Matt White XT1000E, 110 V, with Quiet Motor &amp; LVC-IV Low Voltage Controller</t>
  </si>
  <si>
    <t>139113Q</t>
  </si>
  <si>
    <t>Access E, 94", 16:10, Matt White XT1000E, 110 V, with Quiet Motor</t>
  </si>
  <si>
    <t>139113U</t>
  </si>
  <si>
    <t>Access E, 94", 16:10, Matt White XT1000E, 110 V, with LVC-IV Low Voltage Controller</t>
  </si>
  <si>
    <t>139113</t>
  </si>
  <si>
    <t>Access E, 94", 16:10, Matt White XT1000E, 110 V</t>
  </si>
  <si>
    <t>139108</t>
  </si>
  <si>
    <t>Access E, 100", HDTV, Matt White XT1000E, 110 V</t>
  </si>
  <si>
    <t>139108QU</t>
  </si>
  <si>
    <t>Access E, 100", HDTV, Matt White XT1000E, 110 V, with Quiet Motor &amp; LVC-IV Low Voltage Controller</t>
  </si>
  <si>
    <t>139108Q</t>
  </si>
  <si>
    <t>Access E, 100", HDTV, Matt White XT1000E, 110 V, with Quiet Motor</t>
  </si>
  <si>
    <t>139108U</t>
  </si>
  <si>
    <t>Access E, 100", HDTV, Matt White XT1000E, 110 V, with LVC-IV Low Voltage Controller</t>
  </si>
  <si>
    <t>139109Q</t>
  </si>
  <si>
    <t>Access E, 106", HDTV, Matt White XT1000E, 110 V, with Quiet Motor</t>
  </si>
  <si>
    <t>139109U</t>
  </si>
  <si>
    <t>Access E, 106", HDTV, Matt White XT1000E, 110 V, with LVC-IV Low Voltage Controller</t>
  </si>
  <si>
    <t>139109QU</t>
  </si>
  <si>
    <t>Access E, 106", HDTV, Matt White XT1000E, 110 V, with Quiet Motor &amp; LVC-IV Low Voltage Controller</t>
  </si>
  <si>
    <t>139109</t>
  </si>
  <si>
    <t>Access E, 106", HDTV, Matt White XT1000E, 110 V</t>
  </si>
  <si>
    <t>139110</t>
  </si>
  <si>
    <t>Access E, 110", HDTV, Matt White XT1000E, 110 V</t>
  </si>
  <si>
    <t>139110Q</t>
  </si>
  <si>
    <t>Access E, 110", HDTV, Matt White XT1000E, 110 V, with Quiet Motor</t>
  </si>
  <si>
    <t>139110U</t>
  </si>
  <si>
    <t>Access E, 110", HDTV, Matt White XT1000E, 110 V, with LVC-IV Low Voltage Controller</t>
  </si>
  <si>
    <t>139110QU</t>
  </si>
  <si>
    <t>Access E, 110", HDTV, Matt White XT1000E, 110 V, with Quiet Motor &amp; LVC-IV Low Voltage Controller</t>
  </si>
  <si>
    <t>139111U</t>
  </si>
  <si>
    <t>Access E, 119", HDTV, Matt White XT1000E, 110 V, with LVC-IV Low Voltage Controller</t>
  </si>
  <si>
    <t>139111QU</t>
  </si>
  <si>
    <t>Access E, 119", HDTV, Matt White XT1000E, 110 V, with Quiet Motor &amp; LVC-IV Low Voltage Controller</t>
  </si>
  <si>
    <t>139111</t>
  </si>
  <si>
    <t>Access E, 119", HDTV, Matt White XT1000E, 110 V</t>
  </si>
  <si>
    <t>139111Q</t>
  </si>
  <si>
    <t>Access E, 119", HDTV, Matt White XT1000E, 110 V, with Quiet Motor</t>
  </si>
  <si>
    <t>139112</t>
  </si>
  <si>
    <t>Access E, 133", HDTV, Matt White XT1000E, 110 V</t>
  </si>
  <si>
    <t>139112Q</t>
  </si>
  <si>
    <t>Access E, 133", HDTV, Matt White XT1000E, 110 V, with Quiet Motor</t>
  </si>
  <si>
    <t>139112U</t>
  </si>
  <si>
    <t>Access E, 133", HDTV, Matt White XT1000E, 110 V, with LVC-IV Low Voltage Controller</t>
  </si>
  <si>
    <t>139112QU</t>
  </si>
  <si>
    <t>Access E, 133", HDTV, Matt White XT1000E, 110 V, with Quiet Motor &amp; LVC-IV Low Voltage Controller</t>
  </si>
  <si>
    <t>139033Q</t>
  </si>
  <si>
    <t>Access E, 161", HDTV, Matt White XT1000E, 110 V, with Quiet Motor</t>
  </si>
  <si>
    <t>139033U</t>
  </si>
  <si>
    <t>Access E, 161", HDTV, Matt White XT1000E, 110 V, with LVC-IV Low Voltage Controller</t>
  </si>
  <si>
    <t>139033QU</t>
  </si>
  <si>
    <t>Access E, 161", HDTV, Matt White XT1000E, 110 V, with Quiet Motor &amp; LVC-IV Low Voltage Controller</t>
  </si>
  <si>
    <t>139033</t>
  </si>
  <si>
    <t>Access E, 161", HDTV, Matt White XT1000E, 110 V</t>
  </si>
  <si>
    <t>139034</t>
  </si>
  <si>
    <t>Access E, 184", HDTV, Matt White XT1000E, 110 V</t>
  </si>
  <si>
    <t>139034Q</t>
  </si>
  <si>
    <t>Access E, 184", HDTV, Matt White XT1000E, 110 V, with Quiet Motor</t>
  </si>
  <si>
    <t>139034U</t>
  </si>
  <si>
    <t>Access E, 184", HDTV, Matt White XT1000E, 110 V, with LVC-IV Low Voltage Controller</t>
  </si>
  <si>
    <t>139034QU</t>
  </si>
  <si>
    <t>Access E, 184", HDTV, Matt White XT1000E, 110 V, with Quiet Motor &amp; LVC-IV Low Voltage Controller</t>
  </si>
  <si>
    <t>139035U</t>
  </si>
  <si>
    <t>Access E, 193", HDTV, Matt White XT1000E, 110 V, with LVC-IV Low Voltage Controller</t>
  </si>
  <si>
    <t>139035</t>
  </si>
  <si>
    <t>Access E, 193", HDTV, Matt White XT1000E, 110 V</t>
  </si>
  <si>
    <t>139036</t>
  </si>
  <si>
    <t>Access E, 220", HDTV, Matt White XT1000E, 110 V</t>
  </si>
  <si>
    <t>139036U</t>
  </si>
  <si>
    <t>Access E, 220", HDTV, Matt White XT1000E, 110 V, with LVC-IV Low Voltage Controller</t>
  </si>
  <si>
    <t>139107QU</t>
  </si>
  <si>
    <t>Access E, 92", HDTV, Matt White XT1000E, 110 V, with Quiet Motor &amp; LVC-IV Low Voltage Controller</t>
  </si>
  <si>
    <t>139107Q</t>
  </si>
  <si>
    <t>Access E, 92", HDTV, Matt White XT1000E, 110 V, with Quiet Motor</t>
  </si>
  <si>
    <t>139107U</t>
  </si>
  <si>
    <t>Access E, 92", HDTV, Matt White XT1000E, 110 V, with LVC-IV Low Voltage Controller</t>
  </si>
  <si>
    <t>139107</t>
  </si>
  <si>
    <t>Access E, 92", HDTV, Matt White XT1000E, 110 V</t>
  </si>
  <si>
    <t>154102</t>
  </si>
  <si>
    <t>Acumen V, 109", 16:10, Matt White XT1000VB, 110 V</t>
  </si>
  <si>
    <t>Motorized; wall/ceiling mounted, tensioned</t>
  </si>
  <si>
    <t>154102Q</t>
  </si>
  <si>
    <t>Acumen V, 109", 16:10, Matt White XT1000VB, 110 V, with Quiet Motor</t>
  </si>
  <si>
    <t>154103Q</t>
  </si>
  <si>
    <t>Acumen V, 113", 16:10, Matt White XT1000VB, 110 V, with Quiet Motor</t>
  </si>
  <si>
    <t>154103</t>
  </si>
  <si>
    <t>Acumen V, 113", 16:10, Matt White XT1000VB, 110 V</t>
  </si>
  <si>
    <t>154104</t>
  </si>
  <si>
    <t>Acumen V, 123", 16:10, Matt White XT1000VB, 110 V</t>
  </si>
  <si>
    <t>154104Q</t>
  </si>
  <si>
    <t>Acumen V, 123", 16:10, Matt White XT1000VB, 110 V, with Quiet Motor</t>
  </si>
  <si>
    <t>154105Q</t>
  </si>
  <si>
    <t>Acumen V, 137", 16:10, Matt White XT1000VB, 110 V, with Quiet Motor</t>
  </si>
  <si>
    <t>154105</t>
  </si>
  <si>
    <t>Acumen V, 137", 16:10, Matt White XT1000VB, 110 V</t>
  </si>
  <si>
    <t>154101</t>
  </si>
  <si>
    <t>Acumen V, 94", 16:10, Matt White XT1000VB, 110 V</t>
  </si>
  <si>
    <t>154101Q</t>
  </si>
  <si>
    <t>Acumen V, 94", 16:10, Matt White XT1000VB, 110 V, with Quiet Motor</t>
  </si>
  <si>
    <t>154107Q</t>
  </si>
  <si>
    <t>Acumen V, 100", HDTV, Matt White XT1000VB, 110 V, with Quiet Motor</t>
  </si>
  <si>
    <t>154107</t>
  </si>
  <si>
    <t>Acumen V, 100", HDTV, Matt White XT1000VB, 110 V</t>
  </si>
  <si>
    <t>154108</t>
  </si>
  <si>
    <t>Acumen V, 106", HDTV, Matt White XT1000VB, 110 V</t>
  </si>
  <si>
    <t>154108Q</t>
  </si>
  <si>
    <t>Acumen V, 106", HDTV, Matt White XT1000VB, 110 V, with Quiet Motor</t>
  </si>
  <si>
    <t>154109Q</t>
  </si>
  <si>
    <t>Acumen V, 110", HDTV, Matt White XT1000VB, 110 V, with Quiet Motor</t>
  </si>
  <si>
    <t>154109</t>
  </si>
  <si>
    <t>Acumen V, 110", HDTV, Matt White XT1000VB, 110 V</t>
  </si>
  <si>
    <t>154110</t>
  </si>
  <si>
    <t>Acumen V, 119", HDTV, Matt White XT1000VB, 110 V</t>
  </si>
  <si>
    <t>154110Q</t>
  </si>
  <si>
    <t>Acumen V, 119", HDTV, Matt White XT1000VB, 110 V, with Quiet Motor</t>
  </si>
  <si>
    <t>154111Q</t>
  </si>
  <si>
    <t>Acumen V, 133", HDTV, Matt White XT1000VB, 110 V, with Quiet Motor</t>
  </si>
  <si>
    <t>154111</t>
  </si>
  <si>
    <t>Acumen V, 133", HDTV, Matt White XT1000VB, 110 V</t>
  </si>
  <si>
    <t>154106</t>
  </si>
  <si>
    <t>Acumen V, 92", HDTV, Matt White XT1000VB, 110 V</t>
  </si>
  <si>
    <t>154106Q</t>
  </si>
  <si>
    <t>Acumen V, 92", HDTV, Matt White XT1000VB, 110 V, with Quiet Motor</t>
  </si>
  <si>
    <t>154116Q</t>
  </si>
  <si>
    <t>Acumen V, 104 1/4", 21:9 Ultrawide, Matt White XT1000VB, 110 V, with Quiet Motor</t>
  </si>
  <si>
    <t>154116</t>
  </si>
  <si>
    <t>Acumen V, 104 1/4", 21:9 Ultrawide, Matt White XT1000VB, 110 V</t>
  </si>
  <si>
    <t>154117Q</t>
  </si>
  <si>
    <t>Acumen V, 126", 21:9 Ultrawide, Matt White XT1000VB, 110 V, with Quiet Motor</t>
  </si>
  <si>
    <t>154117</t>
  </si>
  <si>
    <t>Acumen V, 126", 21:9 Ultrawide, Matt White XT1000VB, 110 V</t>
  </si>
  <si>
    <t>155101</t>
  </si>
  <si>
    <t>Acumen XL V, 165", 16:10, Matt White XT1000VB, 110 V</t>
  </si>
  <si>
    <t>155102</t>
  </si>
  <si>
    <t>Acumen XL V, 189", 16:10, Matt White XT1000VB, 110 V</t>
  </si>
  <si>
    <t>155103</t>
  </si>
  <si>
    <t>Acumen XL V, 198", 16:10, Matt White XT1000VB, 110 V</t>
  </si>
  <si>
    <t>155104</t>
  </si>
  <si>
    <t>Acumen XL V, 226", 16:10, Matt White XT1000VB, 110 V</t>
  </si>
  <si>
    <t>155105</t>
  </si>
  <si>
    <t>Acumen XL V, 255", 16:10, Matt White XT1000VB, 110 V</t>
  </si>
  <si>
    <t>155106</t>
  </si>
  <si>
    <t>Acumen XL V, 161", HDTV, Matt White XT1000VB, 110 V</t>
  </si>
  <si>
    <t>155107</t>
  </si>
  <si>
    <t>Acumen XL V, 184", HDTV, Matt White XT1000VB, 110 V</t>
  </si>
  <si>
    <t>155108</t>
  </si>
  <si>
    <t>Acumen XL V, 193", HDTV, Matt White XT1000VB, 110 V</t>
  </si>
  <si>
    <t>155109</t>
  </si>
  <si>
    <t>Acumen XL V, 220", HDTV, Matt White XT1000VB, 110 V</t>
  </si>
  <si>
    <t>155110</t>
  </si>
  <si>
    <t>Acumen XL V, 248", HDTV, Matt White XT1000VB, 110 V</t>
  </si>
  <si>
    <t>155119</t>
  </si>
  <si>
    <t>Acumen XL V, 152", 21:9 Ultrawide, Matt White XT1000VB, 110 V</t>
  </si>
  <si>
    <t>155120</t>
  </si>
  <si>
    <t>Acumen XL V, 182 3/8", 21:9 Ultrawide, Matt White XT1000VB, 110 V</t>
  </si>
  <si>
    <t>155121</t>
  </si>
  <si>
    <t>Acumen XL V, 208 3/8", 21:9 Ultrawide, Matt White XT1000VB, 110 V</t>
  </si>
  <si>
    <t>151102</t>
  </si>
  <si>
    <t>Acumen E, 109", 16:10, Matt White XT1000E, 110 V</t>
  </si>
  <si>
    <t>Motorized; wall/ceiling mounted, non-tensioned</t>
  </si>
  <si>
    <t>151102Q</t>
  </si>
  <si>
    <t>Acumen E, 109", 16:10, Matt White XT1000E, 110 V, with Quiet Motor</t>
  </si>
  <si>
    <t>151103Q</t>
  </si>
  <si>
    <t>Acumen E, 113", 16:10, Matt White XT1000E, 110 V, with Quiet Motor</t>
  </si>
  <si>
    <t>151103</t>
  </si>
  <si>
    <t>Acumen E, 113", 16:10, Matt White XT1000E, 110 V</t>
  </si>
  <si>
    <t>151104</t>
  </si>
  <si>
    <t>Acumen E, 123", 16:10, Matt White XT1000E, 110 V</t>
  </si>
  <si>
    <t>151104Q</t>
  </si>
  <si>
    <t>Acumen E, 123", 16:10, Matt White XT1000E, 110 V, with Quiet Motor</t>
  </si>
  <si>
    <t>151105Q</t>
  </si>
  <si>
    <t>Acumen E, 137", 16:10, Matt White XT1000E, 110 V, with Quiet Motor</t>
  </si>
  <si>
    <t>151105</t>
  </si>
  <si>
    <t>Acumen E, 137", 16:10, Matt White XT1000E, 110 V</t>
  </si>
  <si>
    <t>151101</t>
  </si>
  <si>
    <t>Acumen E, 94", 16:10, Matt White XT1000E, 110 V</t>
  </si>
  <si>
    <t>151101Q</t>
  </si>
  <si>
    <t>Acumen E, 94", 16:10, Matt White XT1000E, 110 V, with Quiet Motor</t>
  </si>
  <si>
    <t>151107Q</t>
  </si>
  <si>
    <t>Acumen E, 100", HDTV, Matt White XT1000E, 110 V, with Quiet Motor</t>
  </si>
  <si>
    <t>151107</t>
  </si>
  <si>
    <t>Acumen E, 100", HDTV, Matt White XT1000E, 110 V</t>
  </si>
  <si>
    <t>151108</t>
  </si>
  <si>
    <t>Acumen E, 106", HDTV, Matt White XT1000E, 110 V</t>
  </si>
  <si>
    <t>151108Q</t>
  </si>
  <si>
    <t>Acumen E, 106", HDTV, Matt White XT1000E, 110 V, with Quiet Motor</t>
  </si>
  <si>
    <t>151109Q</t>
  </si>
  <si>
    <t>Acumen E, 110", HDTV, Matt White XT1000E, 110 V, with Quiet Motor</t>
  </si>
  <si>
    <t>151109</t>
  </si>
  <si>
    <t>Acumen E, 110", HDTV, Matt White XT1000E, 110 V</t>
  </si>
  <si>
    <t>151110Q</t>
  </si>
  <si>
    <t>Acumen E, 119", HDTV, Matt White XT1000E, 110 V, with Quiet Motor</t>
  </si>
  <si>
    <t>151110</t>
  </si>
  <si>
    <t>Acumen E, 119", HDTV, Matt White XT1000E, 110 V</t>
  </si>
  <si>
    <t>151111</t>
  </si>
  <si>
    <t>Acumen E, 133", HDTV, Matt White XT1000E, 110 V</t>
  </si>
  <si>
    <t>151111Q</t>
  </si>
  <si>
    <t>Acumen E, 133", HDTV, Matt White XT1000E, 110 V, with Quiet Motor</t>
  </si>
  <si>
    <t>151106Q</t>
  </si>
  <si>
    <t>Acumen E, 92", HDTV, Matt White XT1000E, 110 V, with Quiet Motor</t>
  </si>
  <si>
    <t>151106</t>
  </si>
  <si>
    <t>Acumen E, 92", HDTV, Matt White XT1000E, 110 V</t>
  </si>
  <si>
    <t>152101</t>
  </si>
  <si>
    <t>Acumen XL E, 165", 16:10, Matt White XT1000E, 110 V</t>
  </si>
  <si>
    <t>152102</t>
  </si>
  <si>
    <t>Acumen XL E, 189", 16:10, Matt White XT1000E, 110 V</t>
  </si>
  <si>
    <t>152103</t>
  </si>
  <si>
    <t>Acumen XL E, 198", 16:10, Matt White XT1000E, 110 V</t>
  </si>
  <si>
    <t>152104</t>
  </si>
  <si>
    <t>Acumen XL E, 222", 16:10, Matt White XT1000E, 110 V</t>
  </si>
  <si>
    <t>152105</t>
  </si>
  <si>
    <t>Acumen XL E, 255", 16:10, Matt White XT1000E, 110 V</t>
  </si>
  <si>
    <t>152106</t>
  </si>
  <si>
    <t>Acumen XL E, 161", HDTV, Matt White XT1000E, 110 V</t>
  </si>
  <si>
    <t>152107</t>
  </si>
  <si>
    <t>Acumen XL E, 184", HDTV, Matt White XT1000E, 110 V</t>
  </si>
  <si>
    <t>152108</t>
  </si>
  <si>
    <t>Acumen XL E, 193", HDTV, Matt White XT1000E, 110 V</t>
  </si>
  <si>
    <t>152109</t>
  </si>
  <si>
    <t>Acumen XL E, 220", HDTV, Matt White XT1000E, 110 V</t>
  </si>
  <si>
    <t>152110</t>
  </si>
  <si>
    <t>Acumen XL E, 248", HDTV, Matt White XT1000E, 110 V</t>
  </si>
  <si>
    <t>114616</t>
  </si>
  <si>
    <t>Paragon V, 234", 16:10, Matt White XT1000VB, 110 V</t>
  </si>
  <si>
    <t>Motorized; large venue, tensioned</t>
  </si>
  <si>
    <t>114617</t>
  </si>
  <si>
    <t>Paragon V, 278", 16:10, Matt White XT1000VB, 110 V</t>
  </si>
  <si>
    <t>114618</t>
  </si>
  <si>
    <t>Paragon V, 307", 16:10, Matt White XT1000VB, 110 V</t>
  </si>
  <si>
    <t>114619</t>
  </si>
  <si>
    <t>Paragon V, 335", 16:10, Matt White XT1000VB, 110 V</t>
  </si>
  <si>
    <t>114612</t>
  </si>
  <si>
    <t>Paragon V, 227", HDTV, Matt White XT1000VB, 110 V</t>
  </si>
  <si>
    <t>114613</t>
  </si>
  <si>
    <t>Paragon V, 270", HDTV, Matt White XT1000VB, 110 V</t>
  </si>
  <si>
    <t>114614</t>
  </si>
  <si>
    <t>Paragon V, 300", HDTV, Matt White XT1000VB, 110 V</t>
  </si>
  <si>
    <t>114615</t>
  </si>
  <si>
    <t>Paragon V, 324", HDTV, Matt White XT1000VB, 110 V</t>
  </si>
  <si>
    <t>114228</t>
  </si>
  <si>
    <t>Paragon E, 278", 16:10, Matt White XT1000E, 110 V</t>
  </si>
  <si>
    <t>Motorized; large venue, non-tensioned</t>
  </si>
  <si>
    <t>114229</t>
  </si>
  <si>
    <t>Paragon E, 307", 16:10, Matt White XT1000E, 110 V</t>
  </si>
  <si>
    <t>114230</t>
  </si>
  <si>
    <t>Paragon E, 335", 16:10, Matt White XT1000E, 110 V</t>
  </si>
  <si>
    <t>114231</t>
  </si>
  <si>
    <t>Paragon E, 363", 16:10, Matt White XT1000E, 110 V</t>
  </si>
  <si>
    <t>114232</t>
  </si>
  <si>
    <t>Paragon E, 392", 16:10, Matt White XT1000E, 110 V</t>
  </si>
  <si>
    <t>114209</t>
  </si>
  <si>
    <t>Paragon E, 270", HDTV, Matt White XT1000E, 110 V</t>
  </si>
  <si>
    <t>114210</t>
  </si>
  <si>
    <t>Paragon E, 300", HDTV, Matt White XT1000E, 110 V</t>
  </si>
  <si>
    <t>114211</t>
  </si>
  <si>
    <t>Paragon E, 324", HDTV, Matt White XT1000E, 110 V</t>
  </si>
  <si>
    <t>114216</t>
  </si>
  <si>
    <t>Paragon E, 354", HDTV, Matt White XT1000E, 110 V</t>
  </si>
  <si>
    <t>114208</t>
  </si>
  <si>
    <t>Paragon E, 384", HDTV, Matt White XT1000E, 110 V</t>
  </si>
  <si>
    <t>254208</t>
  </si>
  <si>
    <t>Profile+, 109", 16:10, Matt White XT1000VB</t>
  </si>
  <si>
    <t>Fixed frame; thin bezel/no bezel, tensioned</t>
  </si>
  <si>
    <t>254209</t>
  </si>
  <si>
    <t>Profile+, 113", 16:10, Matt White XT1000VB</t>
  </si>
  <si>
    <t>254210</t>
  </si>
  <si>
    <t>Profile+, 123", 16:10, Matt White XT1000VB</t>
  </si>
  <si>
    <t>254211</t>
  </si>
  <si>
    <t>Profile+, 137", 16:10, Matt White XT1000VB</t>
  </si>
  <si>
    <t>254212</t>
  </si>
  <si>
    <t>Profile+, 165", 16:10, Matt White XT1000VB</t>
  </si>
  <si>
    <t>254251</t>
  </si>
  <si>
    <t>Profile+, 198", 16:10, Matt White XT1000VB</t>
  </si>
  <si>
    <t>254252</t>
  </si>
  <si>
    <t>Profile+, 226", 16:10, Matt White XT1000VB</t>
  </si>
  <si>
    <t>254253</t>
  </si>
  <si>
    <t>Profile+, 255", 16:10, Matt White XT1000VB</t>
  </si>
  <si>
    <t>254254</t>
  </si>
  <si>
    <t>Profile+, 283", 16:10, Matt White XT1000VB</t>
  </si>
  <si>
    <t>254207</t>
  </si>
  <si>
    <t>Profile+, 94", 16:10, Matt White XT1000VB</t>
  </si>
  <si>
    <t>254201</t>
  </si>
  <si>
    <t>Profile+, 100", HDTV, Matt White XT1000VB</t>
  </si>
  <si>
    <t>254202</t>
  </si>
  <si>
    <t>Profile+, 106", HDTV, Matt White XT1000VB</t>
  </si>
  <si>
    <t>254203</t>
  </si>
  <si>
    <t>Profile+, 110", HDTV, Matt White XT1000VB</t>
  </si>
  <si>
    <t>254204</t>
  </si>
  <si>
    <t>Profile+, 119", HDTV, Matt White XT1000VB</t>
  </si>
  <si>
    <t>254205</t>
  </si>
  <si>
    <t>Profile+, 133", HDTV, Matt White XT1000VB</t>
  </si>
  <si>
    <t>254206</t>
  </si>
  <si>
    <t>Profile+, 161", HDTV, Matt White XT1000VB</t>
  </si>
  <si>
    <t>254263</t>
  </si>
  <si>
    <t>Profile+, 193", HDTV, Matt White XT1000VB</t>
  </si>
  <si>
    <t>254264</t>
  </si>
  <si>
    <t>Profile+, 220", HDTV, Matt White XT1000VB</t>
  </si>
  <si>
    <t>254265</t>
  </si>
  <si>
    <t>Profile+, 248", HDTV, Matt White XT1000VB</t>
  </si>
  <si>
    <t>254266</t>
  </si>
  <si>
    <t>Profile+, 275", HDTV, Matt White XT1000VB</t>
  </si>
  <si>
    <t>254200</t>
  </si>
  <si>
    <t>Profile+, 92", HDTV, Matt White XT1000VB</t>
  </si>
  <si>
    <t>254290</t>
  </si>
  <si>
    <t>Profile+, 104 1/4", 21:9 Ultrawide, Matt White XT1000VB</t>
  </si>
  <si>
    <t>254291</t>
  </si>
  <si>
    <t>Profile+, 126", 21:9 Ultrawide, Matt White XT1000VB</t>
  </si>
  <si>
    <t>254292</t>
  </si>
  <si>
    <t>Profile+, 152", 21:9 Ultrawide, Matt White XT1000VB</t>
  </si>
  <si>
    <t>254293</t>
  </si>
  <si>
    <t>Profile+, 182 3/8", 21:9 Ultrawide, Matt White XT1000VB</t>
  </si>
  <si>
    <t>254294</t>
  </si>
  <si>
    <t>Profile+, 208 3/8", 21:9 Ultrawide, Matt White XT1000VB</t>
  </si>
  <si>
    <t>Epson</t>
  </si>
  <si>
    <t>725Wi</t>
  </si>
  <si>
    <t>BrightLink 725Wi, 4,000 lumens, Ultra Short Throw Interactive, WXGA</t>
  </si>
  <si>
    <t>760Wi</t>
  </si>
  <si>
    <t>BrightLink 760Wi, 4,100 lumens, Ultra Short Throw Interactive, WXGA</t>
  </si>
  <si>
    <t>735Fi</t>
  </si>
  <si>
    <t>BrightLink 735Fi, 3,600 lumens, Ultra Short Throw Interactive, 1080p</t>
  </si>
  <si>
    <t>770Fi</t>
  </si>
  <si>
    <t>BrightLink 770Fi, 4,100 lumens, Ultra Short Throw Interactive, 1080p</t>
  </si>
  <si>
    <t>1480Fi</t>
  </si>
  <si>
    <t>BrightLink 1480Fi, 5,000 lumens, Ultra Short Throw Interactive, 1080p</t>
  </si>
  <si>
    <t>1485Fi</t>
  </si>
  <si>
    <t>BrightLink 1485Fi, 5,000 lumens, Ultra Short Throw Interactive, 1080p, Finger Touch Module, Control Pad</t>
  </si>
  <si>
    <t>L200SX</t>
  </si>
  <si>
    <t>PowerLite L200SX, 3,600 lumens, Short-Throw, XGA</t>
  </si>
  <si>
    <t>L200SW</t>
  </si>
  <si>
    <t>PowerLite L200SW, 3,800 lumens, Short-Throw, WXGA</t>
  </si>
  <si>
    <t>L210SW</t>
  </si>
  <si>
    <t>PowerLite L200SW, 4,000 lumens, Short-Throw, WXGA</t>
  </si>
  <si>
    <t>L210SF</t>
  </si>
  <si>
    <t>PowerLite L210SF, 4,000 lumens, Short-Throw, 1080p</t>
  </si>
  <si>
    <t>725W</t>
  </si>
  <si>
    <t>PowerLite 725W, 4,000 lumens, Ultra Short Throw, WXGA</t>
  </si>
  <si>
    <t>760W</t>
  </si>
  <si>
    <t>PowerLite 760W, 4,100 lumens, Ultra Short Throw, WXGA</t>
  </si>
  <si>
    <t>770F</t>
  </si>
  <si>
    <t>PowerLite 770F, 4,100 lumens, Ultra Short Throw, 1080p, white chassis</t>
  </si>
  <si>
    <t>775F</t>
  </si>
  <si>
    <t>PowerLite 775F, 4,100 lumens, Ultra Short Throw, 1080p, black chassis</t>
  </si>
  <si>
    <t>800F</t>
  </si>
  <si>
    <t>PowerLite 800F, 5,000 lumens, Ultra Short Throw, 1080p, white chassis</t>
  </si>
  <si>
    <t>805F</t>
  </si>
  <si>
    <t>PowerLite 805F, 5,000 lumens, Ultra Short Throw, 1080p, black chassis</t>
  </si>
  <si>
    <t>810E</t>
  </si>
  <si>
    <t>PowerLite 810E, 5,000 lumens, Extreme Short Throw with 4K Enhancement, 1080p</t>
  </si>
  <si>
    <t>L520W</t>
  </si>
  <si>
    <t>PowerLite L520W, 5,200 lumens, Standard Throw Lens, WXGA, Optional wireless, no Lens Shift, white chassis</t>
  </si>
  <si>
    <t>L520U</t>
  </si>
  <si>
    <t>PowerLite L520U, 5,200 lumens, Standard Throw Lens, WUXGA, Optional wireless, Lens Shift, white chassis</t>
  </si>
  <si>
    <t>L530U</t>
  </si>
  <si>
    <t>PowerLite L530U, 5,200 lumens, Standard Throw Lens, WUXGA, Built-in wireless, Lens Shift,  white chassis</t>
  </si>
  <si>
    <t>L570U</t>
  </si>
  <si>
    <t>PowerLite L570U, 5,200 lumens, Standard Throw Lens, WUXGA + 4KE , Optional wireless, Lens Shift, white chassis</t>
  </si>
  <si>
    <t>L630U</t>
  </si>
  <si>
    <t>PowerLite L630U, 6,200 lumens, Standard Throw Lens, WUXGA, , Built-in wireless, Lens Shift, white chassis</t>
  </si>
  <si>
    <t>L630SU</t>
  </si>
  <si>
    <t>PowerLite L630SU, 6,000 lumens, Short Throw Lens, WUXGA, Built-in wireless, Lens Shift, white chassis,</t>
  </si>
  <si>
    <t>L635SU</t>
  </si>
  <si>
    <t>PowerLite L635SU, 6,000 lumens, Short Throw Lens, WUXGA, Built-in wireless, Lens Shift, black chassis</t>
  </si>
  <si>
    <t>L730U</t>
  </si>
  <si>
    <t>PowerLite L730U, 7,000 lumens, Standard Throw Fixed Lens, WUXGA,  Built-in wireless, Lens Shift, white chassis</t>
  </si>
  <si>
    <t>L735U</t>
  </si>
  <si>
    <t>PowerLite L735U, 7,000 lumens, Standard Throw Fixed Lens, WUXGA,  Built-in wireless, Lens Shift, black chassis</t>
  </si>
  <si>
    <t>L770U</t>
  </si>
  <si>
    <t xml:space="preserve">PowerLite L770U, 7,000 lumens, Standard Throw Lens, WUXGA + 4KE , Optional wireless, Lens Shift, white chassis </t>
  </si>
  <si>
    <t>L775U</t>
  </si>
  <si>
    <t xml:space="preserve">PowerLite L775U, 7,000 lumens, Standard Throw Lens, WUXGA + 4KE , Optional wireless, Lens Shift, black chassis </t>
  </si>
  <si>
    <t>LightScene EV 110</t>
  </si>
  <si>
    <t>LightScene EV 110, 2,200 lumens, WXGA, white chassis</t>
  </si>
  <si>
    <t>LightScene EV 115</t>
  </si>
  <si>
    <t>LightScene EV 115, 2,200 lumens, WXGA, black chassis</t>
  </si>
  <si>
    <t>EB-PU1006W</t>
  </si>
  <si>
    <t>EB-PU1006W, 6,000 lumens, WUXGA + 4KE, white chassis, lens not included</t>
  </si>
  <si>
    <t>EB-PU1007B</t>
  </si>
  <si>
    <t>EB-PU1007B, 7,000 lumens, WUXGA + 4KE, black chassis, lens not included</t>
  </si>
  <si>
    <t>EB-PU1007W</t>
  </si>
  <si>
    <t>EB-PU1007W, 7,000 lumens, WUXGA + 4KE, white chassis, lens not included</t>
  </si>
  <si>
    <t>EB-PU1008B</t>
  </si>
  <si>
    <t>EB-PU1008B, 8,500 lumens, WUXGA + 4KE, black chassis, lens not included</t>
  </si>
  <si>
    <t>EB-PU1008W</t>
  </si>
  <si>
    <t>EB-PU1008W, 8,500 lumens, WUXGA + 4KE, white chassis, lens not included</t>
  </si>
  <si>
    <t>EB-PU2010B</t>
  </si>
  <si>
    <t>EB-PU2010B, 10,000 lumens, WUXGA + 4KE, black chassis, lens not included</t>
  </si>
  <si>
    <t>EB-PU2010W</t>
  </si>
  <si>
    <t>EB-PU2010W, 10,000 lumens, WUXGA + 4KE, white chassis, lens not included</t>
  </si>
  <si>
    <t>EB-PU2113W</t>
  </si>
  <si>
    <t>EB-PU2113W, 13,000 lumens, WUXGA + 4KE, white chassis, lens not included</t>
  </si>
  <si>
    <t>EB-PU2213B</t>
  </si>
  <si>
    <t>EB-PU2213B, 13,000 lumens, WUXGA + 4KE, black chassis, mechanical shutter, SDI inputs, lens not included</t>
  </si>
  <si>
    <t>EB-PU2116W</t>
  </si>
  <si>
    <t>EB-PU2116W, 16,000 lumens, WUXGA + 4KE, white chassis, lens not included</t>
  </si>
  <si>
    <t>EB-PU2216B</t>
  </si>
  <si>
    <t>EB-PU2216B, 16,000 lumens, WUXGA + 4KE, black chassis, mechanical shutter, SDI inputs, lens not included</t>
  </si>
  <si>
    <t>EB-PU2120W</t>
  </si>
  <si>
    <t>EB-PU2120W, 20,000 lumens, WUXGA + 4KE, white chassis, lens not included</t>
  </si>
  <si>
    <t>EB-PU2220B</t>
  </si>
  <si>
    <t>EB-PU2220B, 20,000 lumens, WUXGA + 4KE, black chassis, mechanical shutter, SDI inputs, lens not included</t>
  </si>
  <si>
    <t>Pro L30000UNL</t>
  </si>
  <si>
    <t>Pro L30000UNL, 30,000 lumens, WUXGA + 4KE, black chassis, mechanical shutter, SDI inputs, lens not included</t>
  </si>
  <si>
    <t>Pro L30002UNL</t>
  </si>
  <si>
    <t>Pro L30002UNL, 30,000 lumens, WUXGA + 4KE, white  chassis, mechanical shutter, SDI inputs, lens not included</t>
  </si>
  <si>
    <t>ELPLX01S</t>
  </si>
  <si>
    <t xml:space="preserve">Ultra-Short Throw for PU100xx Series (0.35:1 throw ratio), Lens in black </t>
  </si>
  <si>
    <t>ELPLX01WS</t>
  </si>
  <si>
    <t xml:space="preserve">Ultra-Short Throw for PU100xx Series (0.35:1 throw ratio), Lens in white </t>
  </si>
  <si>
    <t>ELPLX02S</t>
  </si>
  <si>
    <t xml:space="preserve">Ultra-Short Throw for PU2010x, PU22xxB, PU21xxW Series (0.35:1 throw ratio), Lens in black </t>
  </si>
  <si>
    <t>ELPLX02WS</t>
  </si>
  <si>
    <t xml:space="preserve">Ultra-Short Throw for PU2010x, PU22xxB, PU21xxW Series (0.35:1 throw ratio), Lens in white </t>
  </si>
  <si>
    <t>ELPLU03S</t>
  </si>
  <si>
    <t>Short-Throw Lens #1 (0.65  - 0.78 throw ratio for PU100xx Series; 0.48 - 0.57 throw ratio for PU2xxx Series)</t>
  </si>
  <si>
    <t>ELPLU04</t>
  </si>
  <si>
    <t>Short-Throw Lens #2 (0.87  - 1.06 throw ratio for PU100xx Series; 0.64 - 0.78 throw ratio for PU2xxx Series)</t>
  </si>
  <si>
    <t>ELPLW05</t>
  </si>
  <si>
    <t>Wide-Throw Lens #1 (1.04  - 1.46 throw ratio for PU100xx Series; 0.76 - 1.07 throw ratio for PU2xxx Series)</t>
  </si>
  <si>
    <t>ELPLW06</t>
  </si>
  <si>
    <t>Wide-Throw Lens #2 (1.63 - 2.22 throw ratio for PU100xx Series; 1.19 - 1.63 throw ratio for PU2xxx Series)</t>
  </si>
  <si>
    <t>ELPLW08</t>
  </si>
  <si>
    <t>Wide-Throw Lens #3 (1.18 - 1.66 throw ratio for PU100xx Series; 0.86 - 1.21 throw ratio for PU2xxx Series)</t>
  </si>
  <si>
    <t>ELPLM08</t>
  </si>
  <si>
    <t>Middle-Throw Lens #1 (1.44 - 2.32 throw ratio for PU100xx Series; NA for PU2xxx Series)</t>
  </si>
  <si>
    <t>ELPLM15</t>
  </si>
  <si>
    <t>Middle-Throw Lens #2 (2.16 - 3.48 throw ratio for PU100xx Series; 1.58 - 2.56 throw ratio for PU2xxx Series)</t>
  </si>
  <si>
    <t>ELPLM10</t>
  </si>
  <si>
    <t>MIddle-Throw Lens #3 (3.33 - 5.06 throw ratio for PU100xx Series; 2.43 - 3.71 throw ratio for PU2xxx Series)</t>
  </si>
  <si>
    <t>ELPLM11</t>
  </si>
  <si>
    <t>MIddle-Throw Lens #4 (4.86 - 7.39 throw ratio for PU100xx Series; 3.54 - 5.41 throw ratio for PU2xxx Series)</t>
  </si>
  <si>
    <t>ELPLL08</t>
  </si>
  <si>
    <t>Long-Throw Lens (7.22 - 10.12 throw ratio for PU100xx Series; 5.28 - 7.42 throw ratio for PU2xxx Series)</t>
  </si>
  <si>
    <t>ELPMB64</t>
  </si>
  <si>
    <t>Short-Throw Wall Mount (for L200SX/SW, L210SF/SW)</t>
  </si>
  <si>
    <t>ELPMB62</t>
  </si>
  <si>
    <t>Ultra-Short Wall Mount (for BrightLink, 725Wi, 735Fi, 1480Fi, 1485Fi, 685W, 720W, 750F, 800F)</t>
  </si>
  <si>
    <t>V12H006A02</t>
  </si>
  <si>
    <t>100" Whiteboard for Projection and Dry Erase (16:9) for 735Fi, 1480Fi, 1485Fi</t>
  </si>
  <si>
    <t>ELPFT01</t>
  </si>
  <si>
    <t>Interactive Touch Module for BrightLink Interactive Projectors (for 725Wi, 735Fi,  760Wi, 770Fi, 780Fi, 1480Fi, 1485Fi)</t>
  </si>
  <si>
    <t>ELPEC01</t>
  </si>
  <si>
    <t>PixAlign Camera</t>
  </si>
  <si>
    <t>EV</t>
  </si>
  <si>
    <t>EVID-S4.2B</t>
  </si>
  <si>
    <t xml:space="preserve">Quick install Speaker 4” cabinet 8Ohm black. IP54. Sold only in pairs. </t>
  </si>
  <si>
    <t>F.01U.332.730</t>
  </si>
  <si>
    <t>EVID-S4.2W</t>
  </si>
  <si>
    <t xml:space="preserve">Quick install Speaker 4” cabinet 8Ohm white. IP54. Sold only in pairs. </t>
  </si>
  <si>
    <t>F.01U.332.731</t>
  </si>
  <si>
    <t>EVID-S4.2TB</t>
  </si>
  <si>
    <t xml:space="preserve">Quick install Speaker 4” cabinet 70/100V black. IP54. Sold only in pairs. </t>
  </si>
  <si>
    <t>F.01U.332.732</t>
  </si>
  <si>
    <t>EVID-S4.2TW</t>
  </si>
  <si>
    <t xml:space="preserve">Quick install Speaker 4” cabinet 70/100V white. IP54. Sold only in pairs. </t>
  </si>
  <si>
    <t>F.01U.332.733</t>
  </si>
  <si>
    <t>EVID-S5.2B</t>
  </si>
  <si>
    <t xml:space="preserve">Quick install Speaker 5” cabinet 8Ohm black. IP54. Sold only in pairs. </t>
  </si>
  <si>
    <t>F.01U.332.734</t>
  </si>
  <si>
    <t>EVID-S5.2W</t>
  </si>
  <si>
    <t xml:space="preserve">Quick install Speaker 5” cabinet 8Ohm white. IP54. Sold only in pairs. </t>
  </si>
  <si>
    <t>F.01U.332.735</t>
  </si>
  <si>
    <t>EVID-S5.2TB</t>
  </si>
  <si>
    <t xml:space="preserve">Quick install Speaker 5” cabinet 70/100V black. IP54. Sold only in pairs. </t>
  </si>
  <si>
    <t>F.01U.332.736</t>
  </si>
  <si>
    <t>EVID-S5.2TW</t>
  </si>
  <si>
    <t xml:space="preserve">Quick install Speaker 5” cabinet 70/100V white. IP54. Sold only in pairs. </t>
  </si>
  <si>
    <t>F.01U.332.737</t>
  </si>
  <si>
    <t>EVID-S5.2XB</t>
  </si>
  <si>
    <t xml:space="preserve">Quick install Speaker 5” cabinet 70/100V black. IP65. Sold only in pairs. </t>
  </si>
  <si>
    <t>F.01U.332.738</t>
  </si>
  <si>
    <t>EVID-S5.2XW</t>
  </si>
  <si>
    <t xml:space="preserve">Quick install Speaker 5” cabinet 70/100V white. IP65. Sold only in pairs. </t>
  </si>
  <si>
    <t>F.01U.332.739</t>
  </si>
  <si>
    <t>EVID-S8.2B</t>
  </si>
  <si>
    <t xml:space="preserve">Quick install Speaker 8” cabinet 8Ohm black. IP54. Sold only in pairs.  </t>
  </si>
  <si>
    <t>F.01U.332.740</t>
  </si>
  <si>
    <t>EVID-S8.2W</t>
  </si>
  <si>
    <t xml:space="preserve">Quick install Speaker 8” cabinet 8Ohm white. IP54. Sold only in pairs. </t>
  </si>
  <si>
    <t>F.01U.332.741</t>
  </si>
  <si>
    <t>EVID-S8.2TB</t>
  </si>
  <si>
    <t xml:space="preserve">Quick install Speaker 8” cabinet 70/100V black. IP54. Sold only in pairs. </t>
  </si>
  <si>
    <t>F.01U.332.742</t>
  </si>
  <si>
    <t>EVID-S8.2TW</t>
  </si>
  <si>
    <t xml:space="preserve">Quick install Speaker 8” cabinet 70/100V white. IP54. Sold only in pairs. </t>
  </si>
  <si>
    <t>F.01U.332.743</t>
  </si>
  <si>
    <t>EVID-S12.1B</t>
  </si>
  <si>
    <t xml:space="preserve">Subwoofer 12" cabinet black </t>
  </si>
  <si>
    <t>F.01U.332.746</t>
  </si>
  <si>
    <t>EVID-S12.1W</t>
  </si>
  <si>
    <t xml:space="preserve">Subwoofer 12" cabinet white </t>
  </si>
  <si>
    <t>F.01U.332.747</t>
  </si>
  <si>
    <t>EVID-S10.1DB</t>
  </si>
  <si>
    <t xml:space="preserve">Subwoofer 2x10" cabinet black </t>
  </si>
  <si>
    <t>F.01U.332.744</t>
  </si>
  <si>
    <t>EVID-S10.1DW</t>
  </si>
  <si>
    <t xml:space="preserve">Subwoofer 2x10" cabinet white </t>
  </si>
  <si>
    <t>F.01U.332.745</t>
  </si>
  <si>
    <t>WB-58W-20P</t>
  </si>
  <si>
    <t>Wall-bracket multi pack for EVID-S / LB20 5", 8" white 20pc</t>
  </si>
  <si>
    <t>F.01U.349.768</t>
  </si>
  <si>
    <t>WB-58B-20P</t>
  </si>
  <si>
    <t>Wall-bracket multi pack for EVID-S / LB20 5", 8" black 20pc</t>
  </si>
  <si>
    <t>F.01U.349.769</t>
  </si>
  <si>
    <t>WC-58B</t>
  </si>
  <si>
    <t>Weather cover for 5", 8" black - gland nut cover in case the backup phoenix connector is used (sold and priced per pair)</t>
  </si>
  <si>
    <t>F.01U.344.847</t>
  </si>
  <si>
    <t>WC-58W</t>
  </si>
  <si>
    <t>Weather cover for 5", 8" white - gland nut cover in case the backup phoenix connector is used (sold and priced per pair)</t>
  </si>
  <si>
    <t>F.01U.344.848</t>
  </si>
  <si>
    <t>SMS-2GUS-4</t>
  </si>
  <si>
    <t>2-gang US electrical box adapter 4"</t>
  </si>
  <si>
    <t>F.01U.381.224</t>
  </si>
  <si>
    <t>SMS-TR-5</t>
  </si>
  <si>
    <t>Threaded rod adapter for 5" black (sold per pair)</t>
  </si>
  <si>
    <t>F.01U.344.849</t>
  </si>
  <si>
    <t>SMS-UB-58</t>
  </si>
  <si>
    <t>U-bolt adapter for 5", 8" black, for installation with standard 2" U-bolts (sold and priced per pair)</t>
  </si>
  <si>
    <t>F.01U.344.850</t>
  </si>
  <si>
    <t>UB-10DB</t>
  </si>
  <si>
    <t>U-bracket for 10" subwoofer black</t>
  </si>
  <si>
    <t>F.01U.344.851</t>
  </si>
  <si>
    <t>UB-10DW</t>
  </si>
  <si>
    <t>U-bracket for 10" subwoofer white</t>
  </si>
  <si>
    <t>F.01U.344.852</t>
  </si>
  <si>
    <t>IP-10D-TB</t>
  </si>
  <si>
    <t>250W Transformer input panel for  10" subwoofer. Black.</t>
  </si>
  <si>
    <t>F.01U.344.853</t>
  </si>
  <si>
    <t>IP-10D-TW</t>
  </si>
  <si>
    <t>250W Transformer input panel for  10" subwoofer. White.</t>
  </si>
  <si>
    <t>F.01U.344.854</t>
  </si>
  <si>
    <t>IP-10D-CB</t>
  </si>
  <si>
    <t>Crossover input 10" subwoofer black</t>
  </si>
  <si>
    <t>F.01U.344.855</t>
  </si>
  <si>
    <t>IP-10D-CW</t>
  </si>
  <si>
    <t>Crossover input 10" subwoofer white</t>
  </si>
  <si>
    <t>F.01U.344.856</t>
  </si>
  <si>
    <t>EVID 4.2</t>
  </si>
  <si>
    <t>Two-way twin 4" woofer and 1" horn loaded 100 x 90 tweeter. Black cabinet. Includes mounting system (sold and priced per pair)</t>
  </si>
  <si>
    <t>F.01U.117.528</t>
  </si>
  <si>
    <t>EVID 4.2W</t>
  </si>
  <si>
    <t>Same as model EVID 4.2 but white cabinet (sold and priced per pair)</t>
  </si>
  <si>
    <t>F.01U.117.529</t>
  </si>
  <si>
    <t>EVID 6.2</t>
  </si>
  <si>
    <t>Two-way twin 6" woofer and 1" horn loaded 100 x 90 tweeter. Black cabinet. Includes mounting system (sold and priced per pair)</t>
  </si>
  <si>
    <t>F.01U.117.532</t>
  </si>
  <si>
    <t>EVID 6.2W</t>
  </si>
  <si>
    <t>Same as model EVID 6.2 but white cabinet (sold and priced per pair)</t>
  </si>
  <si>
    <t>F.01U.117.533</t>
  </si>
  <si>
    <t>EVID 4.2T</t>
  </si>
  <si>
    <t>Two-way twin 4" woofer and 1" horn loaded 100 x 90 tweeter. Internal 70/100-volt line transformer. Black cabinet. Includes mounting system. (sold and priced per pair)</t>
  </si>
  <si>
    <t>F.01U.117.530</t>
  </si>
  <si>
    <t>EVID 4.2TW</t>
  </si>
  <si>
    <t>Same as model EVID 4.2t but white cabinet (sold and priced per pair)</t>
  </si>
  <si>
    <t>F.01U.117.531</t>
  </si>
  <si>
    <t>EVID 6.2T</t>
  </si>
  <si>
    <t>Two-way twin 6" woofer and 1" horn loaded 100 x 90 tweeter. Internal 70/100-volt line transformer. Black cabinet. Includes mounting system. (sold and priced per pair)</t>
  </si>
  <si>
    <t>F.01U.117.534</t>
  </si>
  <si>
    <t>EVID 6.2TW</t>
  </si>
  <si>
    <t>Same as model EVID 6.2t but white cabinet (sold and priced per pair)</t>
  </si>
  <si>
    <t>F.01U.117.535</t>
  </si>
  <si>
    <t>AB-ZE</t>
  </si>
  <si>
    <t>Universal array bracket mounting system for up to four ZX1i or EVID 3.2, 4.2 or 6.2 speaker systems in any combination. Enables either pole or threaded rod mounting. Includes one piece bracket, mounting hardware and safety plate.</t>
  </si>
  <si>
    <t>F.01U.274.382</t>
  </si>
  <si>
    <t>TC-4B</t>
  </si>
  <si>
    <t>Weatherized terminal cover for 4.2 series - black - SOLD INDIVIDUALLY</t>
  </si>
  <si>
    <t>F.01U.117.559</t>
  </si>
  <si>
    <t>TC-4W</t>
  </si>
  <si>
    <t>Weatherized terminal cover for 4.2 series - white SOLD INDIVIDUALLY</t>
  </si>
  <si>
    <t>F.01U.117.560</t>
  </si>
  <si>
    <t>TC-6B</t>
  </si>
  <si>
    <t>Weatherized terminal cover for 6.2 series - black - SOLD INDIVIDUALLY</t>
  </si>
  <si>
    <t>F.01U.117.561</t>
  </si>
  <si>
    <t>TC-6W</t>
  </si>
  <si>
    <t>Weatherized terminal cover for 6.2 series - white - SOLD INDIVIDUALLY</t>
  </si>
  <si>
    <t>F.01U.117.562</t>
  </si>
  <si>
    <t>EVID C4.2</t>
  </si>
  <si>
    <t>4" Coaxial speaker with horn loaded Ti coated tweeter - complete with back can enclosure, tile rails, and mounting ring - for 70v/100v or 8-ohm operation. Taps at 30, 15, 7.5, 3.75, and 1.88 watts (sold and priced per pair)</t>
  </si>
  <si>
    <t>F.01U.117.585</t>
  </si>
  <si>
    <t>EVID-C4.2LP</t>
  </si>
  <si>
    <t>4" Coaxial speaker with extreme low profile back can enclosure. Only 3.75" total mounting depth. 70v/100v or 8-Ohm operation (PAIR)</t>
  </si>
  <si>
    <t>F.01U.351.201</t>
  </si>
  <si>
    <t>EVID-C6.2</t>
  </si>
  <si>
    <t>6.5" Coaxial speaker with horn loaded Ti coated tweeter - complete with back can enclosure, tile rails, and mounting ring - for 70v/100v or 8-ohm operation. Taps at 30, 15, 7.5, 3.75, and 1.88 watts (sold and priced per pair)</t>
  </si>
  <si>
    <t>F.01U.351.200</t>
  </si>
  <si>
    <t>EVID C8.2</t>
  </si>
  <si>
    <t>8" Coaxial speaker with horn loaded Ti coated tweeter - complete with back can enclosure, tile rails, and mounting ring - for 70v/100v or 8-ohm operation. Taps at 30, 15, 7.5, 3.75, and 1.88 watts (sold and priced per pair)</t>
  </si>
  <si>
    <t>F.01U.117.587</t>
  </si>
  <si>
    <t>EVID C8.2LP</t>
  </si>
  <si>
    <t>8" coaxial speaker with horn loaded Ti coated tweeter - complete with LOW PROFILE back can enclosure, tile rails, and mounting ring - for 70v/100v or 8-ohm operation. Taps at 30, 15, 7.5, 3.75, and 1.88 watts (sold and priced per pair)</t>
  </si>
  <si>
    <t>F.01U.117.606</t>
  </si>
  <si>
    <t>EVID C8.2HC</t>
  </si>
  <si>
    <t>8" Waveguide Coupled (patent pending) coaxial speaker with horn loaded Ti coated tweeter - ideal for high ceiling environments - complete with back can enclosure, tile rails, and mounting ring - for 70v/100v or 8-ohm operation. Taps at 60, 30, 15, 7.5, and 3.75 watts (sold and priced per pair)</t>
  </si>
  <si>
    <t>F.01U.117.588</t>
  </si>
  <si>
    <t>EVID C10.1</t>
  </si>
  <si>
    <t>10" High performance subwoofer - complete with can enclosure, tile rails, and mounting ring - for 70v/100v or 8-ohm operation. Taps at 60, 30, 15, 7.5, and 3.75 watts (sold and priced per pair)</t>
  </si>
  <si>
    <t>F.01U.117.589</t>
  </si>
  <si>
    <t>EVID-PC6.2</t>
  </si>
  <si>
    <t>Ultra high performance 6" two way ceiling mount loudspeaker system with concentric compression driver (sold and priced per pair)</t>
  </si>
  <si>
    <t>F.01U.306.455</t>
  </si>
  <si>
    <t>EVID-PC8.2</t>
  </si>
  <si>
    <t>Ultra high performance 8" two way ceiling mount loudspeaker system with concentric compression driver (sold and priced per pair)</t>
  </si>
  <si>
    <t>F.01U.306.456</t>
  </si>
  <si>
    <t>EVID C12.2</t>
  </si>
  <si>
    <t>EVID C12.2, Integrated 12" Ceiling Mounted Speaker System - complete with can enclosure, tile rails, and mounting ring - for 70v/100v or 8-ohm operation. Taps at 64, 32, 16, 8, and 4 watts (SOLD INDIVIDUALLY)</t>
  </si>
  <si>
    <t>F.01U.117.807</t>
  </si>
  <si>
    <t>EVID-P6.2B</t>
  </si>
  <si>
    <t>6.5" Coaxial pendant speaker with horn loaded Ti coated tweeter - for 70v/100v or 8-ohm operation. Taps at 30, 15, 7.5, 3.75, and 1.88 watts. Black</t>
  </si>
  <si>
    <t>F.01U.351.202</t>
  </si>
  <si>
    <t>EVID-P6.2W</t>
  </si>
  <si>
    <t>6.5" Coaxial pendant speaker with horn loaded Ti coated tweeter - for 70v/100v or 8-ohm operation. Taps at 30, 15, 7.5, 3.75, and 1.88 watts. White</t>
  </si>
  <si>
    <t>F.01U.351.203</t>
  </si>
  <si>
    <t>WC-PB</t>
  </si>
  <si>
    <t>Weather cover pendant black</t>
  </si>
  <si>
    <t>F.01U.353.369</t>
  </si>
  <si>
    <t>WC-PW</t>
  </si>
  <si>
    <t>Weather cover pendant white</t>
  </si>
  <si>
    <t>F.01U.353.368</t>
  </si>
  <si>
    <t>TR-P</t>
  </si>
  <si>
    <t>Threaded rod adapter for pendant</t>
  </si>
  <si>
    <t>F.01U.353.367</t>
  </si>
  <si>
    <t>FM4.2</t>
  </si>
  <si>
    <t>FM4.2, Dual 4” Flush Mount In-Wall Speaker System, 8 OHM,/70v operation, (sold and priced per pair)</t>
  </si>
  <si>
    <t>F.01U.120.596</t>
  </si>
  <si>
    <t>FM6.2</t>
  </si>
  <si>
    <t>FM6.2, Dual 6” Flush Mount In-Wall Speaker System, 8 OHM,/70v operation, (sold and priced per pair)</t>
  </si>
  <si>
    <t>F.01U.120.597</t>
  </si>
  <si>
    <t>SE-42</t>
  </si>
  <si>
    <t>EVID FM 4.2 Surface Mount Enclosure Kit (sold and priced per pair)</t>
  </si>
  <si>
    <t>F.01U.118.945</t>
  </si>
  <si>
    <t>SE-62</t>
  </si>
  <si>
    <t>EVID FM 6.2 Surface Mount Enclosure Kit (sold and priced per pair)</t>
  </si>
  <si>
    <t>F.01U.118.946</t>
  </si>
  <si>
    <t>MIS8C</t>
  </si>
  <si>
    <t>10-watt paging projector, 100° x 100°, weather resistant, flush mount, 8 ohms, gray</t>
  </si>
  <si>
    <t>F.01U.149.020</t>
  </si>
  <si>
    <t>PA430</t>
  </si>
  <si>
    <t>30-watt constant-directivity paging projector, 60° x 40°, weather resistant, integral swivel bracket, 8 ohms, tan</t>
  </si>
  <si>
    <t>F.01U.120.449</t>
  </si>
  <si>
    <t>PA430T</t>
  </si>
  <si>
    <t>30-watt constant-directivity paging projector, 60° x 40°, weather resistant, integral swivel bracket, 30-watt 25/70.7/100-volt transformer (30-, 15-, 7.5-, 3.7- and 1.9-watt taps), tan</t>
  </si>
  <si>
    <t>F.01U.120.450</t>
  </si>
  <si>
    <t>MM2F</t>
  </si>
  <si>
    <t>25-watt paging projector, 82° x 82°, submergence proof, flush mount, 16 ohms, gray</t>
  </si>
  <si>
    <t>F.01U.149.024</t>
  </si>
  <si>
    <t>UW30</t>
  </si>
  <si>
    <t>30-watt underwater speaker with integral 50-ft cable, flush mount (in wet niche), 8 ohms, pool blue</t>
  </si>
  <si>
    <t>F.01U.120.696</t>
  </si>
  <si>
    <t>ND76</t>
  </si>
  <si>
    <t>ND76, cardioid dynamic vocal mic</t>
  </si>
  <si>
    <t>F.01U.314.721</t>
  </si>
  <si>
    <t>ND76S</t>
  </si>
  <si>
    <t>ND76S, cardioid dynamic vocal mic w/switch</t>
  </si>
  <si>
    <t>F.01U.314.722</t>
  </si>
  <si>
    <t>ND86</t>
  </si>
  <si>
    <t>ND86, supercardioid dynamic vocal mic</t>
  </si>
  <si>
    <t>F.01U.314.723</t>
  </si>
  <si>
    <t>ND96</t>
  </si>
  <si>
    <t>ND96, supercardioid dynamic vocal mic</t>
  </si>
  <si>
    <t>F.01U.314.724</t>
  </si>
  <si>
    <t>ND44</t>
  </si>
  <si>
    <t>ND44, supercardioid dynamic drum/instrument mic</t>
  </si>
  <si>
    <t>F.01U.314.725</t>
  </si>
  <si>
    <t>ND46</t>
  </si>
  <si>
    <t>ND46, supercardioid dynamic instrument mic</t>
  </si>
  <si>
    <t>F.01U.314.726</t>
  </si>
  <si>
    <t>ND66</t>
  </si>
  <si>
    <t>ND66, cardioid condenser instrument mic</t>
  </si>
  <si>
    <t>F.01U.314.727</t>
  </si>
  <si>
    <t>ND68</t>
  </si>
  <si>
    <t>ND68, supercardioid kick drum mic</t>
  </si>
  <si>
    <t>F.01U.315.065</t>
  </si>
  <si>
    <t>PL80A</t>
  </si>
  <si>
    <t>PL80a, Vocal microphone, Dynamic, Supercardioid, Ultra low noise</t>
  </si>
  <si>
    <t>F.01U.120.617</t>
  </si>
  <si>
    <t>PL80C</t>
  </si>
  <si>
    <t>PL80c, Vocal microphone, Dynamic, Supercardioid, Ultra low noise / CLASSIC FINISH</t>
  </si>
  <si>
    <t>F.01U.120.618</t>
  </si>
  <si>
    <t>PL33</t>
  </si>
  <si>
    <t>PL33, Kick drum microphone, Dynamic, Supercardioid</t>
  </si>
  <si>
    <t>F.01U.120.619</t>
  </si>
  <si>
    <t>PL35</t>
  </si>
  <si>
    <t>PL35, Tom/snare microphone, Dynamic, Supercardioid, Integrated swivel and clamp</t>
  </si>
  <si>
    <t>F.01U.167.782</t>
  </si>
  <si>
    <t>PL37</t>
  </si>
  <si>
    <t>PL37, Overhead microphone, Condenser, Cardioid</t>
  </si>
  <si>
    <t>F.01U.120.621</t>
  </si>
  <si>
    <t>RE320</t>
  </si>
  <si>
    <t>Variable-D dynamic cardioid microphone for vocals and instruments with 2 position personality switch</t>
  </si>
  <si>
    <t>F.01U.120.616</t>
  </si>
  <si>
    <t>RE420</t>
  </si>
  <si>
    <t>Premium condenser cardioid vocal microphone</t>
  </si>
  <si>
    <t>F.01U.346.236</t>
  </si>
  <si>
    <t>RE520</t>
  </si>
  <si>
    <t>Premium condenser supercardioid vocal microphone</t>
  </si>
  <si>
    <t>F.01U.346.237</t>
  </si>
  <si>
    <t>RE920TX</t>
  </si>
  <si>
    <t>Premium cardioid instrument mic with a custom shock mounting clip and TA4 connector</t>
  </si>
  <si>
    <t>F.01U.391.502</t>
  </si>
  <si>
    <t>635A</t>
  </si>
  <si>
    <t>"Classic" dynamic omnidirectional interview microphone, fawn beige</t>
  </si>
  <si>
    <t>F.01U.118.054</t>
  </si>
  <si>
    <t>635L</t>
  </si>
  <si>
    <t>635L, Omnidirectional broadcast interview microphone, beige, 9.5" long</t>
  </si>
  <si>
    <t>F.01U.306.159</t>
  </si>
  <si>
    <t>635A/B</t>
  </si>
  <si>
    <t>"Classic" dynamic omnidirectional interview microphone, black</t>
  </si>
  <si>
    <t>F.01U.118.052</t>
  </si>
  <si>
    <t>635L/B</t>
  </si>
  <si>
    <t>635L/B, Omnidirectional broadcast interview microphone, black, 9.5" long</t>
  </si>
  <si>
    <t>F.01U.306.160</t>
  </si>
  <si>
    <t>635N/D-B</t>
  </si>
  <si>
    <t>N/DYM® dynamic omnidirectional interview microphone, black</t>
  </si>
  <si>
    <t>F.01U.118.053</t>
  </si>
  <si>
    <t>RE20</t>
  </si>
  <si>
    <t>"Classic" Variable-D dynamic cardioid studio microphone</t>
  </si>
  <si>
    <t>F.01U.117.389</t>
  </si>
  <si>
    <t>RE20-BLACK</t>
  </si>
  <si>
    <t>Variable-D announcers microphone, Black</t>
  </si>
  <si>
    <t>F.01U.388.793</t>
  </si>
  <si>
    <t>RE27N/D</t>
  </si>
  <si>
    <t>N/DYM Variable-D® dynamic cardioid studio microphone</t>
  </si>
  <si>
    <t>F.01U.117.390</t>
  </si>
  <si>
    <t>RE50/B</t>
  </si>
  <si>
    <t>F.01U.117.391</t>
  </si>
  <si>
    <t>RE50L</t>
  </si>
  <si>
    <t>RE50L, Omnidirectional broadcast interview microphone, black, 9.5" long</t>
  </si>
  <si>
    <t>F.01U.306.161</t>
  </si>
  <si>
    <t>RE50N/D-B</t>
  </si>
  <si>
    <t>F.01U.117.392</t>
  </si>
  <si>
    <t>RE50N/D-L</t>
  </si>
  <si>
    <t>RE50N/D-L, Omnidirectional broadcast interview microphone w/neodmium element, black, 9.5" long</t>
  </si>
  <si>
    <t>F.01U.306.162</t>
  </si>
  <si>
    <t>RE92L</t>
  </si>
  <si>
    <t>Premium lapel microphone, cardioid.</t>
  </si>
  <si>
    <t>F.01U.391.498</t>
  </si>
  <si>
    <t>PC DESKTOP-5</t>
  </si>
  <si>
    <t>Freestanding gooseneck multi-pattern condenser mic. Mic on/off switch, mic status LED. 5-inch gooseneck</t>
  </si>
  <si>
    <t>F.01U.117.664</t>
  </si>
  <si>
    <t>PC DESKTOP-12</t>
  </si>
  <si>
    <t>Freestanding gooseneck multi-pattern condenser mic. Mic on/off switch, mic status LED. 12-inch gooseneck</t>
  </si>
  <si>
    <t>F.01U.117.665</t>
  </si>
  <si>
    <t>PC DESKTOP-18</t>
  </si>
  <si>
    <t>Freestanding gooseneck multi-pattern condenser mic. Mic on/off switch, mic status LED. 18-inch gooseneck</t>
  </si>
  <si>
    <t>F.01U.117.666</t>
  </si>
  <si>
    <t>PC PLUS-5</t>
  </si>
  <si>
    <t>Multi-pattern gooseneck microphone with mic switch and universal base, 5-inch gooseneck</t>
  </si>
  <si>
    <t>F.01U.117.660</t>
  </si>
  <si>
    <t>PC PLUS-12</t>
  </si>
  <si>
    <t>Multi-pattern gooseneck microphone with mic switch and universal base, 12-inch gooseneck</t>
  </si>
  <si>
    <t>F.01U.117.615</t>
  </si>
  <si>
    <t>PC PLUS-18</t>
  </si>
  <si>
    <t>Multi-pattern gooseneck microphone with mic switch and universal base, 18-inch gooseneck</t>
  </si>
  <si>
    <t>F.01U.117.614</t>
  </si>
  <si>
    <t>PC SATELLITE-5</t>
  </si>
  <si>
    <t>Freestanding wireless gooseneck multi-pattern condenser mic. Mic on/off switch, mic status LED. (Works only with EV RE-1 or RE-2, and Telex FMR-1000, FMR-500 or Safe-1000 wireless systems.) 5-inch gooseneck</t>
  </si>
  <si>
    <t>F.01U.117.649</t>
  </si>
  <si>
    <t>PC SATELLITE-12</t>
  </si>
  <si>
    <t>Freestanding wireless gooseneck multi-pattern condenser mic. Mic on/off switch, mic status LED. (Works only with EV RE-1 or RE-2, and Telex FMR-1000, FMR-500 or Safe-1000 wireless systems.) 12-inch gooseneck</t>
  </si>
  <si>
    <t>F.01U.117.650</t>
  </si>
  <si>
    <t>PC SATELLITE-18</t>
  </si>
  <si>
    <t>Freestanding wireless gooseneck multi-pattern condenser mic. Mic on/off switch, mic status LED. (Works only with EV RE-1 or RE-2, and Telex FMR-1000, FMR-500 or Safe-1000 wireless systems.) 18-inch gooseneck</t>
  </si>
  <si>
    <t>F.01U.117.651</t>
  </si>
  <si>
    <t>PC-12/FL</t>
  </si>
  <si>
    <t>Multi-pattern gooseneck microphone with flange mount, 12-inch gooseneck</t>
  </si>
  <si>
    <t>F.01U.117.617</t>
  </si>
  <si>
    <t>PC-18/FL</t>
  </si>
  <si>
    <t>Multi-pattern gooseneck microphone with flange mount, 18-inch gooseneck</t>
  </si>
  <si>
    <t>F.01U.117.616</t>
  </si>
  <si>
    <t>PC-12/XLR</t>
  </si>
  <si>
    <t>Multi-pattern gooseneck microphone with XLR base, 12-inch gooseneck</t>
  </si>
  <si>
    <t>F.01U.117.619</t>
  </si>
  <si>
    <t>PC-18/XLR</t>
  </si>
  <si>
    <t>Multi-pattern gooseneck microphone with XLR base, 18-inch gooseneck</t>
  </si>
  <si>
    <t>F.01U.117.618</t>
  </si>
  <si>
    <t>RE90P-12</t>
  </si>
  <si>
    <t>Gooseneck podium cardioid condenser microphone with XLR base, 12-inch gooseneck</t>
  </si>
  <si>
    <t>F.01U.391.495</t>
  </si>
  <si>
    <t>RE90P-18</t>
  </si>
  <si>
    <t>Gooseneck podium cardioid condenser microphone with XLR base, 18-inch gooseneck</t>
  </si>
  <si>
    <t>F.01U.391.494</t>
  </si>
  <si>
    <t>PC BOUNDARY</t>
  </si>
  <si>
    <t>Wired boundary multi-pattern condenser mic. Mic on/off switch, mic status LED.</t>
  </si>
  <si>
    <t>F.01U.120.587</t>
  </si>
  <si>
    <t>PC BOUNDARY SAT</t>
  </si>
  <si>
    <t>Wireless boundary multi-pattern condenser mic. Mic on/off switch, mic status LED. (Works only with EV RE-V, RE-2, RE-1, and Telex FMR-1000, FMR-500 or Safe-1000 wireless systems.)</t>
  </si>
  <si>
    <t>F.01U.120.570</t>
  </si>
  <si>
    <t>RE90B</t>
  </si>
  <si>
    <t>Boundary condenser microphone, black</t>
  </si>
  <si>
    <t>F.01U.391.492</t>
  </si>
  <si>
    <t>RE90BW</t>
  </si>
  <si>
    <t>Boundary condenser microphone, white</t>
  </si>
  <si>
    <t>F.01U.391.493</t>
  </si>
  <si>
    <t>RE92H</t>
  </si>
  <si>
    <t>Premium hanging choir cardioid condenser microphone with in-line preamp, XLR-type connector, 25ft cable. Black.</t>
  </si>
  <si>
    <t>F.01U.391.500</t>
  </si>
  <si>
    <t>RE92HW</t>
  </si>
  <si>
    <t>Premium hanging choir cardioid condenser microphone with in-line preamp, XLR-type connector, 25ft cable. White.</t>
  </si>
  <si>
    <t>F.01U.391.501</t>
  </si>
  <si>
    <t>RE90H</t>
  </si>
  <si>
    <t>Hanging choir condenser with in-line preamp with XLR-type connector, 25-ft cable, black</t>
  </si>
  <si>
    <t>F.01U.391.496</t>
  </si>
  <si>
    <t>RE90HW</t>
  </si>
  <si>
    <t>Hanging choir condenser with in-line preamp with XLR-type connector, 25-ft cable, white</t>
  </si>
  <si>
    <t>F.01U.391.497</t>
  </si>
  <si>
    <t>450D</t>
  </si>
  <si>
    <t>Dynamic, Normally open, Low Z, Handheld paging mic</t>
  </si>
  <si>
    <t>F.01U.391.592</t>
  </si>
  <si>
    <t>785L</t>
  </si>
  <si>
    <t>Dynamic, No switch, Low Z, Gooseneck paging mic</t>
  </si>
  <si>
    <t>F.01U.391.503</t>
  </si>
  <si>
    <t>MP785</t>
  </si>
  <si>
    <t>Dynamic, 3 Zone, Low Z, Gooseneck paging mic</t>
  </si>
  <si>
    <t>F.01U.391.591</t>
  </si>
  <si>
    <t>NC450D</t>
  </si>
  <si>
    <t>Dynamic, Normally open, Low Z, handheld paging mic</t>
  </si>
  <si>
    <t>F.01U.391.504</t>
  </si>
  <si>
    <t>SR785L</t>
  </si>
  <si>
    <t>Dynamic, Normally closed, Low Z, Gooseneck paging mic</t>
  </si>
  <si>
    <t>F.01U.391.589</t>
  </si>
  <si>
    <t>SR785LN/O</t>
  </si>
  <si>
    <t>Dynamic, Normally open, Low Z, Gooseneck paging mic</t>
  </si>
  <si>
    <t>F.01U.391.590</t>
  </si>
  <si>
    <t>US600EL</t>
  </si>
  <si>
    <t>Dynamic noise-canceling grip-to-talk microphone, black</t>
  </si>
  <si>
    <t>F.01U.118.017</t>
  </si>
  <si>
    <t>US602FL</t>
  </si>
  <si>
    <t>F.01U.118.035</t>
  </si>
  <si>
    <t>WP-300</t>
  </si>
  <si>
    <t>Dynamic Plate Mic, Low Z</t>
  </si>
  <si>
    <t>F.01U.391.596</t>
  </si>
  <si>
    <t>WP-300S</t>
  </si>
  <si>
    <t>Dynamic Plate Mic, Low Z, w/switch</t>
  </si>
  <si>
    <t>F.01U.391.595</t>
  </si>
  <si>
    <t>326</t>
  </si>
  <si>
    <t>Stand clamp for NDYM and Cobalt microphones.</t>
  </si>
  <si>
    <t>F.01U.144.589</t>
  </si>
  <si>
    <t>376</t>
  </si>
  <si>
    <t>Windscreen pop filter for RE16, RE50, N/D967, 767a, 367s, 267a, RE410 and RE510</t>
  </si>
  <si>
    <t>F.01U.117.910</t>
  </si>
  <si>
    <t>309A</t>
  </si>
  <si>
    <t>Suspension shock mount for RE20, RE20-BLACK, RE27N/D, and RE320, black</t>
  </si>
  <si>
    <t>F.01U.117.892</t>
  </si>
  <si>
    <t>314E</t>
  </si>
  <si>
    <t>Windscreen for 635 model field production mics, gray</t>
  </si>
  <si>
    <t>F.01U.117.894</t>
  </si>
  <si>
    <t>323S</t>
  </si>
  <si>
    <t>Quick-disconnect "soft" stand clamp for 1-inch diameter microphones - including RE50 and tapered mics - N/D967, 767a, 367s, 267a, 167, and RE510</t>
  </si>
  <si>
    <t>F.01U.117.896</t>
  </si>
  <si>
    <t>320</t>
  </si>
  <si>
    <t>Stand clamp for RE20, RE20-Black, RE27N/D, and RE320</t>
  </si>
  <si>
    <t>F.01U.144.952</t>
  </si>
  <si>
    <t>379-1</t>
  </si>
  <si>
    <t>Black windscreen pop filter for RE50, ND76, ND86, ND96, RE420 and RE520</t>
  </si>
  <si>
    <t>F.01U.117.911</t>
  </si>
  <si>
    <t>379-2</t>
  </si>
  <si>
    <t>Red windscreen pop filter for RE50, ND76, ND86, ND96, RE420 and RE520</t>
  </si>
  <si>
    <t>F.01U.144.954</t>
  </si>
  <si>
    <t>CPSM</t>
  </si>
  <si>
    <t>Shock mount for RE90P, PC/XLR, &amp; PC Plus</t>
  </si>
  <si>
    <t>F.01U.117.952</t>
  </si>
  <si>
    <t>MH-920</t>
  </si>
  <si>
    <t>Shock mounted mic clip with gooseneck for RE920Tx, also compatible with RE92L and RE92Tx microphones.</t>
  </si>
  <si>
    <t>F.01U.144.818</t>
  </si>
  <si>
    <t>SAPL-1</t>
  </si>
  <si>
    <t>SAPL-1, Microphone stand adapter for all PL and ND Series VOCAL microphones</t>
  </si>
  <si>
    <t>F.01U.118.949</t>
  </si>
  <si>
    <t>SAPL-2</t>
  </si>
  <si>
    <t>SAPL-2, Microphone stand adapter for RE20, RE20-BLACK, RE27N/D, RE320, ND68 and PL33</t>
  </si>
  <si>
    <t>F.01U.118.950</t>
  </si>
  <si>
    <t>SAPL-3</t>
  </si>
  <si>
    <t>SAPL-3, Isolating shock mount stand adapter for PL37 condenser microphone</t>
  </si>
  <si>
    <t>F.01U.118.951</t>
  </si>
  <si>
    <t>SAND-1</t>
  </si>
  <si>
    <t>SAND-1, Stand adapter for ND46 and ND66, also fits ND44</t>
  </si>
  <si>
    <t>F.01U.316.557</t>
  </si>
  <si>
    <t>TXA</t>
  </si>
  <si>
    <t>TA4F to XLR adaptor. Enables use of EV/Telex wireless headworn and lavalier mics in wired XLR applications. Phantom power required.</t>
  </si>
  <si>
    <t>F.01U.117.864</t>
  </si>
  <si>
    <t>WS-PC1</t>
  </si>
  <si>
    <t>Windscreen for PolarChoice gooseneck mics. Provides additional protection from 'p' pops and wind noise.</t>
  </si>
  <si>
    <t>F.01U.144.945</t>
  </si>
  <si>
    <t>WSPL-1</t>
  </si>
  <si>
    <t>WSPL-1, Foam windscreen (black) for all PL and ND Series VOCAL microphones</t>
  </si>
  <si>
    <t>F.01U.118.952</t>
  </si>
  <si>
    <t>WSPL-2</t>
  </si>
  <si>
    <t>WSPL-2, Foam windscreen (black) for RE20, RE20-BLACK, RE27N/D, RE320, ND68 and PL33</t>
  </si>
  <si>
    <t>F.01U.118.953</t>
  </si>
  <si>
    <t>WSPL-3</t>
  </si>
  <si>
    <t>WSPL-3, Foam windscreen (black) for PL35 tom/snare drum microphone</t>
  </si>
  <si>
    <t>F.01U.118.954</t>
  </si>
  <si>
    <t>WSPL-4</t>
  </si>
  <si>
    <t>WSPL-4, Foam windscreen (black) for PL37 overhead condenser microphone</t>
  </si>
  <si>
    <t>F.01U.118.955</t>
  </si>
  <si>
    <t>DRC-1</t>
  </si>
  <si>
    <t>DRC-1, Drum rim clamp for PL35 Tom/snare microphone</t>
  </si>
  <si>
    <t>F.01U.167.781</t>
  </si>
  <si>
    <t>DRC-2</t>
  </si>
  <si>
    <t>DRC-2, Drum rim clamp for ND44, optional for ND46, and ND66</t>
  </si>
  <si>
    <t>F.01U.316.556</t>
  </si>
  <si>
    <t>R300-HD-C</t>
  </si>
  <si>
    <t>Handheld System PL22 in case</t>
  </si>
  <si>
    <t>F.01U.306.180</t>
  </si>
  <si>
    <t>R300-L-C</t>
  </si>
  <si>
    <t>Uni-Lapel System in case</t>
  </si>
  <si>
    <t>F.01U.306.182</t>
  </si>
  <si>
    <t>R300-E-B</t>
  </si>
  <si>
    <t>Headworn System in case</t>
  </si>
  <si>
    <t>F.01U.168.771</t>
  </si>
  <si>
    <t>R300-E-C</t>
  </si>
  <si>
    <t>F.01U.306.184</t>
  </si>
  <si>
    <t>R300-RX-C</t>
  </si>
  <si>
    <t>Receiver only in case</t>
  </si>
  <si>
    <t>F.01U.306.186</t>
  </si>
  <si>
    <t>HT-300-C</t>
  </si>
  <si>
    <t>Handheld PL22 in box</t>
  </si>
  <si>
    <t>F.01U.306.188</t>
  </si>
  <si>
    <t>BP-300-C</t>
  </si>
  <si>
    <t>Bodypack for R300 Wireless System - C Band</t>
  </si>
  <si>
    <t>F.01U.306.189</t>
  </si>
  <si>
    <t>RE3-ND76-5L</t>
  </si>
  <si>
    <t>Handheld set with ND76 head 488-524 MHz</t>
  </si>
  <si>
    <t>F.01U.354.199</t>
  </si>
  <si>
    <t>RE3-ND76-5H</t>
  </si>
  <si>
    <t>Handheld set with ND76 head 560-596 MHz</t>
  </si>
  <si>
    <t>F.01U.354.200</t>
  </si>
  <si>
    <t>RE3-ND76-6M</t>
  </si>
  <si>
    <t>Handheld set with ND76 head 653-663 MHz</t>
  </si>
  <si>
    <t>F.01U.354.201</t>
  </si>
  <si>
    <t>RE3-ND86-5L</t>
  </si>
  <si>
    <t>Handheld set with ND86 head 488-524 MHz</t>
  </si>
  <si>
    <t>F.01U.354.204</t>
  </si>
  <si>
    <t>RE3-ND86-5H</t>
  </si>
  <si>
    <t>Handheld set with ND86 head 560-596 MHz</t>
  </si>
  <si>
    <t>F.01U.354.205</t>
  </si>
  <si>
    <t>RE3-ND86-6M</t>
  </si>
  <si>
    <t>Handheld set with ND86 head 653-663 MHz</t>
  </si>
  <si>
    <t>F.01U.354.206</t>
  </si>
  <si>
    <t>RE3-ND96-5L</t>
  </si>
  <si>
    <t>Handheld set with ND96 head 488-524 MHz</t>
  </si>
  <si>
    <t>F.01U.354.209</t>
  </si>
  <si>
    <t>RE3-ND96-5H</t>
  </si>
  <si>
    <t>Handheld set with ND96 head 560-596 MHz</t>
  </si>
  <si>
    <t>F.01U.354.210</t>
  </si>
  <si>
    <t>RE3-ND96-6M</t>
  </si>
  <si>
    <t>Handheld set with ND96 head 653-663 MHz</t>
  </si>
  <si>
    <t>F.01U.354.211</t>
  </si>
  <si>
    <t>RE3-RE420-5L</t>
  </si>
  <si>
    <t>Handheld set with RE420 head 488-524 MHz</t>
  </si>
  <si>
    <t>F.01U.354.214</t>
  </si>
  <si>
    <t>RE3-RE420-5H</t>
  </si>
  <si>
    <t>Handheld set with RE420 head 560-596 MHz</t>
  </si>
  <si>
    <t>F.01U.354.215</t>
  </si>
  <si>
    <t>RE3-RE420-6M</t>
  </si>
  <si>
    <t>Handheld set with RE420 head 653-663 MHz</t>
  </si>
  <si>
    <t>F.01U.354.216</t>
  </si>
  <si>
    <t>RE3-RE520-5L</t>
  </si>
  <si>
    <t>Handheld set with RE520 head 488-524 MHz</t>
  </si>
  <si>
    <t>F.01U.354.219</t>
  </si>
  <si>
    <t>RE3-RE520-5H</t>
  </si>
  <si>
    <t>Handheld set with RE520 head 560-596 MHz</t>
  </si>
  <si>
    <t>F.01U.354.220</t>
  </si>
  <si>
    <t>RE3-RE520-6M</t>
  </si>
  <si>
    <t>Handheld set with RE520 head 653-663 MHz</t>
  </si>
  <si>
    <t>F.01U.354.223</t>
  </si>
  <si>
    <t>RE3-BPOL-5L</t>
  </si>
  <si>
    <t>Bodypack set, omni lavalier 488-524 MHz</t>
  </si>
  <si>
    <t>F.01U.354.226</t>
  </si>
  <si>
    <t>RE3-BPOL-5H</t>
  </si>
  <si>
    <t>Bodypack set, omni lavalier 560-596 MHz</t>
  </si>
  <si>
    <t>F.01U.354.227</t>
  </si>
  <si>
    <t>RE3-BPOL-6M</t>
  </si>
  <si>
    <t>Bodypack set, omni lavalier 653-663 MHz</t>
  </si>
  <si>
    <t>F.01U.354.228</t>
  </si>
  <si>
    <t>RE3-BPCL-5L</t>
  </si>
  <si>
    <t>Bodypack set, cardioid mic 488-524 MHz</t>
  </si>
  <si>
    <t>F.01U.354.231</t>
  </si>
  <si>
    <t>RE3-BPCL-5H</t>
  </si>
  <si>
    <t>Bodypack set, cardioid mic 560-596 MHz</t>
  </si>
  <si>
    <t>F.01U.354.232</t>
  </si>
  <si>
    <t>RE3-BPCL-6M</t>
  </si>
  <si>
    <t>Bodypack set, cardioid mic 653-663 MHz</t>
  </si>
  <si>
    <t>F.01U.354.233</t>
  </si>
  <si>
    <t>RE3-BPHW-5L</t>
  </si>
  <si>
    <t>Bodypack set, headworn mic 488-524 MHz</t>
  </si>
  <si>
    <t>F.01U.354.236</t>
  </si>
  <si>
    <t>RE3-BPHW-5H</t>
  </si>
  <si>
    <t>Bodypack set, headworn mic 560-596 MHz</t>
  </si>
  <si>
    <t>F.01U.354.237</t>
  </si>
  <si>
    <t>RE3-BPHW-6M</t>
  </si>
  <si>
    <t>Bodypack set, headworn mic 653-663 MHz</t>
  </si>
  <si>
    <t>F.01U.354.238</t>
  </si>
  <si>
    <t>RE3-BPGC-5L</t>
  </si>
  <si>
    <t>Bodypack instrument set 488-524 MHz</t>
  </si>
  <si>
    <t>F.01U.354.270</t>
  </si>
  <si>
    <t>RE3-BPGC-5H</t>
  </si>
  <si>
    <t>Bodypack instrument set 560-596 MHz</t>
  </si>
  <si>
    <t>F.01U.354.259</t>
  </si>
  <si>
    <t>RE3-BPGC-6M</t>
  </si>
  <si>
    <t>Bodypack instrument set 653-663 MHz</t>
  </si>
  <si>
    <t>F.01U.354.258</t>
  </si>
  <si>
    <t>RE3-BPNID-5L</t>
  </si>
  <si>
    <t>Bodypack set, no input device 488-524 MHz</t>
  </si>
  <si>
    <t>F.01U.353.064</t>
  </si>
  <si>
    <t>RE3-BPNID-5H</t>
  </si>
  <si>
    <t>Bodypack set, no input device 560-596 MHz</t>
  </si>
  <si>
    <t>F.01U.353.065</t>
  </si>
  <si>
    <t>RE3-BPNID-6M</t>
  </si>
  <si>
    <t>Bodypack set, no input device 653-663 MHz</t>
  </si>
  <si>
    <t>F.01U.353.066</t>
  </si>
  <si>
    <t>RE3-BPKRSB-5L</t>
  </si>
  <si>
    <t>Bodypack set, for ref switch 488-524MHz</t>
  </si>
  <si>
    <t>F.01U.380.505</t>
  </si>
  <si>
    <t>RE3-BPKRSB-5H</t>
  </si>
  <si>
    <t>Bodypack set, for ref switch 560-596MHz</t>
  </si>
  <si>
    <t>F.01U.380.506</t>
  </si>
  <si>
    <t>RE3-BPKRSB-6M</t>
  </si>
  <si>
    <t>Bodypack set, for ref switch 653-663MHz</t>
  </si>
  <si>
    <t>F.01U.380.507</t>
  </si>
  <si>
    <t>RE3-HHT76-5L</t>
  </si>
  <si>
    <t>Handheld transmitter with ND76 head, 488-524 MHz</t>
  </si>
  <si>
    <t>F.01U.354.255</t>
  </si>
  <si>
    <t>RE3-HHT76-5H</t>
  </si>
  <si>
    <t>Handheld transmitter with ND76 head, 560-596 MHz</t>
  </si>
  <si>
    <t>F.01U.354.254</t>
  </si>
  <si>
    <t>RE3-HHT76-6M</t>
  </si>
  <si>
    <t>Handheld transmitter with ND76 head, 653-663 MHz</t>
  </si>
  <si>
    <t>F.01U.354.253</t>
  </si>
  <si>
    <t>RE3-HHT86-5L</t>
  </si>
  <si>
    <t>Handheld transmitter with ND86 head, 488-524 MHz</t>
  </si>
  <si>
    <t>F.01U.354.250</t>
  </si>
  <si>
    <t>RE3-HHT86-5H</t>
  </si>
  <si>
    <t>Handheld transmitter with ND86 head, 560-596 MHz</t>
  </si>
  <si>
    <t>F.01U.354.249</t>
  </si>
  <si>
    <t>RE3-HHT86-6M</t>
  </si>
  <si>
    <t>Handheld transmitter with ND86 head, 653-663 MHz</t>
  </si>
  <si>
    <t>F.01U.354.248</t>
  </si>
  <si>
    <t>RE3-HHT96-5L</t>
  </si>
  <si>
    <t>Handheld transmitter with ND96 head, 488-524 MHz</t>
  </si>
  <si>
    <t>F.01U.354.245</t>
  </si>
  <si>
    <t>RE3-HHT96-5H</t>
  </si>
  <si>
    <t>Handheld transmitter with ND96 head, 560-596 MHz</t>
  </si>
  <si>
    <t>F.01U.354.244</t>
  </si>
  <si>
    <t>RE3-HHT96-6M</t>
  </si>
  <si>
    <t>Handheld transmitter with ND96 head, 653-663 MHz</t>
  </si>
  <si>
    <t>F.01U.354.243</t>
  </si>
  <si>
    <t>RE3-HHT420-5L</t>
  </si>
  <si>
    <t>Handheld transmitter with RE420 head, 488-524 MHz</t>
  </si>
  <si>
    <t>F.01U.354.264</t>
  </si>
  <si>
    <t>RE3-HHT420-5H</t>
  </si>
  <si>
    <t>Handheld transmitter with RE420 head, 560-596 MHz</t>
  </si>
  <si>
    <t>F.01U.354.263</t>
  </si>
  <si>
    <t>RE3-HHT420-6M</t>
  </si>
  <si>
    <t>Handheld transmitter with RE420 head, 653-663 MHz</t>
  </si>
  <si>
    <t>F.01U.354.262</t>
  </si>
  <si>
    <t>RE3-HHT520-5L</t>
  </si>
  <si>
    <t>Handheld transmitter with RE520 head, 488-524 MHz</t>
  </si>
  <si>
    <t>F.01U.354.265</t>
  </si>
  <si>
    <t>RE3-HHT520-5H</t>
  </si>
  <si>
    <t>Handheld transmitter with RE520 head, 560-596 MHz</t>
  </si>
  <si>
    <t>F.01U.354.266</t>
  </si>
  <si>
    <t>RE3-HHT520-6M</t>
  </si>
  <si>
    <t>Handheld transmitter with RE520 head, 653-663 MHz</t>
  </si>
  <si>
    <t>F.01U.354.267</t>
  </si>
  <si>
    <t>RE3-BPT-5L</t>
  </si>
  <si>
    <t>Bodypack transmitter 488-524 MHz</t>
  </si>
  <si>
    <t>F.01U.353.074</t>
  </si>
  <si>
    <t>RE3-BPT-5H</t>
  </si>
  <si>
    <t>Bodypack transmitter 560-596 MHz</t>
  </si>
  <si>
    <t>F.01U.353.075</t>
  </si>
  <si>
    <t>RE3-BPT-6M</t>
  </si>
  <si>
    <t>Bodypack transmitter 653-663 MHz</t>
  </si>
  <si>
    <t>F.01U.353.076</t>
  </si>
  <si>
    <t>RE3-BPTRSB-5L</t>
  </si>
  <si>
    <t>Bodypack TX, for ref switch 488-524MHz</t>
  </si>
  <si>
    <t>F.01U.380.508</t>
  </si>
  <si>
    <t>RE3-BPTRSB-5H</t>
  </si>
  <si>
    <t>Bodypack TX, for ref switch 560-596MHz</t>
  </si>
  <si>
    <t>F.01U.380.509</t>
  </si>
  <si>
    <t>RE3-BPTRSB-6M</t>
  </si>
  <si>
    <t>Bodypack TX, for ref switch 653-663MHz</t>
  </si>
  <si>
    <t>F.01U.380.510</t>
  </si>
  <si>
    <t>RE3-RX-5L</t>
  </si>
  <si>
    <t>RE3 half rack space receiver 488-524 MHz</t>
  </si>
  <si>
    <t>F.01U.353.079</t>
  </si>
  <si>
    <t>RE3-RX-5H</t>
  </si>
  <si>
    <t>RE3 half rack space receiver 560-596 MHz</t>
  </si>
  <si>
    <t>F.01U.353.080</t>
  </si>
  <si>
    <t>RE3-RX-6M</t>
  </si>
  <si>
    <t>RE3 half rack space receiver 653-663 MHz</t>
  </si>
  <si>
    <t>F.01U.353.081</t>
  </si>
  <si>
    <t>CRA-A</t>
  </si>
  <si>
    <t>Antenna for R300 Receiver Band A</t>
  </si>
  <si>
    <t>F.01U.168.794</t>
  </si>
  <si>
    <t>CRA-B</t>
  </si>
  <si>
    <t>Antenna for R300 Receiver Band B</t>
  </si>
  <si>
    <t>F.01U.168.795</t>
  </si>
  <si>
    <t>SFMC-300</t>
  </si>
  <si>
    <t>Front Mount Antenna Cables for RM-300</t>
  </si>
  <si>
    <t>F.01U.251.469</t>
  </si>
  <si>
    <t>RE3-ACC-AASP</t>
  </si>
  <si>
    <t>2-in x 8-out active antenna splitter, 470-960 MHz</t>
  </si>
  <si>
    <t>F.01U.353.087</t>
  </si>
  <si>
    <t>RE3-ACC-PASP</t>
  </si>
  <si>
    <t>1 x 2 passive antenna splitter kit, 10-1000 MHz</t>
  </si>
  <si>
    <t>F.01U.353.088</t>
  </si>
  <si>
    <t>RE3-ACC-PLPA</t>
  </si>
  <si>
    <t>Passive log periodic antenna, 470-960 MHz</t>
  </si>
  <si>
    <t>F.01U.353.094</t>
  </si>
  <si>
    <t>RE3-ACC-ALPA</t>
  </si>
  <si>
    <t>Active log periodic antenna, 470-960 MHz</t>
  </si>
  <si>
    <t>F.01U.353.093</t>
  </si>
  <si>
    <t>RE3-ACC-RFAMP</t>
  </si>
  <si>
    <t>Active RF antenna booster, 470-960 MHz</t>
  </si>
  <si>
    <t>F.01U.353.092</t>
  </si>
  <si>
    <t>RE3-ACC-CXUF</t>
  </si>
  <si>
    <t>Rear to front mount antenna cable kit</t>
  </si>
  <si>
    <t>F.01U.353.099</t>
  </si>
  <si>
    <t>RE3-ACC-CXU2</t>
  </si>
  <si>
    <t>2 foot antenna coax cable (pair)</t>
  </si>
  <si>
    <t>F.01U.353.098</t>
  </si>
  <si>
    <t>RE3-ACC-CXU10</t>
  </si>
  <si>
    <t>10 foot, 50 ohm BNC coax cable</t>
  </si>
  <si>
    <t>F.01U.353.097</t>
  </si>
  <si>
    <t>RE3-ACC-CXU25</t>
  </si>
  <si>
    <t>25 foot, 50 ohm low loss BNC coax cable</t>
  </si>
  <si>
    <t>F.01U.353.096</t>
  </si>
  <si>
    <t>RE3-ACC-CXU50</t>
  </si>
  <si>
    <t>50 foot, 50 ohm low loss BNC coax cable</t>
  </si>
  <si>
    <t>F.01U.353.095</t>
  </si>
  <si>
    <t>RE3-ACC-CXU75</t>
  </si>
  <si>
    <t>75 foot, 50 ohm low loss BNC coax cable</t>
  </si>
  <si>
    <t>F.01U.353.101</t>
  </si>
  <si>
    <t>RE3-ACC-CXU100</t>
  </si>
  <si>
    <t>100 foot, 50 ohm low loss BNC coax cable</t>
  </si>
  <si>
    <t>F.01U.353.102</t>
  </si>
  <si>
    <t>RE3-ACC-PCA</t>
  </si>
  <si>
    <t>Polar Choice adapter for RE3-BPT</t>
  </si>
  <si>
    <t>F.01U.374.699</t>
  </si>
  <si>
    <t>RE3-ACC-OL3</t>
  </si>
  <si>
    <t>Omnidirectional lavalier mic with TA4F</t>
  </si>
  <si>
    <t>F.01U.353.084</t>
  </si>
  <si>
    <t>RE3-ACC-CL3</t>
  </si>
  <si>
    <t>Cardioid lavalier mic with TA4F</t>
  </si>
  <si>
    <t>F.01U.353.085</t>
  </si>
  <si>
    <t>RE3-ACC-HW3</t>
  </si>
  <si>
    <t>Headworn mic with TA4F</t>
  </si>
  <si>
    <t>F.01U.353.086</t>
  </si>
  <si>
    <t>OLM10</t>
  </si>
  <si>
    <t>Omnidirectional lavalier condenser mic with TA4F wired for R100, RE-2 and RE-1 and any Telex wireless</t>
  </si>
  <si>
    <t>F.01U.120.447</t>
  </si>
  <si>
    <t>ULM18</t>
  </si>
  <si>
    <t>Uni-Directional Lapel Mic</t>
  </si>
  <si>
    <t>F.01U.168.803</t>
  </si>
  <si>
    <t>ULM21</t>
  </si>
  <si>
    <t>Unidirectional lavalier condenser mic with TA4F connector for R100, RE-2, RE-1, and any Telex wireless</t>
  </si>
  <si>
    <t>F.01U.120.693</t>
  </si>
  <si>
    <t>RE92TX</t>
  </si>
  <si>
    <t>Premium Cardioid Lapel Microphone with TA4F connector for R100, RE-2, RE-1 and any Telex wireless</t>
  </si>
  <si>
    <t>F.01U.391.499</t>
  </si>
  <si>
    <t>RE97LTX-BEIGE</t>
  </si>
  <si>
    <t>RE97LTX, Beige Mini Theatrical Omni Lapel Microphone</t>
  </si>
  <si>
    <t>F.01U.149.502</t>
  </si>
  <si>
    <t>RE97LTX-BLACK</t>
  </si>
  <si>
    <t>RE97LTX, Black Mini Theatrical Omni Lapel Microphone</t>
  </si>
  <si>
    <t>F.01U.149.504</t>
  </si>
  <si>
    <t>RE97TX-BEIGE</t>
  </si>
  <si>
    <t>MiniMic Omindirectional Low Profile Headworn microphone in light beige color with TA4F connector</t>
  </si>
  <si>
    <t>F.01U.117.719</t>
  </si>
  <si>
    <t>RE97TX-BLACK</t>
  </si>
  <si>
    <t>MiniMic Omindirectional Low Profile Headworn microphone in black color with TA4F connector</t>
  </si>
  <si>
    <t>F.01U.117.729</t>
  </si>
  <si>
    <t>RE97-2TX-BEIGE</t>
  </si>
  <si>
    <t>RE97-2TX Beige, Omni 2-Sided low Profile Headworn Microphone w/ Telex TA4F Connector</t>
  </si>
  <si>
    <t>F.01U.285.427</t>
  </si>
  <si>
    <t>WS-97-BEIGE</t>
  </si>
  <si>
    <t>Windscreen Kit RE97 Beige</t>
  </si>
  <si>
    <t>F.01U.169.340</t>
  </si>
  <si>
    <t>WS-97-BLACK</t>
  </si>
  <si>
    <t>Windscreen Kit RE97 Black</t>
  </si>
  <si>
    <t>F.01U.169.341</t>
  </si>
  <si>
    <t>HM2</t>
  </si>
  <si>
    <t>EV headworn unidirectional condenser vocal mic with TA4F connector for R100, RE-2, RE-1 and any Telex Wireless</t>
  </si>
  <si>
    <t>F.01U.120.414</t>
  </si>
  <si>
    <t>HM3</t>
  </si>
  <si>
    <t>Omni-Directional Headworn Mic</t>
  </si>
  <si>
    <t>F.01U.168.804</t>
  </si>
  <si>
    <t>HM7</t>
  </si>
  <si>
    <t>Headworn condenser cardioid mic with TA4F wired for R100, RE-2, RE-1 and any Telex Wireless</t>
  </si>
  <si>
    <t>F.01U.120.415</t>
  </si>
  <si>
    <t>ND76-RC3</t>
  </si>
  <si>
    <t>Wireless head with ND76 capsule</t>
  </si>
  <si>
    <t>F.01U.346.238</t>
  </si>
  <si>
    <t>ND86-RC3</t>
  </si>
  <si>
    <t>Wireless head with ND86 capsule</t>
  </si>
  <si>
    <t>F.01U.346.239</t>
  </si>
  <si>
    <t>ND96-RC3</t>
  </si>
  <si>
    <t>Wireless head with ND96 capsule</t>
  </si>
  <si>
    <t>F.01U.346.240</t>
  </si>
  <si>
    <t>RE420-RC3</t>
  </si>
  <si>
    <t>Wireless head with RE420 capsule</t>
  </si>
  <si>
    <t>F.01U.346.241</t>
  </si>
  <si>
    <t>RE520-RC3</t>
  </si>
  <si>
    <t>Wireless head with RE520 capsule</t>
  </si>
  <si>
    <t>F.01U.346.242</t>
  </si>
  <si>
    <t>RCC-PL22</t>
  </si>
  <si>
    <t>Dynamic Microphone for HT-300</t>
  </si>
  <si>
    <t>F.01U.170.777</t>
  </si>
  <si>
    <t>WPHS-746</t>
  </si>
  <si>
    <t>Headworn condenser vocal mic with TA4F connector. Waterproofing material covers mic and headband.</t>
  </si>
  <si>
    <t>F.01U.146.434</t>
  </si>
  <si>
    <t>PH-21</t>
  </si>
  <si>
    <t>Headworn, unidirectional Telex condenser mic with TA4 connector</t>
  </si>
  <si>
    <t>F.01U.145.329</t>
  </si>
  <si>
    <t>RE3-ACC-RMK1</t>
  </si>
  <si>
    <t>Rack mount kit for single RE3 receiver</t>
  </si>
  <si>
    <t>F.01U.353.091</t>
  </si>
  <si>
    <t>RE3-ACC-RMK2</t>
  </si>
  <si>
    <t>Rack mount kit for two RE3 receivers</t>
  </si>
  <si>
    <t>F.01U.353.090</t>
  </si>
  <si>
    <t>RM-300</t>
  </si>
  <si>
    <t>Single Rack Mount Kit for R300 Receiver</t>
  </si>
  <si>
    <t>F.01U.168.792</t>
  </si>
  <si>
    <t>RMD-300</t>
  </si>
  <si>
    <t>Dual Rack Mount Kit for R300 Receiver</t>
  </si>
  <si>
    <t>F.01U.168.793</t>
  </si>
  <si>
    <t>RE3-ACC-GC3</t>
  </si>
  <si>
    <t>Instrument cable, 1/4 to TA4F</t>
  </si>
  <si>
    <t>F.01U.353.100</t>
  </si>
  <si>
    <t>BPC-300</t>
  </si>
  <si>
    <t>Beltclip for BP-300 Bodypack</t>
  </si>
  <si>
    <t>F.01U.168.797</t>
  </si>
  <si>
    <t>BP2-CLIP SWIVEL</t>
  </si>
  <si>
    <t>Cell Phone type swivel clip with mounting stud and screw for BPU-2/WT-500</t>
  </si>
  <si>
    <t>F.01U.110.789</t>
  </si>
  <si>
    <t>BP2-CLIP</t>
  </si>
  <si>
    <t>Flat, Fixed Beltclip with screw for RE-2/FMR-500 Bodypacks</t>
  </si>
  <si>
    <t>F.01U.146.596</t>
  </si>
  <si>
    <t>BPBC-300</t>
  </si>
  <si>
    <t>Bodypack Battery Cover for BP-300</t>
  </si>
  <si>
    <t>F.01U.168.800</t>
  </si>
  <si>
    <t>WP-23</t>
  </si>
  <si>
    <t>Aerobics sport pouch for beltpack transmitters</t>
  </si>
  <si>
    <t>F.01U.145.393</t>
  </si>
  <si>
    <t>RSB-2</t>
  </si>
  <si>
    <t>Referee switch box for beltpack transmitters with a TA4 mic connector for use with WT-1000-REF, BPU2PRO-REF, REV-BP-REF, WTU-2 and REV-WT only.</t>
  </si>
  <si>
    <t>F.01U.145.335</t>
  </si>
  <si>
    <t>MAC-2</t>
  </si>
  <si>
    <t>XLR to TA4 adapter cord</t>
  </si>
  <si>
    <t>F.01U.118.058</t>
  </si>
  <si>
    <t>MAC-G3</t>
  </si>
  <si>
    <t>Guitar Cord featuring George L's cable for RE-2/FMR-500</t>
  </si>
  <si>
    <t>F.01U.118.492</t>
  </si>
  <si>
    <t>MSA-300</t>
  </si>
  <si>
    <t>Mic stand adapter for HT-300 Handheld</t>
  </si>
  <si>
    <t>F.01U.168.798</t>
  </si>
  <si>
    <t>HHBC-300</t>
  </si>
  <si>
    <t>Handheld battery cover for HT-300</t>
  </si>
  <si>
    <t>F.01U.168.799</t>
  </si>
  <si>
    <t>RE3-ACC-HHTSA1</t>
  </si>
  <si>
    <t>Stand adapter for RE3-HHT transmitter</t>
  </si>
  <si>
    <t>F.01U.353.103</t>
  </si>
  <si>
    <t>RE3-ACC-BC2</t>
  </si>
  <si>
    <t>Two slot battery charger</t>
  </si>
  <si>
    <t>F.01U.353.089</t>
  </si>
  <si>
    <t>WS-E</t>
  </si>
  <si>
    <t>Windscreen for RE90TX and all ELM series lapel mics</t>
  </si>
  <si>
    <t>F.01U.145.176</t>
  </si>
  <si>
    <t>WS-11</t>
  </si>
  <si>
    <t>Foam windscreen for PH-21/PH-23/Stinger</t>
  </si>
  <si>
    <t>F.01U.118.010</t>
  </si>
  <si>
    <t>WS-18</t>
  </si>
  <si>
    <t>Foam windscreen for ULM-18 Lapel Microphone</t>
  </si>
  <si>
    <t>F.01U.168.802</t>
  </si>
  <si>
    <t>WS-21</t>
  </si>
  <si>
    <t>Windscreen for ULM-21 Lapel Micorphone</t>
  </si>
  <si>
    <t>F.01U.110.739</t>
  </si>
  <si>
    <t>WS-30</t>
  </si>
  <si>
    <t>Foam windscreen for OLM-10, WLM-10, and WLM-30</t>
  </si>
  <si>
    <t>F.01U.109.293</t>
  </si>
  <si>
    <t>WS-H3</t>
  </si>
  <si>
    <t>Foam windscreen for HM3</t>
  </si>
  <si>
    <t>F.01U.170.778</t>
  </si>
  <si>
    <t>WS-745</t>
  </si>
  <si>
    <t>Foam windscreen for HM7 and SCHS-745 headworn mic</t>
  </si>
  <si>
    <t>F.01U.109.272</t>
  </si>
  <si>
    <t>WS-746</t>
  </si>
  <si>
    <t>Foam windscreen for WPHS-746 headworn mic</t>
  </si>
  <si>
    <t>F.01U.145.102</t>
  </si>
  <si>
    <t>WS-92</t>
  </si>
  <si>
    <t>Foam windscreen for RE92 Lapel Microphone</t>
  </si>
  <si>
    <t>F.01U.110.490</t>
  </si>
  <si>
    <t>TC-18</t>
  </si>
  <si>
    <t>Lapel clip for ULM-18 Lapel Microphone</t>
  </si>
  <si>
    <t>F.01U.168.801</t>
  </si>
  <si>
    <t>TC2-30</t>
  </si>
  <si>
    <t>Clothing Clip for OLM10 (Bagged)</t>
  </si>
  <si>
    <t>F.01U.168.825</t>
  </si>
  <si>
    <t>TC-21</t>
  </si>
  <si>
    <t>Tie Clip for ULM-21 Lapel Microphone</t>
  </si>
  <si>
    <t>F.01U.110.740</t>
  </si>
  <si>
    <t>TC-92</t>
  </si>
  <si>
    <t>Tie Clip for RE92 Lapel Microphone</t>
  </si>
  <si>
    <t>F.01U.109.432</t>
  </si>
  <si>
    <t>TC-97-BLACK</t>
  </si>
  <si>
    <t>TC-97 Black, Clothing Clip for RE90Tx, ELM series, RE97, RE97-2 and RE97L Microphones</t>
  </si>
  <si>
    <t>F.01U.148.731</t>
  </si>
  <si>
    <t>TC-200V</t>
  </si>
  <si>
    <t>Vertical tie clip for WLM-200/50</t>
  </si>
  <si>
    <t>F.01U.145.282</t>
  </si>
  <si>
    <t>TC-200H</t>
  </si>
  <si>
    <t>Horizontal tie clip for WLM-200/50</t>
  </si>
  <si>
    <t>F.01U.145.280</t>
  </si>
  <si>
    <t>SM-2-N</t>
  </si>
  <si>
    <t>SoundMate Personal Listening System includes: one ST-300 17 Channel Base Transmitter, four SR-50 single channel receivers, four SEB-1 single earbud earphones, wall plaque, UL &amp; CSA approved wall pack transformer, and one 1/4 wave telescoping antenna</t>
  </si>
  <si>
    <t>F.01U.118.405</t>
  </si>
  <si>
    <t>SM-2-O</t>
  </si>
  <si>
    <t>F.01U.118.406</t>
  </si>
  <si>
    <t>SM-2-A</t>
  </si>
  <si>
    <t>F.01U.124.476</t>
  </si>
  <si>
    <t>SM-2-B</t>
  </si>
  <si>
    <t>F.01U.146.400</t>
  </si>
  <si>
    <t>SM-2-C</t>
  </si>
  <si>
    <t>F.01U.146.402</t>
  </si>
  <si>
    <t>SM-2-D</t>
  </si>
  <si>
    <t>F.01U.146.404</t>
  </si>
  <si>
    <t>SM-2-E</t>
  </si>
  <si>
    <t>F.01U.146.406</t>
  </si>
  <si>
    <t>SM-2-F</t>
  </si>
  <si>
    <t>F.01U.146.408</t>
  </si>
  <si>
    <t>SM-2-G</t>
  </si>
  <si>
    <t>F.01U.146.410</t>
  </si>
  <si>
    <t>SM-2-H</t>
  </si>
  <si>
    <t>F.01U.146.412</t>
  </si>
  <si>
    <t>SM-2-I</t>
  </si>
  <si>
    <t>F.01U.146.414</t>
  </si>
  <si>
    <t>SM-2-J</t>
  </si>
  <si>
    <t>F.01U.146.416</t>
  </si>
  <si>
    <t>SM-2-K</t>
  </si>
  <si>
    <t>F.01U.146.418</t>
  </si>
  <si>
    <t>SM-2-L</t>
  </si>
  <si>
    <t>F.01U.146.420</t>
  </si>
  <si>
    <t>SM-2-M</t>
  </si>
  <si>
    <t>F.01U.146.422</t>
  </si>
  <si>
    <t>SM-2-P</t>
  </si>
  <si>
    <t>F.01U.146.424</t>
  </si>
  <si>
    <t>SM-2-Q</t>
  </si>
  <si>
    <t>F.01U.146.426</t>
  </si>
  <si>
    <t>SMP-2-A</t>
  </si>
  <si>
    <t>SoundMate Portable Listening System includes: one PST-170 17 Channel portable transmitter, one HM2 headworn unidirectional microphone, six SR-50 single channel receivers, six HED-2 dual earphones, 14 AA alkaline batteries and system briefcase with custom foam inserts. Note: SMP-2 is only available in channels A, E, I and O.</t>
  </si>
  <si>
    <t>F.01U.118.403</t>
  </si>
  <si>
    <t>SMP-2-I</t>
  </si>
  <si>
    <t>F.01U.118.404</t>
  </si>
  <si>
    <t>SMP-2-E</t>
  </si>
  <si>
    <t>F.01U.146.394</t>
  </si>
  <si>
    <t>SMP-2-O</t>
  </si>
  <si>
    <t>F.01U.146.396</t>
  </si>
  <si>
    <t>SMP-400</t>
  </si>
  <si>
    <t>SoundMate Agile Portable Listening System includes - one PST-170 portable transmitter, HM2 unidirectional headworn microphone, four SR-400 17 channel receivers, four HED-2 dual headphones, 10 AA alkaline batteries, and system briefcase with custom foam inserts.</t>
  </si>
  <si>
    <t>F.01U.146.398</t>
  </si>
  <si>
    <t>ST-300</t>
  </si>
  <si>
    <t>17-channel synthesized base transmitter with backlit LCD display, XLR and 1/4" inputs, selectable mic/line/70V input, input level adjustment, selectable RF transmit power and Enhanced Dynamic Range (E.D.R.), telescoping antenna and wall pack power supply.</t>
  </si>
  <si>
    <t>F.01U.118.400</t>
  </si>
  <si>
    <t>PST-170</t>
  </si>
  <si>
    <t>17-channel portable transmitter with E.D.R feature, auxiliary input, and OLM10 omnidirectional microphone, recharge contacts, runs on two AA batteries (sold separately)</t>
  </si>
  <si>
    <t>F.01U.118.402</t>
  </si>
  <si>
    <t>SR-400</t>
  </si>
  <si>
    <t>17-channel synthesized personal receiver with a back lit LCD display, high frequency boost and E.D.R. includes recharge contacts Runs on two AA batteries. (Earphones and batteries sold separately)</t>
  </si>
  <si>
    <t>F.01U.118.401</t>
  </si>
  <si>
    <t>SR-50-A</t>
  </si>
  <si>
    <t>Single frequency personal receiver with beltclip - requires two AA batteries (batteries and earphone sold separately)</t>
  </si>
  <si>
    <t>F.01U.118.167</t>
  </si>
  <si>
    <t>SR-50-C</t>
  </si>
  <si>
    <t>F.01U.118.168</t>
  </si>
  <si>
    <t>SR-50-D</t>
  </si>
  <si>
    <t>F.01U.118.169</t>
  </si>
  <si>
    <t>SR-50-G</t>
  </si>
  <si>
    <t>F.01U.118.170</t>
  </si>
  <si>
    <t>SR-50-I</t>
  </si>
  <si>
    <t>F.01U.118.171</t>
  </si>
  <si>
    <t>SR-50-J</t>
  </si>
  <si>
    <t>F.01U.118.172</t>
  </si>
  <si>
    <t>SR-50-L</t>
  </si>
  <si>
    <t>F.01U.118.173</t>
  </si>
  <si>
    <t>SR-50-P</t>
  </si>
  <si>
    <t>F.01U.121.974</t>
  </si>
  <si>
    <t>SR-50-B</t>
  </si>
  <si>
    <t>F.01U.141.079</t>
  </si>
  <si>
    <t>SR-50-E</t>
  </si>
  <si>
    <t>F.01U.141.080</t>
  </si>
  <si>
    <t>SR-50-F</t>
  </si>
  <si>
    <t>F.01U.141.081</t>
  </si>
  <si>
    <t>SR-50-H</t>
  </si>
  <si>
    <t>F.01U.141.082</t>
  </si>
  <si>
    <t>SR-50-K</t>
  </si>
  <si>
    <t>F.01U.141.083</t>
  </si>
  <si>
    <t>SR-50-M</t>
  </si>
  <si>
    <t>F.01U.141.084</t>
  </si>
  <si>
    <t>SR-50-N</t>
  </si>
  <si>
    <t>F.01U.141.085</t>
  </si>
  <si>
    <t>SR-50-O</t>
  </si>
  <si>
    <t>F.01U.141.086</t>
  </si>
  <si>
    <t>SR-50-Q</t>
  </si>
  <si>
    <t>F.01U.141.087</t>
  </si>
  <si>
    <t>BC-102</t>
  </si>
  <si>
    <t>BC-102, Two up battery charger for SR-50, SR-400 and PST-170</t>
  </si>
  <si>
    <t>F.01U.166.124</t>
  </si>
  <si>
    <t>SEB-1</t>
  </si>
  <si>
    <t>Single earbud with cord.</t>
  </si>
  <si>
    <t>F.01U.118.013</t>
  </si>
  <si>
    <t>DEB-2</t>
  </si>
  <si>
    <t>Dual earbud with cord.</t>
  </si>
  <si>
    <t>F.01U.145.211</t>
  </si>
  <si>
    <t>CCS-12</t>
  </si>
  <si>
    <t>Cushion covers for SEB-1 and DEB-2 (pkg/12)</t>
  </si>
  <si>
    <t>F.01U.145.213</t>
  </si>
  <si>
    <t>ES-1</t>
  </si>
  <si>
    <t>Single Side Ear Speaker with Flexible Loop</t>
  </si>
  <si>
    <t>F.01U.145.215</t>
  </si>
  <si>
    <t>HED-1</t>
  </si>
  <si>
    <t>Ultra lightweight headphone</t>
  </si>
  <si>
    <t>F.01U.118.485</t>
  </si>
  <si>
    <t>HED-2</t>
  </si>
  <si>
    <t>Collapsible lightweight headphone.</t>
  </si>
  <si>
    <t>F.01U.118.014</t>
  </si>
  <si>
    <t>NL-4S</t>
  </si>
  <si>
    <t>Inductive neckloop</t>
  </si>
  <si>
    <t>F.01U.118.160</t>
  </si>
  <si>
    <t>SM-C</t>
  </si>
  <si>
    <t>Carry case for systems with six receivers</t>
  </si>
  <si>
    <t>F.01U.145.482</t>
  </si>
  <si>
    <t>SMP-C</t>
  </si>
  <si>
    <t>SMP case with custom foam inserts</t>
  </si>
  <si>
    <t>F.01U.146.582</t>
  </si>
  <si>
    <t>HGA-1</t>
  </si>
  <si>
    <t>1/2 wave dipole gain antenna</t>
  </si>
  <si>
    <t>F.01U.391.588</t>
  </si>
  <si>
    <t>TW-A</t>
  </si>
  <si>
    <t>TELESCOPING ANTENNA, TT-16 / AAT-1</t>
  </si>
  <si>
    <t>F.01U.110.757</t>
  </si>
  <si>
    <t>SM-WP</t>
  </si>
  <si>
    <t>Wall plaque to display that Soundmate personal listening equipment is available for use on site</t>
  </si>
  <si>
    <t>F.01U.146.452</t>
  </si>
  <si>
    <t xml:space="preserve">Flex55 112 </t>
  </si>
  <si>
    <t>Two-gang Mounting Kit for Flex55 and European Junction Boxes - Black</t>
  </si>
  <si>
    <t>Two-gang, Single-opening Mounting Kit for Flex55 and European Junction Boxes - White</t>
  </si>
  <si>
    <t xml:space="preserve">Flex55 AC+USB 130 US </t>
  </si>
  <si>
    <t>US Outlet, USB Type-A and USB Type-C Module; Black</t>
  </si>
  <si>
    <t>US Outlet, USB Type-A and USB Type-C Module; White</t>
  </si>
  <si>
    <t xml:space="preserve">FOX3 160x Fan Kit </t>
  </si>
  <si>
    <t>Replacement Fan Kit</t>
  </si>
  <si>
    <t>CALL</t>
  </si>
  <si>
    <t xml:space="preserve">FOX3 24x Fan Kit </t>
  </si>
  <si>
    <t xml:space="preserve">FOX3 24x I/O 88 MM </t>
  </si>
  <si>
    <t>8x8 I/O Board - Multimode</t>
  </si>
  <si>
    <t xml:space="preserve">FOX3 24x I/O 88 SM </t>
  </si>
  <si>
    <t>8x8 I/O Board - Singlemode</t>
  </si>
  <si>
    <t xml:space="preserve">FOX3 24x P/S Kit </t>
  </si>
  <si>
    <t>Power Supply Kit</t>
  </si>
  <si>
    <t xml:space="preserve">FOX3 320x P/S Kit </t>
  </si>
  <si>
    <t>Replacement Power Supply Kit</t>
  </si>
  <si>
    <t xml:space="preserve">FOX3 40x Fan Kit </t>
  </si>
  <si>
    <t xml:space="preserve">FOX3 40x P/S Kit </t>
  </si>
  <si>
    <t xml:space="preserve">FOX3 80x/160x P/S Kit </t>
  </si>
  <si>
    <t xml:space="preserve">FOX3 80x/320x Fan Kit </t>
  </si>
  <si>
    <t xml:space="preserve">FOX3 I/O 88 MM </t>
  </si>
  <si>
    <t xml:space="preserve">FOX3 I/O 88 SM </t>
  </si>
  <si>
    <t xml:space="preserve">FOX3 Matrix 160x no FPC </t>
  </si>
  <si>
    <t>FOX3 Matrix 160x Frame no FPC</t>
  </si>
  <si>
    <t xml:space="preserve">FOX3 Matrix 24x no FPC 16io MM </t>
  </si>
  <si>
    <t>Configured Matrix - 16x16 Multimode</t>
  </si>
  <si>
    <t xml:space="preserve">FOX3 Matrix 24x no FPC 16io SM </t>
  </si>
  <si>
    <t>Configured Matrix - 16x16 Singlemode</t>
  </si>
  <si>
    <t xml:space="preserve">FOX3 Matrix 24x no FPC 24io MM </t>
  </si>
  <si>
    <t>Configured Matrix - 24x24 Multimode</t>
  </si>
  <si>
    <t xml:space="preserve">FOX3 Matrix 24x no FPC 24io SM </t>
  </si>
  <si>
    <t>Configured Matrix - 24x24 Singlemode</t>
  </si>
  <si>
    <t xml:space="preserve">FOX3 Matrix 24x no FPC 8io MM </t>
  </si>
  <si>
    <t>Configured Matrix - 8x8 Multimode</t>
  </si>
  <si>
    <t xml:space="preserve">FOX3 Matrix 24x no FPC 8io SM </t>
  </si>
  <si>
    <t>Configured Matrix - 8x8 Singlemode</t>
  </si>
  <si>
    <t xml:space="preserve">FOX3 Matrix 320x no FPC </t>
  </si>
  <si>
    <t>FOX3 Matrix 320x Frame no FPC</t>
  </si>
  <si>
    <t xml:space="preserve">FOX3 Matrix 40x no FPC </t>
  </si>
  <si>
    <t>FOX3 Matrix 40x Frame no FPC</t>
  </si>
  <si>
    <t xml:space="preserve">FOX3 Matrix 80x no FPC </t>
  </si>
  <si>
    <t>FOX3 Matrix 80x Frame no FPC</t>
  </si>
  <si>
    <t xml:space="preserve">FOX3 R 301 MM </t>
  </si>
  <si>
    <t>Lossless 4K/60 Receiver - Multimode</t>
  </si>
  <si>
    <t>Uncompressed 4K/60 Receiver - Multimode</t>
  </si>
  <si>
    <t xml:space="preserve">FOX3 R 301 SM </t>
  </si>
  <si>
    <t>Lossless 4K/60 Receiver - Singlemode</t>
  </si>
  <si>
    <t xml:space="preserve">FOX3 R 311 MM </t>
  </si>
  <si>
    <t xml:space="preserve">FOX3 SR 201 MM </t>
  </si>
  <si>
    <t>Lossless 4K/60 Scaling Receiver - Multimode</t>
  </si>
  <si>
    <t>Uncompressed 4K/60 Scaling Receiver - Multimode</t>
  </si>
  <si>
    <t xml:space="preserve">FOX3 SR 201 SM </t>
  </si>
  <si>
    <t>Lossless 4K/60 Scaling Receiver - Singlemode</t>
  </si>
  <si>
    <t>Uncompressed 4K/60 Scaling Receiver - Singlemode</t>
  </si>
  <si>
    <t xml:space="preserve">FOX3 SR 301 MM </t>
  </si>
  <si>
    <t xml:space="preserve">FOX3 SR 301 SM </t>
  </si>
  <si>
    <t xml:space="preserve">FOX3 SR 311 MM </t>
  </si>
  <si>
    <t xml:space="preserve">FOX3 SR 311 SM </t>
  </si>
  <si>
    <t xml:space="preserve">FOX3 T 201 MM </t>
  </si>
  <si>
    <t>Lossless 4K/60 Transmitter - Multimode</t>
  </si>
  <si>
    <t>Uncompressed 4K/60 Transmitter - Multimode</t>
  </si>
  <si>
    <t xml:space="preserve">FOX3 T 201 PC MM </t>
  </si>
  <si>
    <t>PowerCage Fiber Optic Transmitter for HDMI, Audio, and RS-232</t>
  </si>
  <si>
    <t xml:space="preserve">FOX3 T 201 PC SM </t>
  </si>
  <si>
    <t xml:space="preserve">FOX3 T 201 SM </t>
  </si>
  <si>
    <t>Lossless 4K/60 Transmitter - Singlemode</t>
  </si>
  <si>
    <t>Uncompressed 4K/60 Transmitter - Singlemode</t>
  </si>
  <si>
    <t xml:space="preserve">FOX3 T 301 MM </t>
  </si>
  <si>
    <t xml:space="preserve">FOX3 T 301 PC MM </t>
  </si>
  <si>
    <t>PowerCage Fiber Optic Transmitter for HDMI, USB, Audio, and RS-232</t>
  </si>
  <si>
    <t xml:space="preserve">FOX3 T 301 PC SM </t>
  </si>
  <si>
    <t xml:space="preserve">FOX3 T 301 SM </t>
  </si>
  <si>
    <t xml:space="preserve">FOX3 T 311 MM </t>
  </si>
  <si>
    <t xml:space="preserve">FOX3 T 311 PC MM </t>
  </si>
  <si>
    <t xml:space="preserve">FOX3 T 311 PC SM </t>
  </si>
  <si>
    <t xml:space="preserve">FOX3 T 311 SM </t>
  </si>
  <si>
    <t xml:space="preserve">HD/12 </t>
  </si>
  <si>
    <t>HD Series Premium High Speed HDMI Cable 12' (3.6 m)</t>
  </si>
  <si>
    <t xml:space="preserve">HD/6 </t>
  </si>
  <si>
    <t>HD Series Premium High Speed HDMI Cable 6' (1.8 m)</t>
  </si>
  <si>
    <t xml:space="preserve">IEC-Edison Cable Kit </t>
  </si>
  <si>
    <t>One Foot IEC to Edison Cable Adapter Kit</t>
  </si>
  <si>
    <t xml:space="preserve">IPCP Pro S1 xi </t>
  </si>
  <si>
    <t>IPCP Pro xi Control Processor</t>
  </si>
  <si>
    <t>IPCP Pro xi Control Proc., LL UI Upgrade</t>
  </si>
  <si>
    <t xml:space="preserve">IPL EXP 200 </t>
  </si>
  <si>
    <t>Control System I/O Expansion Interface</t>
  </si>
  <si>
    <t xml:space="preserve">IPL EXP PDU4H </t>
  </si>
  <si>
    <t>Control System Power Expansion Interface</t>
  </si>
  <si>
    <t>Control System Power Expansion Interface with Cable Kit</t>
  </si>
  <si>
    <t xml:space="preserve">IPL EXP RIO8 </t>
  </si>
  <si>
    <t xml:space="preserve">IPL EXP S2 </t>
  </si>
  <si>
    <t xml:space="preserve">IPL EXP S5 </t>
  </si>
  <si>
    <t xml:space="preserve">LinkLicense </t>
  </si>
  <si>
    <t>SMP 300 Series Horizontal Video Mirroring Upgrade</t>
  </si>
  <si>
    <t>5 Additional VCPs Upgrade</t>
  </si>
  <si>
    <t>10 Additional VCPs Upgrade</t>
  </si>
  <si>
    <t>25 Additional VCPs Upgrade</t>
  </si>
  <si>
    <t>1 Additional VCP Upgrade</t>
  </si>
  <si>
    <t xml:space="preserve">NAV 10E 201 D </t>
  </si>
  <si>
    <t>10G Pro AV over IP Encoder for HDMI, Decorator-Style Wallplate, Black - MM</t>
  </si>
  <si>
    <t>10G Pro AV over IP Encoder for HDMI, Decorator-Style Wallplate, Black - SM</t>
  </si>
  <si>
    <t>10G Pro AV over IP Encoder for HDMI, Decorator-Style Wallplate, White - MM</t>
  </si>
  <si>
    <t>10G Pro AV over IP Encoder for HDMI, Decorator-Style Wallplate, White - SM</t>
  </si>
  <si>
    <t xml:space="preserve">NAV 10E 401 D </t>
  </si>
  <si>
    <t>10G Pro AV over IP Encoder for HDMI and Ethernet, Decorator-Style Wallplate, Black - MM</t>
  </si>
  <si>
    <t>10G Pro AV over IP Encoder for HDMI and Ethernet, Decorator-Style Wallplate, Black - SM</t>
  </si>
  <si>
    <t>10G Pro AV over IP Encoder for HDMI and Ethernet, Decorator-Style Wallplate, White - MM</t>
  </si>
  <si>
    <t>10G Pro AV over IP Encoder for HDMI and Ethernet, Decorator-Style Wallplate, White - SM</t>
  </si>
  <si>
    <t xml:space="preserve">NAV E 101 DTP </t>
  </si>
  <si>
    <t>1G Pro AV over IP Encoder with DTP</t>
  </si>
  <si>
    <t xml:space="preserve">NAV E 201 D </t>
  </si>
  <si>
    <t>1G Pro AV over IP Encoder for HDMI, Decorator-Style Wallplate, Black</t>
  </si>
  <si>
    <t>1G Pro AV over IP Encoder for HDMI, Decorator-Style Wallplate, White</t>
  </si>
  <si>
    <t xml:space="preserve">NAV E 401 D </t>
  </si>
  <si>
    <t>1G Pro AV over IP Encoder for HDMI and Ethernet, Decorator-Style Wallplate, Black</t>
  </si>
  <si>
    <t>1G Pro AV over IP Encoder for HDMI and Ethernet, Decorator-Style Wallplate, White</t>
  </si>
  <si>
    <t xml:space="preserve">NAV E 511 </t>
  </si>
  <si>
    <t>1G Fiber HDMI, Ethernet, USB Encoder - Multimode</t>
  </si>
  <si>
    <t>1G Fiber HDMI, Ethernet, USB Encoder - Singlemode</t>
  </si>
  <si>
    <t xml:space="preserve">NAV SD 511 </t>
  </si>
  <si>
    <t>1G Fiber HDMI, Ethernet, USB Scaling Decoder - Multimode</t>
  </si>
  <si>
    <t>1G Fiber HDMI, Ethernet, USB Scaling Decoder - Singlemode</t>
  </si>
  <si>
    <t xml:space="preserve">PowerCage 411 </t>
  </si>
  <si>
    <t>Modular Power Enclosure for FOX3 Fiber Optic Extenders</t>
  </si>
  <si>
    <t xml:space="preserve">PowerCage 411 Power Supply Kit </t>
  </si>
  <si>
    <t xml:space="preserve">PVDV 101 </t>
  </si>
  <si>
    <t>PlenumVault Direct View System</t>
  </si>
  <si>
    <t xml:space="preserve">Quantum IN4HDMI 4K PLUS </t>
  </si>
  <si>
    <t>Four-channel 4K/60 HDMI Input Card for Quantum Ultra II</t>
  </si>
  <si>
    <t xml:space="preserve">Quantum OUT4HDMI 4K PLUS </t>
  </si>
  <si>
    <t>Four-channel 4K/60 HDMI Output Card for Quantum Ultra II</t>
  </si>
  <si>
    <t xml:space="preserve">SMB 111T </t>
  </si>
  <si>
    <t>TLP Pro 300M Surface Mount Box, Black</t>
  </si>
  <si>
    <t>TLP Pro 300M Surface Mount Box, White</t>
  </si>
  <si>
    <t xml:space="preserve">SMP 352 - 80 GB SSD </t>
  </si>
  <si>
    <t>Dual Recording – 80 GB SSD</t>
  </si>
  <si>
    <t xml:space="preserve">StudioStation </t>
  </si>
  <si>
    <t>StudioStation</t>
  </si>
  <si>
    <t xml:space="preserve">TLI Pro 201 </t>
  </si>
  <si>
    <t>4K TouchLink® Interface</t>
  </si>
  <si>
    <t xml:space="preserve">TLP Pro 1230WTG </t>
  </si>
  <si>
    <t>12” Ultra-wide Tabletop TouchLink Pro Touchpanel - Black</t>
  </si>
  <si>
    <t>12” Ultra-wide Tabletop TouchLink Pro Touchpanel - White</t>
  </si>
  <si>
    <t xml:space="preserve">TLSI 201 </t>
  </si>
  <si>
    <t>Interactive Wayfinding Interface</t>
  </si>
  <si>
    <t xml:space="preserve">USBA-B/3 </t>
  </si>
  <si>
    <t>SuperSpeed 5Gbps USB-A to USB-B Cables - 3' (90 cm)</t>
  </si>
  <si>
    <t xml:space="preserve">USBA-B/6 </t>
  </si>
  <si>
    <t>SuperSpeed 5Gbps USB-A to USB-B Cables - 6' (1.8 m)</t>
  </si>
  <si>
    <t xml:space="preserve">USBA-B/9 </t>
  </si>
  <si>
    <t>SuperSpeed 5Gbps USB-A to USB-B Cables -  9' (2.7 m)</t>
  </si>
  <si>
    <t xml:space="preserve">USBC Pro 8K/12 </t>
  </si>
  <si>
    <t>USB-C® 8K/30 Video Optical Cables with USB 2.0 Data and 60 W Power Delivery 12' (3.6 m)</t>
  </si>
  <si>
    <t xml:space="preserve">USBC Pro 8K/15 </t>
  </si>
  <si>
    <t>USB-C® 8K/30 Video Optical Cables with USB 2.0 Data and 60 W Power Delivery 15' (4.5 m)</t>
  </si>
  <si>
    <t xml:space="preserve">USBC Pro 8K/25 </t>
  </si>
  <si>
    <t>USB-C® 8K/30 Video Optical Cables with USB 2.0 Data and 60 W Power Delivery 25' (7.6 m)</t>
  </si>
  <si>
    <t xml:space="preserve">USBC Pro 8K/30 </t>
  </si>
  <si>
    <t>USB-C® 8K/30 Video Optical Cables with USB 2.0 Data and 60 W Power Delivery 30' (9.1 m)</t>
  </si>
  <si>
    <t xml:space="preserve">VCA 100 </t>
  </si>
  <si>
    <t>Virtual Control Appliance with 5 Virtual Control Processors</t>
  </si>
  <si>
    <t xml:space="preserve">FL-200-3 </t>
  </si>
  <si>
    <t xml:space="preserve">FL-200 3” Box Bottom with Construction Cover </t>
  </si>
  <si>
    <t>17769</t>
  </si>
  <si>
    <t xml:space="preserve">FL-200-4 </t>
  </si>
  <si>
    <t>FL-200 4.25” Box Bottom with Construction Cover</t>
  </si>
  <si>
    <t>17770</t>
  </si>
  <si>
    <t xml:space="preserve">MMS-FL-200-4 </t>
  </si>
  <si>
    <t>MMS-FL-200-4 Wall Plate- Bracket Kit for FL-200-4 Only</t>
  </si>
  <si>
    <t>17773</t>
  </si>
  <si>
    <t xml:space="preserve">FL-GRD200 </t>
  </si>
  <si>
    <t>FL-GRD2 Concrete Pan, 2" Depth</t>
  </si>
  <si>
    <t>17802</t>
  </si>
  <si>
    <t>FL-200-SF4-C</t>
  </si>
  <si>
    <t>Cover Mounting Bracket Kit - Cover is not included. See Smart Fit Poke Thru section for cover details.</t>
  </si>
  <si>
    <t>17949</t>
  </si>
  <si>
    <t>FL-200-SLP</t>
  </si>
  <si>
    <t>FL-200 Scrub Water Cover – 1/4” Beveled ALM Edging *Max Static Load 1,700 lbs.</t>
  </si>
  <si>
    <t>17771</t>
  </si>
  <si>
    <t xml:space="preserve">FL-200-BLP </t>
  </si>
  <si>
    <t>FL-200 Scrub Water Cover – 1/4” Beveled Brass Edging *Max Static Load 1,700 lbs.</t>
  </si>
  <si>
    <t>17772</t>
  </si>
  <si>
    <t xml:space="preserve">FL-200-PLP-BLK-C </t>
  </si>
  <si>
    <t>U-Access Cover - 1/4" Black Edging *Max Static Load 1,700 lbs.</t>
  </si>
  <si>
    <t>17876</t>
  </si>
  <si>
    <t xml:space="preserve">FL-200-PLP-CLY-C </t>
  </si>
  <si>
    <t>U-Access Cover - 1/4" Clay Edging *Max Static Load 1,700 lbs.</t>
  </si>
  <si>
    <t>17877</t>
  </si>
  <si>
    <t xml:space="preserve">FL-200-PLP-GRY-C </t>
  </si>
  <si>
    <t>U-Access Cover - 1/4" Gray Edging *Max Static Load 1,700 lbs.</t>
  </si>
  <si>
    <t>17878</t>
  </si>
  <si>
    <t xml:space="preserve">FL-200-SLD-ALU-C </t>
  </si>
  <si>
    <t xml:space="preserve">U-Access Cover - Tile 1/4" Solid Aluminum </t>
  </si>
  <si>
    <t>17886</t>
  </si>
  <si>
    <t xml:space="preserve">FL-200-SLD-BLK-C </t>
  </si>
  <si>
    <t xml:space="preserve">U-Access Cover - Tile 1/4" Solid Black </t>
  </si>
  <si>
    <t>17887</t>
  </si>
  <si>
    <t xml:space="preserve">FL-200-SLD-CLY-C </t>
  </si>
  <si>
    <t xml:space="preserve">U-Access Cover - Tile 1/4" Solid Clay </t>
  </si>
  <si>
    <t>17888</t>
  </si>
  <si>
    <t>FL-200-SLD-GRY-C</t>
  </si>
  <si>
    <t xml:space="preserve">U-Access Cover - Tile 1/4" Solid Gray </t>
  </si>
  <si>
    <t>17889</t>
  </si>
  <si>
    <t xml:space="preserve">FL-200-SSQ-C </t>
  </si>
  <si>
    <t>U-Access Cover - Tile 1/4" Trim *Max Static Load 1,700 lbs.</t>
  </si>
  <si>
    <t>17890</t>
  </si>
  <si>
    <t xml:space="preserve">FL-200-BSQ-C </t>
  </si>
  <si>
    <t>17891</t>
  </si>
  <si>
    <t>FL-200-B-C</t>
  </si>
  <si>
    <t>ATO - U-Access CV - FL-200  1/2" Brass Trim</t>
  </si>
  <si>
    <t>17903</t>
  </si>
  <si>
    <t>FL-200-S-C</t>
  </si>
  <si>
    <t>U-Access CV - FL-200  1/2" Aluminum Trim</t>
  </si>
  <si>
    <t>17904</t>
  </si>
  <si>
    <t>FL-200-PTBLK</t>
  </si>
  <si>
    <t>Cover only – Black Painted Hinged No Flange</t>
  </si>
  <si>
    <t>17968</t>
  </si>
  <si>
    <t>FL-200-PTSLV</t>
  </si>
  <si>
    <t>Cover only – Silver Painted Hinged No Flange</t>
  </si>
  <si>
    <t>17969</t>
  </si>
  <si>
    <t>FL-200-PTBRS</t>
  </si>
  <si>
    <t>Cover only – Brass Painted Hinged No Flange</t>
  </si>
  <si>
    <t>17970</t>
  </si>
  <si>
    <t xml:space="preserve">FL-400-5-B </t>
  </si>
  <si>
    <t>5" Box Bottom</t>
  </si>
  <si>
    <t>18188</t>
  </si>
  <si>
    <t xml:space="preserve">FL-400-PTSLV-C </t>
  </si>
  <si>
    <t>Flat Painted Silver Cover</t>
  </si>
  <si>
    <t>18189</t>
  </si>
  <si>
    <t xml:space="preserve">FL-400-PTBK-C </t>
  </si>
  <si>
    <t>Flat Painted Black Cover</t>
  </si>
  <si>
    <t>18190</t>
  </si>
  <si>
    <t>FL-400-BLP-C</t>
  </si>
  <si>
    <t>Cover With 1/4" Brass Carpet Flange  (Lift off door)</t>
  </si>
  <si>
    <t>18191</t>
  </si>
  <si>
    <t xml:space="preserve">FL-400-BSQ-C </t>
  </si>
  <si>
    <t>Cover With 1/4" Square Brass Flange  (Lift off door)</t>
  </si>
  <si>
    <t>18192</t>
  </si>
  <si>
    <t xml:space="preserve">FL-400-B-C </t>
  </si>
  <si>
    <t>Cover With 1/2" Brass Squared Flange  (Lift off door)</t>
  </si>
  <si>
    <t>18193</t>
  </si>
  <si>
    <t xml:space="preserve">FL-400-SLP-C </t>
  </si>
  <si>
    <t>Cover With 1/4" Aluminum Carpet Flange  (Lift off door)</t>
  </si>
  <si>
    <t>18194</t>
  </si>
  <si>
    <t xml:space="preserve">FL-400-SSQ-C </t>
  </si>
  <si>
    <t>Cover With 1/4" Square Aluminum Flange (Lift off door)</t>
  </si>
  <si>
    <t>18195</t>
  </si>
  <si>
    <t xml:space="preserve">FL-400-S-C </t>
  </si>
  <si>
    <t>Cover With 1/2" Aluminum Squared Flange  (Lift off door)</t>
  </si>
  <si>
    <t>18196</t>
  </si>
  <si>
    <t xml:space="preserve">FL-400-PLP-BLK-C </t>
  </si>
  <si>
    <t>Cover with 1/4" Painted Carpet Flange - Black (Lift off door)</t>
  </si>
  <si>
    <t>18197</t>
  </si>
  <si>
    <t xml:space="preserve">FL-400-PLP-GRY-C </t>
  </si>
  <si>
    <t>Cover with 1/4"Painted Carpet Flange - Gray (Lift off door)</t>
  </si>
  <si>
    <t>18198</t>
  </si>
  <si>
    <t xml:space="preserve">FL-400-SLD-ALU-C </t>
  </si>
  <si>
    <t>Solid Cover w/ Cable Exit (No Trim) Aluminum</t>
  </si>
  <si>
    <t>18199</t>
  </si>
  <si>
    <t xml:space="preserve">FL-400-SLD-BLK-C </t>
  </si>
  <si>
    <t>Solid Cover w/ Cable Exit (No Trim) Black</t>
  </si>
  <si>
    <t>18200</t>
  </si>
  <si>
    <t xml:space="preserve">FL-400-SLD-GRY-C </t>
  </si>
  <si>
    <t>Solid Cover w/ Cable Exit (No Trim) Gray</t>
  </si>
  <si>
    <t>18201</t>
  </si>
  <si>
    <t xml:space="preserve">FL-400-CSK </t>
  </si>
  <si>
    <t>Cover Shim Kit - 1/16 TO 1/4" Temp &amp; Finish Cover</t>
  </si>
  <si>
    <t>18202</t>
  </si>
  <si>
    <t>FL-500P-BLP-C U-Access Cover</t>
  </si>
  <si>
    <t>Cover With 1/4" Brass Carpet Flange  (Lift off door) *Max Static Load 1,300 lbs.</t>
  </si>
  <si>
    <t>17546</t>
  </si>
  <si>
    <t>FL-500P-BSQ-C U-Access Cover</t>
  </si>
  <si>
    <t>Cover With 1/4" Square Brass Flange  (Lift off door) *Max Static Load 1,300 lbs.</t>
  </si>
  <si>
    <t>17547</t>
  </si>
  <si>
    <t>FL-500P-B-C U-Access Cover</t>
  </si>
  <si>
    <t>Cover With 1/2" Brass Squared Flange  (Lift off door) *Max Static Load 1,500 lbs.</t>
  </si>
  <si>
    <t>17548</t>
  </si>
  <si>
    <t>FL-500P-SLP-C U-Access Cover</t>
  </si>
  <si>
    <t>Cover With 1/4" Aluminum Carpet Flange  (Lift off door) *Max Static Load 1,300 lbs.</t>
  </si>
  <si>
    <t>17549</t>
  </si>
  <si>
    <t>FL-500P-SSQ-C</t>
  </si>
  <si>
    <t>Cover With 1/4" Square Aluminum Flange (Lift off door) *Max Static Load 1,300 lbs.</t>
  </si>
  <si>
    <t>17550</t>
  </si>
  <si>
    <t>FL-500P-S-C U-Access Cover</t>
  </si>
  <si>
    <t>Cover With 1/2" Aluminum Squared Flange  (Lift off door) *Max Static Load 1,500 lbs.</t>
  </si>
  <si>
    <t>17551</t>
  </si>
  <si>
    <t>FL-500P-PLP-BLK-C U-Access Cover</t>
  </si>
  <si>
    <t>Cover with 1/4" Painted Carpet Flange - Black (Lift off door) *Max Static Load 1,300 lbs.</t>
  </si>
  <si>
    <t>17552</t>
  </si>
  <si>
    <t>FL-500P-PLP-CLY-C U-Access Cover</t>
  </si>
  <si>
    <t>Cover with 1/4"Painted Carpet Flange - Clay (Lift off door) *Max Static Load 1,300 lbs.</t>
  </si>
  <si>
    <t>17553</t>
  </si>
  <si>
    <t>FL-500P-PLP-GRY-C U-Access Cover</t>
  </si>
  <si>
    <t>Cover with 1/4"Painted Carpet Flange - Gray (Lift off door) *Max Static Load 1,300 lbs.</t>
  </si>
  <si>
    <t>17554</t>
  </si>
  <si>
    <t>FL-500P-SLD-ALU-C U-Access Cover</t>
  </si>
  <si>
    <t>Solid Cover w/ Cable Exit (No Trim) Aluminum *Max Static Load 2,500 lbs.</t>
  </si>
  <si>
    <t>17555</t>
  </si>
  <si>
    <t>FL-500P-SLD-BLK-C U-Access Cover</t>
  </si>
  <si>
    <t>Solid Cover w/ Cable Exit (No Trim) Black *Max Static Load 2,500 lbs.</t>
  </si>
  <si>
    <t>17556</t>
  </si>
  <si>
    <t>FL-500P-SLD-CLY-C U-Access Cover</t>
  </si>
  <si>
    <t>Solid Cover w/ Cable Exit (No Trim) Clay *Max Static Load 2,500 lbs.</t>
  </si>
  <si>
    <t>17557</t>
  </si>
  <si>
    <t>FL-500P-SLD-GRY-C U-Access Cover</t>
  </si>
  <si>
    <t>Solid Cover w/ Cable Exit (No Trim) Gray *Max Static Load 2,500 lbs.</t>
  </si>
  <si>
    <t>17558</t>
  </si>
  <si>
    <t>FL-500P-BLK-C</t>
  </si>
  <si>
    <t xml:space="preserve">Cover  (No Flange) With Hinged Door in a Black Wrinkle Powder Coat </t>
  </si>
  <si>
    <t>15075</t>
  </si>
  <si>
    <t>FL-500P-PTSLV</t>
  </si>
  <si>
    <t>18153</t>
  </si>
  <si>
    <t>FL-500P-SS-C</t>
  </si>
  <si>
    <t>Stainless Steel Cover (No Flange) with Hinged Door</t>
  </si>
  <si>
    <t>15526</t>
  </si>
  <si>
    <t>FL-500P-BRS</t>
  </si>
  <si>
    <t>FL-500P Cover Flat- Brass</t>
  </si>
  <si>
    <t>16221</t>
  </si>
  <si>
    <t xml:space="preserve">FL-500P-CSK </t>
  </si>
  <si>
    <t>Cover Shim Kit - 1/16 - 5/16 Temp &amp; Finish Covers</t>
  </si>
  <si>
    <t>17804</t>
  </si>
  <si>
    <t>FL-600P-SF6-C</t>
  </si>
  <si>
    <t>Cover Mounting- Bracket Kit - Cover is not included. See Smart Fit Poke Thru section for cover details.</t>
  </si>
  <si>
    <t>18111</t>
  </si>
  <si>
    <t xml:space="preserve">FL-500P-SF8-C </t>
  </si>
  <si>
    <t>17899</t>
  </si>
  <si>
    <t xml:space="preserve">FL-540P-SF8-C </t>
  </si>
  <si>
    <t>17900</t>
  </si>
  <si>
    <t xml:space="preserve">FL-600P-SF8-C </t>
  </si>
  <si>
    <t>17901</t>
  </si>
  <si>
    <t xml:space="preserve">FL-640P-SF8-C </t>
  </si>
  <si>
    <t>17902</t>
  </si>
  <si>
    <t>FL-500P-2.25-B</t>
  </si>
  <si>
    <t>FL-500P Back Box - 2.25" Deep (NON-UL - Different Internal Brackets)</t>
  </si>
  <si>
    <t>15357</t>
  </si>
  <si>
    <t>FL-500P-3-B</t>
  </si>
  <si>
    <t>FL-500P Back Box - 3" Deep 4 x 1-Gang Areas</t>
  </si>
  <si>
    <t>17282</t>
  </si>
  <si>
    <t>FL-500P-4-B</t>
  </si>
  <si>
    <t>FL-500P Back Box - 4" Deep</t>
  </si>
  <si>
    <t>10064</t>
  </si>
  <si>
    <t>FL-500P-5-B</t>
  </si>
  <si>
    <t>FL-500P Back Box - 5" Deep</t>
  </si>
  <si>
    <t>18078</t>
  </si>
  <si>
    <t>FL-500P-6-B</t>
  </si>
  <si>
    <t>FL-500P Back Box - 6" Deep</t>
  </si>
  <si>
    <t>10065</t>
  </si>
  <si>
    <t>FL-500P-8-B</t>
  </si>
  <si>
    <t>FL-500P Back Box - 8" Deep</t>
  </si>
  <si>
    <t>10066</t>
  </si>
  <si>
    <t>FL-500P-10-B</t>
  </si>
  <si>
    <t>FL-500P Back Box - 10" Deep</t>
  </si>
  <si>
    <t>15984</t>
  </si>
  <si>
    <t>FL-500P-2.25-Decora</t>
  </si>
  <si>
    <t>2 Decora Openings (No Divider) Replaces Blank Plate (2.25" Box Only)</t>
  </si>
  <si>
    <t>55133</t>
  </si>
  <si>
    <t>FL-500P-4-3G</t>
  </si>
  <si>
    <t>3 Single Gang Opening (No Divider) Replaces 4G Plate (4" Box Only)</t>
  </si>
  <si>
    <t>57098</t>
  </si>
  <si>
    <t>FL-500P-6-3G</t>
  </si>
  <si>
    <t>3 Single Gang Opening (No Divider) Replaces 4G Plate (6" Box Only)</t>
  </si>
  <si>
    <t>57099</t>
  </si>
  <si>
    <t>FL-P3"-DECORA</t>
  </si>
  <si>
    <t>Optional Bracket For FL-500P/600P 3"</t>
  </si>
  <si>
    <t>17298</t>
  </si>
  <si>
    <t>FL-P3"-DUPLEX</t>
  </si>
  <si>
    <t>17299</t>
  </si>
  <si>
    <t>FL-P3"-6IPS</t>
  </si>
  <si>
    <t>17300</t>
  </si>
  <si>
    <t>FL-P3"-BLANK</t>
  </si>
  <si>
    <t>17301</t>
  </si>
  <si>
    <t xml:space="preserve">MMS-FL-500/540P-4 </t>
  </si>
  <si>
    <t>Crestron DM-TX Bracket w/ Blank Plate for FL-500P-4 / FL-540P-4</t>
  </si>
  <si>
    <t>99509</t>
  </si>
  <si>
    <t>FL-600P-BLP-C U-Access Cover</t>
  </si>
  <si>
    <t>Cover With 1/4" Brass Carpet Flange  (Lift off door) *Max Static Load 1,200 lbs.</t>
  </si>
  <si>
    <t>17559</t>
  </si>
  <si>
    <t>FL-600P-BSQ-C U-Access Cover</t>
  </si>
  <si>
    <t>Cover with 1/4" Square Brass Flange (Lift off door) *Max Static Load 1,200 lbs.</t>
  </si>
  <si>
    <t>17560</t>
  </si>
  <si>
    <t>FL-600P-B-C U-Access Cover</t>
  </si>
  <si>
    <t>17561</t>
  </si>
  <si>
    <t>FL-600P-SLP-C U-Access Cover</t>
  </si>
  <si>
    <t>Cover With 1/4" Aluminum Carpet Flange  (Lift off door) *Max Static Load 1,200 lbs.</t>
  </si>
  <si>
    <t>17562</t>
  </si>
  <si>
    <t>FL-600P-SSQ-C U-Access Cover</t>
  </si>
  <si>
    <t>Cover With 1/4" Square Aluminum Flange (Lift off door) *Max Static Load 1,200 lbs.</t>
  </si>
  <si>
    <t>17563</t>
  </si>
  <si>
    <t>FL-600P-S-C U-Access Cover</t>
  </si>
  <si>
    <t>Cover with 1/2" Aluminum Carpet Flange - Black (Lift off door) *Max Static Load 1,500 lbs</t>
  </si>
  <si>
    <t>17564</t>
  </si>
  <si>
    <t>FL-600P-PLP-BLK-C U-Access Cover</t>
  </si>
  <si>
    <t>Cover with 1/4" Painted Carpet Flange - Black (Lift off door) *Max Static Load 1,200 lbs.</t>
  </si>
  <si>
    <t>17565</t>
  </si>
  <si>
    <t>FL-600P-PLP-CLY-C U-Access Cover</t>
  </si>
  <si>
    <t>Cover with 1/4"Painted Carpet Flange - Clay (Lift off door) *Max Static Load 1,200 lbs.</t>
  </si>
  <si>
    <t>17566</t>
  </si>
  <si>
    <t>FL-600P-PLP-GRY-C U-Access Cover</t>
  </si>
  <si>
    <t>Cover with 1/4"Painted Carpet Flange - Gray (Lift off door) *Max Static Load 1,200 lbs.</t>
  </si>
  <si>
    <t>17567</t>
  </si>
  <si>
    <t>FL-600P-SLD-ALU-C U-Access Cover</t>
  </si>
  <si>
    <t>Solid Cover w/ Cable Exit (No Trim) Aluminum *Max Static Load 2,600 lbs.</t>
  </si>
  <si>
    <t>17568</t>
  </si>
  <si>
    <t>FL-600P-SLD-BLK-C U-Access Cover</t>
  </si>
  <si>
    <t>Solid Cover w/ Cable Exit (No Trim) Black *Max Static Load 2,600 lbs.</t>
  </si>
  <si>
    <t>17569</t>
  </si>
  <si>
    <t>FL-600P-SLD-CLY-C U-Access Cover</t>
  </si>
  <si>
    <t>Solid Cover w/ Cable Exit (No Trim) Clay *Max Static Load 2,600 lbs.</t>
  </si>
  <si>
    <t>17570</t>
  </si>
  <si>
    <t>FL-600P-SLD-GRY-C U-Access Cover</t>
  </si>
  <si>
    <t>Solid Cover w/ Cable Exit (No Trim) Gray *Max Static Load 2,600 lbs.</t>
  </si>
  <si>
    <t>17571</t>
  </si>
  <si>
    <t>FL-600P-BK-C</t>
  </si>
  <si>
    <t xml:space="preserve">Cover (No Flange) With Hinged Door in a Black Wrinkle Powder Coat </t>
  </si>
  <si>
    <t>15472</t>
  </si>
  <si>
    <t>FL-600P-PTSLV</t>
  </si>
  <si>
    <t>18155</t>
  </si>
  <si>
    <t>FL-600P-SS-C</t>
  </si>
  <si>
    <t>Cover (No Flange) With Hinged Door in Stainless Steel</t>
  </si>
  <si>
    <t>16945</t>
  </si>
  <si>
    <t>FL-600P-3-B</t>
  </si>
  <si>
    <t>FL-600P Back Box - 3" Deep 6 x 1-Gang Areas</t>
  </si>
  <si>
    <t>17283</t>
  </si>
  <si>
    <t>FL-600P-4-B</t>
  </si>
  <si>
    <t>FL-600P Back Box - 4" Deep</t>
  </si>
  <si>
    <t>15476</t>
  </si>
  <si>
    <t>FL-600P-5-B</t>
  </si>
  <si>
    <t>FL-600P Back Box - 5" Deep</t>
  </si>
  <si>
    <t>18080</t>
  </si>
  <si>
    <t>FL-600P-6-B</t>
  </si>
  <si>
    <t>FL-600P Back Box - 6" Deep</t>
  </si>
  <si>
    <t>15475</t>
  </si>
  <si>
    <t>FL-600P-8-B</t>
  </si>
  <si>
    <t>FL-600P Back Box - 8" Deep</t>
  </si>
  <si>
    <t>17118</t>
  </si>
  <si>
    <t>FL-600P-10-B</t>
  </si>
  <si>
    <t>FL-600P Back Box - 10" Deep</t>
  </si>
  <si>
    <t>17182</t>
  </si>
  <si>
    <t>FL-600P3"-EP-DEC</t>
  </si>
  <si>
    <t>Decora Bracket end Bracket For FL-600P-3</t>
  </si>
  <si>
    <t>17302</t>
  </si>
  <si>
    <t>FL-600P3"-EP-DUP</t>
  </si>
  <si>
    <t>Duplex Bracket End Bracket For FL-600P-3</t>
  </si>
  <si>
    <t>17303</t>
  </si>
  <si>
    <t>FL-600P3"-EP-4IPS</t>
  </si>
  <si>
    <t>IPS Bracket End Bracket For FL-600P-3</t>
  </si>
  <si>
    <t>17304</t>
  </si>
  <si>
    <t xml:space="preserve">MMS-FL-600/640P-4 </t>
  </si>
  <si>
    <t>Crestron DM-TX Bracket w/ Blank Plate for FL-600P-4 / FL-640P-4</t>
  </si>
  <si>
    <t>99495</t>
  </si>
  <si>
    <t xml:space="preserve">FL-600P-3-SVSI-BRK </t>
  </si>
  <si>
    <t>SVSI Bracket Set for use with FL-600P-3</t>
  </si>
  <si>
    <t>99543</t>
  </si>
  <si>
    <t>FL-600P-CSK</t>
  </si>
  <si>
    <t>FL-600P Cover shim kit</t>
  </si>
  <si>
    <t>17805</t>
  </si>
  <si>
    <t>FL-605P-6-B</t>
  </si>
  <si>
    <t>FL-605P Box - 6" Deep 4 Compartment Back Box</t>
  </si>
  <si>
    <t>17331</t>
  </si>
  <si>
    <t>FL-700-BLP-C</t>
  </si>
  <si>
    <t>15860</t>
  </si>
  <si>
    <t>FL-700-SLP-C</t>
  </si>
  <si>
    <t>15859</t>
  </si>
  <si>
    <t>FL-700-SSQ-C</t>
  </si>
  <si>
    <t>MTO - Cover with 1/4" Square Aluminum Flange (Lift off door)</t>
  </si>
  <si>
    <t>16173</t>
  </si>
  <si>
    <t>FL-700-BLK-C</t>
  </si>
  <si>
    <t>Cover (No Flange) With Hinged Door in Black Sandtex</t>
  </si>
  <si>
    <t>16059</t>
  </si>
  <si>
    <t>FL-700-B</t>
  </si>
  <si>
    <t>FL-700 Back Box - 5 1/4" Deep</t>
  </si>
  <si>
    <t>15858</t>
  </si>
  <si>
    <t>FL-710-SLP-C</t>
  </si>
  <si>
    <t>15862</t>
  </si>
  <si>
    <t>FL-710-BLP-C</t>
  </si>
  <si>
    <t>15863</t>
  </si>
  <si>
    <t>FL-710-BSQ-C</t>
  </si>
  <si>
    <t>MTO - Cover With 1/4" Square Brass Flange (Lift off door)</t>
  </si>
  <si>
    <t>15796</t>
  </si>
  <si>
    <t>FL-710-SSQ-C</t>
  </si>
  <si>
    <t>16065</t>
  </si>
  <si>
    <t>FL-710-BLK-C</t>
  </si>
  <si>
    <t>16061</t>
  </si>
  <si>
    <t>FL-710-B</t>
  </si>
  <si>
    <t>FL-710 Back Box - 5 1/4" Deep</t>
  </si>
  <si>
    <t>15861</t>
  </si>
  <si>
    <t>FL-2000-BLK-C</t>
  </si>
  <si>
    <t>Black Sandtex Cover</t>
  </si>
  <si>
    <t>13007</t>
  </si>
  <si>
    <t>FL-2000-B</t>
  </si>
  <si>
    <t>FL-2000 Back Box  (NON-UL)</t>
  </si>
  <si>
    <t>10091</t>
  </si>
  <si>
    <t>FL-1500-3GP</t>
  </si>
  <si>
    <t>3 Gang Large Plate for FL-1500 and FL-2000</t>
  </si>
  <si>
    <t>16964</t>
  </si>
  <si>
    <t>FL-1500-4GP</t>
  </si>
  <si>
    <t>4 Gang Large Plate for FL-1500 and FL-2000</t>
  </si>
  <si>
    <t>16965</t>
  </si>
  <si>
    <t>FL-1500-X12P</t>
  </si>
  <si>
    <t>12 XLR Large Plate for FL-1500 and FL-2000</t>
  </si>
  <si>
    <t>16966</t>
  </si>
  <si>
    <t>FL-1500-X18P</t>
  </si>
  <si>
    <t>18 XLR Large Plate for FL-1500 and FL-2000</t>
  </si>
  <si>
    <t>16967</t>
  </si>
  <si>
    <t>FL-1500-IPSP</t>
  </si>
  <si>
    <t>3 x 6 IPS Openings Large Plate for FL-1500 and FL-2000</t>
  </si>
  <si>
    <t>16968</t>
  </si>
  <si>
    <t>FLH20-0S-C</t>
  </si>
  <si>
    <t>Solid Cover - No Carpet Trim for FLH20 - Aluminum *Max Static Load 24,000 lbs</t>
  </si>
  <si>
    <t>16844</t>
  </si>
  <si>
    <t>FLH20-1S-C</t>
  </si>
  <si>
    <t>Carpet Cover for FLH20-1 Floor Box - Aluminum *Max Static Load 16,000 lbs</t>
  </si>
  <si>
    <t>16806</t>
  </si>
  <si>
    <t>FLH20-0-JBC</t>
  </si>
  <si>
    <t>Load Rated Temp / Abandonment Cover for Solid Cover Back Box</t>
  </si>
  <si>
    <t>16846</t>
  </si>
  <si>
    <t>FLH20-1-JBC</t>
  </si>
  <si>
    <t>Load Rated Temp / Abandonment Cover for Carpet Back Box</t>
  </si>
  <si>
    <t>16847</t>
  </si>
  <si>
    <t>FLH20-0-B</t>
  </si>
  <si>
    <t>FLH20-0 Back Box w/ Configurable Internal Brackets for Solid Cover</t>
  </si>
  <si>
    <t>16845</t>
  </si>
  <si>
    <t>FLH20-1-B</t>
  </si>
  <si>
    <t>FLH20-1 Back Box w/ Configurable Internal Brackets for Carpet Cover</t>
  </si>
  <si>
    <t>16807</t>
  </si>
  <si>
    <t>FLH-SM-DR</t>
  </si>
  <si>
    <t>Replacement cable door handle for FLH20 box</t>
  </si>
  <si>
    <t>17306</t>
  </si>
  <si>
    <t>FL-GRD2</t>
  </si>
  <si>
    <t>2" Grade Mounting Kit</t>
  </si>
  <si>
    <t>16212</t>
  </si>
  <si>
    <t>FL-GRD4</t>
  </si>
  <si>
    <t>4" Grade Mounting Kit</t>
  </si>
  <si>
    <t>16213</t>
  </si>
  <si>
    <t xml:space="preserve">LITE-IT </t>
  </si>
  <si>
    <t>Timed Magnetic Interior Product Light</t>
  </si>
  <si>
    <t>17613</t>
  </si>
  <si>
    <t>SF10-PT</t>
  </si>
  <si>
    <t>Smart-Fit 10" Poke Thru Configurable Box</t>
  </si>
  <si>
    <t>18388</t>
  </si>
  <si>
    <t>SF10-PS</t>
  </si>
  <si>
    <t>Pre-Pour Sleeve</t>
  </si>
  <si>
    <t>18389</t>
  </si>
  <si>
    <t>SF10-CVR-ALM</t>
  </si>
  <si>
    <t>SF10 Brushed Aluminum Recessed Cover</t>
  </si>
  <si>
    <t>18390</t>
  </si>
  <si>
    <t>SF10-CVR-BLK</t>
  </si>
  <si>
    <t>SF10 Black Painted Recessed Cover</t>
  </si>
  <si>
    <t>18391</t>
  </si>
  <si>
    <t>SF10-CVR-BRS</t>
  </si>
  <si>
    <t>SF10 Brass Plated Recessed Cover</t>
  </si>
  <si>
    <t>18392</t>
  </si>
  <si>
    <t>SF10-FFCVR-ALM</t>
  </si>
  <si>
    <t>SF10 Furniture Feed Cover - Brushed Aluminum - cover and divider</t>
  </si>
  <si>
    <t>18393</t>
  </si>
  <si>
    <t>SF10-FFCVR-BLK</t>
  </si>
  <si>
    <t>SF10 Furniture Feed Cover - Black Painted - cover and divider</t>
  </si>
  <si>
    <t>18394</t>
  </si>
  <si>
    <t>SF10-FFCVR-BRS</t>
  </si>
  <si>
    <t>SF10 Furniture Feed Cover - Brass Plated - cover and divider</t>
  </si>
  <si>
    <t>18395</t>
  </si>
  <si>
    <t>SF10-CVR-ABAND</t>
  </si>
  <si>
    <t>SF10 Abandonment Plate</t>
  </si>
  <si>
    <t>18396</t>
  </si>
  <si>
    <t>SF10-CNP-1DE</t>
  </si>
  <si>
    <t>SF10 - Center Sub-Plate - 1G Decora</t>
  </si>
  <si>
    <t>18397</t>
  </si>
  <si>
    <t>SF10-CNP-1DX</t>
  </si>
  <si>
    <t>SF10 - Center Sub-Plate - 1G Duplex</t>
  </si>
  <si>
    <t>18398</t>
  </si>
  <si>
    <t>SF10-CNP-4DX</t>
  </si>
  <si>
    <t>SF10 - Center Sub-Plate - 4G 4-Duplex</t>
  </si>
  <si>
    <t>18399</t>
  </si>
  <si>
    <t>SF10-CNP-2DE</t>
  </si>
  <si>
    <t>SF10 - Center Sub-Plate - 2G Decora Nema spacing</t>
  </si>
  <si>
    <t>18400</t>
  </si>
  <si>
    <t>SF10-CNP-3DE</t>
  </si>
  <si>
    <t>SF10 - Center Sub-Plate - 3G Decora Nema spacing</t>
  </si>
  <si>
    <t>18401</t>
  </si>
  <si>
    <t>SF10-CNP-4DE</t>
  </si>
  <si>
    <t>SF10 - Center Sub-Plate - 4G Decora</t>
  </si>
  <si>
    <t>18402</t>
  </si>
  <si>
    <t>SF10-CNP-1BLNK</t>
  </si>
  <si>
    <t>SF10 - Center Sub-Plate - 1G Blank</t>
  </si>
  <si>
    <t>18403</t>
  </si>
  <si>
    <t>SF10-CNP-2BLNK</t>
  </si>
  <si>
    <t>SF10 - Center Sub-Plate - 2G Blank</t>
  </si>
  <si>
    <t>18404</t>
  </si>
  <si>
    <t>SF10-CNP-4BLNK</t>
  </si>
  <si>
    <t>SF10 - Center Sub-Plate - 4G Blank</t>
  </si>
  <si>
    <t>18405</t>
  </si>
  <si>
    <t>SF10-CNP-IPS</t>
  </si>
  <si>
    <t>SF10 - Center Sub-Plate  -1G, 4-IPS</t>
  </si>
  <si>
    <t>18406</t>
  </si>
  <si>
    <t>SF10-CNP-140R</t>
  </si>
  <si>
    <t>SF10 - Center Sub-Plate - 1G, 1.40" round opening</t>
  </si>
  <si>
    <t>18407</t>
  </si>
  <si>
    <t>SF10-CNP-160R</t>
  </si>
  <si>
    <t>SF10 - Center Sub-Plate - 1G, 1.60" round opening</t>
  </si>
  <si>
    <t>18408</t>
  </si>
  <si>
    <t>SF10-CNP-VID</t>
  </si>
  <si>
    <t>SF10 - Center Sub-Plate - 1G, 1-VGA/HDMI</t>
  </si>
  <si>
    <t>18409</t>
  </si>
  <si>
    <t>SF10-CNP-1XLR</t>
  </si>
  <si>
    <t>SF10 - Center Sub-Plate - 1G, 1-XLR</t>
  </si>
  <si>
    <t>18410</t>
  </si>
  <si>
    <t>SF10-CNP-2XLR</t>
  </si>
  <si>
    <t>SF10 - Center Sub-Plate - 1G, 2-XLR</t>
  </si>
  <si>
    <t>18411</t>
  </si>
  <si>
    <t>SF10-PRP-FDE</t>
  </si>
  <si>
    <t>SF10 - Perimeter Plate - Full Decora</t>
  </si>
  <si>
    <t>18413</t>
  </si>
  <si>
    <t>SF10-PRP-FDX</t>
  </si>
  <si>
    <t>SF10 - Perimeter Plate - Full Duplex</t>
  </si>
  <si>
    <t>18414</t>
  </si>
  <si>
    <t>SF10-PRP-FIPS</t>
  </si>
  <si>
    <t>SF10 - Perimeter Plate - Full 4-IPS</t>
  </si>
  <si>
    <t>18415</t>
  </si>
  <si>
    <t>SF10-PRP-DIV</t>
  </si>
  <si>
    <t>SF10 - Perimeter Plate Divider - Full Decora</t>
  </si>
  <si>
    <t>18416</t>
  </si>
  <si>
    <t>SF10-PRP-HWDX</t>
  </si>
  <si>
    <t>SF10 - Perimeter Plate - Half 2-20A Pre-Wired Receptacles</t>
  </si>
  <si>
    <t>18417</t>
  </si>
  <si>
    <t>SF10-PRP-HBLNK</t>
  </si>
  <si>
    <t>SF10 - Perimeter Plate - Half Blank</t>
  </si>
  <si>
    <t>18418</t>
  </si>
  <si>
    <t>SF10-PRP-HIPS</t>
  </si>
  <si>
    <t>SF10 - Perimeter Plate - Half 2-IPS</t>
  </si>
  <si>
    <t>18419</t>
  </si>
  <si>
    <t>SF10-PRP-HVID</t>
  </si>
  <si>
    <t>SF10 - Perimeter Plate - Half 1-VGA/HDMI</t>
  </si>
  <si>
    <t>18420</t>
  </si>
  <si>
    <t>SF10-PRP-HXLR</t>
  </si>
  <si>
    <t>SF10 - Perimeter Plate - Half 1-XLR</t>
  </si>
  <si>
    <t>18421</t>
  </si>
  <si>
    <t>SF10-BCN-50</t>
  </si>
  <si>
    <t>SF10 - Bottom Center - 1G 0.50" EMT Feed</t>
  </si>
  <si>
    <t>18422</t>
  </si>
  <si>
    <t>SF10-BCN-75</t>
  </si>
  <si>
    <t>SF10 - Bottom Center - 1G 0.75" EMT Feed</t>
  </si>
  <si>
    <t>18423</t>
  </si>
  <si>
    <t>SF10-BCN-100</t>
  </si>
  <si>
    <t>SF10 - Bottom Center - 1G 1.00" EMT Feed</t>
  </si>
  <si>
    <t>18424</t>
  </si>
  <si>
    <t>SF10-BCN-125</t>
  </si>
  <si>
    <t>SF10 - Bottom Center - 1G 1.25" EMT Feed</t>
  </si>
  <si>
    <t>18425</t>
  </si>
  <si>
    <t>SF10-BCN-150</t>
  </si>
  <si>
    <t>SF10 - Bottom Center - 2G 1.50" EMT Feed</t>
  </si>
  <si>
    <t>18426</t>
  </si>
  <si>
    <t>SF10-BCN-200</t>
  </si>
  <si>
    <t>SF10 - Bottom Center - 2G 2.0" EMT Feed</t>
  </si>
  <si>
    <t>18427</t>
  </si>
  <si>
    <t>SF10-BCN-250</t>
  </si>
  <si>
    <t>SF10 - Bottom Center - 2G 2.50" EMT Feed</t>
  </si>
  <si>
    <t>18428</t>
  </si>
  <si>
    <t>SF10-BCN-BLNK</t>
  </si>
  <si>
    <t>SF10 - Bottom Center - 1G Blank</t>
  </si>
  <si>
    <t>18429</t>
  </si>
  <si>
    <t>SF10-BCN-PASS</t>
  </si>
  <si>
    <t>SF10 - Bottom Center - 1G Pass Thru</t>
  </si>
  <si>
    <t>18430</t>
  </si>
  <si>
    <t>SF10-BPR-50</t>
  </si>
  <si>
    <t>SF10 - Bottom Perimeter - 0.50" EMT Feed</t>
  </si>
  <si>
    <t>18431</t>
  </si>
  <si>
    <t>SF10-BPR-75</t>
  </si>
  <si>
    <t>SF10 - Bottom Perimeter - 0.75" EMT Feed</t>
  </si>
  <si>
    <t>18432</t>
  </si>
  <si>
    <t>SF10-BPR-100</t>
  </si>
  <si>
    <t>SF10 - Bottom Perimeter - 1.00" EMT Feed</t>
  </si>
  <si>
    <t>18433</t>
  </si>
  <si>
    <t>SF10-BPR-125</t>
  </si>
  <si>
    <t>SF10 - Bottom Perimeter - 1.25" EMT Feed</t>
  </si>
  <si>
    <t>18434</t>
  </si>
  <si>
    <t>SF10-BPR-BLNK</t>
  </si>
  <si>
    <t>SF10 - Bottom Perimeter - Blank</t>
  </si>
  <si>
    <t>18435</t>
  </si>
  <si>
    <t>SF10-BPR-PASS</t>
  </si>
  <si>
    <t>SF10 - Bottom Perimeter - Pass Thru</t>
  </si>
  <si>
    <t>18436</t>
  </si>
  <si>
    <t>SF10-INCN-DIV</t>
  </si>
  <si>
    <t>SF10 - Center Divider</t>
  </si>
  <si>
    <t>18437</t>
  </si>
  <si>
    <t>SF10-INPR-DIV</t>
  </si>
  <si>
    <t>SF10 - Perimeter Compartment Divider</t>
  </si>
  <si>
    <t>18438</t>
  </si>
  <si>
    <t>SF-BC-CV</t>
  </si>
  <si>
    <t>SmartFit Cover for Carpet - Brass</t>
  </si>
  <si>
    <t>16598</t>
  </si>
  <si>
    <t>SF-SC-CV</t>
  </si>
  <si>
    <t>SmartFit Cover for Carpet - Silver</t>
  </si>
  <si>
    <t>16599</t>
  </si>
  <si>
    <t>SF-BLKC-CV</t>
  </si>
  <si>
    <t>SmartFit Cover for Carpet - Black</t>
  </si>
  <si>
    <t>16600</t>
  </si>
  <si>
    <t>SF-BT-CV</t>
  </si>
  <si>
    <t>SmartFit Cover for Tile - Brass</t>
  </si>
  <si>
    <t>16601</t>
  </si>
  <si>
    <t>SF-ST-CV</t>
  </si>
  <si>
    <t>SmartFit Cover for Tile - Silver</t>
  </si>
  <si>
    <t>16602</t>
  </si>
  <si>
    <t>SF-BLKT-CV</t>
  </si>
  <si>
    <t>SmartFit Cover for Tile - Black</t>
  </si>
  <si>
    <t>16603</t>
  </si>
  <si>
    <t>SF-PK1</t>
  </si>
  <si>
    <t>SmartFit 4" Poke Through 2 x 1" Conduits Assembly Only</t>
  </si>
  <si>
    <t>16593</t>
  </si>
  <si>
    <t>SF-PK1.5</t>
  </si>
  <si>
    <t>SmartFit 4" Poke Through 1.5" and .75" Conduit - Assembly Only</t>
  </si>
  <si>
    <t>16594</t>
  </si>
  <si>
    <t>SF-PB</t>
  </si>
  <si>
    <t>SmartFit 4" Pour Box Only</t>
  </si>
  <si>
    <t>16595</t>
  </si>
  <si>
    <t>SF-DDP</t>
  </si>
  <si>
    <t>SmartFit Dual Decora Sub Plate</t>
  </si>
  <si>
    <t>16596</t>
  </si>
  <si>
    <t>SF-IPSP</t>
  </si>
  <si>
    <t>SmartFit IPS + Power Sub Plate</t>
  </si>
  <si>
    <t>16597</t>
  </si>
  <si>
    <t>SF-2SDP</t>
  </si>
  <si>
    <t>SmartFit Decora, AC and 2 Keystone Sub Plate</t>
  </si>
  <si>
    <t>16941</t>
  </si>
  <si>
    <t xml:space="preserve">SF4-CPT-QAC-ALM </t>
  </si>
  <si>
    <t>SmartFit 4" Poke Complete Thru 4AC Poke Thru - ALM Cover</t>
  </si>
  <si>
    <t>17774</t>
  </si>
  <si>
    <t xml:space="preserve">SF4-CPT-QAC-BLK </t>
  </si>
  <si>
    <t>SmartFit 4" Poke Complete Thru 4AC Poke Thru - BLK Cover</t>
  </si>
  <si>
    <t>17775</t>
  </si>
  <si>
    <t xml:space="preserve">SF4-CPT-QAC-BRS </t>
  </si>
  <si>
    <t>SmartFit 4" Poke Complete Thru 4AC Poke Thru - BRS Cover</t>
  </si>
  <si>
    <t>17776</t>
  </si>
  <si>
    <t xml:space="preserve">SF4-PT-ALM </t>
  </si>
  <si>
    <t>4" Poke Thru Cover</t>
  </si>
  <si>
    <t>17777</t>
  </si>
  <si>
    <t xml:space="preserve">SF4-PT-BLK </t>
  </si>
  <si>
    <t>17778</t>
  </si>
  <si>
    <t xml:space="preserve">SF4-PT-BRS </t>
  </si>
  <si>
    <t>17779</t>
  </si>
  <si>
    <t>SF-CPT-FF-ALM</t>
  </si>
  <si>
    <t>4" FFurniture Feed Poke Thru with Aluminum Cover</t>
  </si>
  <si>
    <t>18349</t>
  </si>
  <si>
    <t>SF4-PT</t>
  </si>
  <si>
    <t>4" Poke Thru Only - No Cover or Sub Plates</t>
  </si>
  <si>
    <t>18051</t>
  </si>
  <si>
    <t xml:space="preserve">SF4-CVR-ALM </t>
  </si>
  <si>
    <t>Brushed Aluminum Cover</t>
  </si>
  <si>
    <t>17992</t>
  </si>
  <si>
    <t xml:space="preserve">SF4-CVR-BRS </t>
  </si>
  <si>
    <t xml:space="preserve">Brushed Brass Cover </t>
  </si>
  <si>
    <t>17993</t>
  </si>
  <si>
    <t xml:space="preserve">SF4-CVR-BLK </t>
  </si>
  <si>
    <t xml:space="preserve">Black Painted Cover </t>
  </si>
  <si>
    <t>17994</t>
  </si>
  <si>
    <t>SF4-SPD2S</t>
  </si>
  <si>
    <t>Poke Thru Sub-Plate - 1 Gang Decora with 2 SS Keystones</t>
  </si>
  <si>
    <t>17780</t>
  </si>
  <si>
    <t xml:space="preserve">SF4-SPD </t>
  </si>
  <si>
    <t>Poke Thru Sub-Plate - 1 Gang Decora</t>
  </si>
  <si>
    <t>17781</t>
  </si>
  <si>
    <t>PCI-5SF</t>
  </si>
  <si>
    <t>Passive Computer + Audio Interface for Smart Fit</t>
  </si>
  <si>
    <t>16620</t>
  </si>
  <si>
    <t>IPS-SF940T</t>
  </si>
  <si>
    <t>Triple Ht. HD-15 to 5 BNC, 3.5mm Mini Stereo, 2 CAT-5</t>
  </si>
  <si>
    <t>16721</t>
  </si>
  <si>
    <t>IPS-SF941T</t>
  </si>
  <si>
    <t>Trpl Ht. HD-15 to 5 BNC, Mini Stereo, 1 CAT 5, 1 RCA (Y)</t>
  </si>
  <si>
    <t>16725</t>
  </si>
  <si>
    <t>IPS-SF942T</t>
  </si>
  <si>
    <t xml:space="preserve">Trpl Ht HD-15 to 5 BNC, Mini Stereo, 1 CAT 5, 1 S </t>
  </si>
  <si>
    <t>16729</t>
  </si>
  <si>
    <t>SF6-CPT-DD-ALM</t>
  </si>
  <si>
    <t>SmartFit 6" Poke Through 2 AC, 2 Decora Assembly</t>
  </si>
  <si>
    <t>17342</t>
  </si>
  <si>
    <t>SF6-CPT-DD-BLK</t>
  </si>
  <si>
    <t>17343</t>
  </si>
  <si>
    <t>SF6-CPT-DD-BRS</t>
  </si>
  <si>
    <t>17344</t>
  </si>
  <si>
    <t>SF6-CPT-AVD-ALM</t>
  </si>
  <si>
    <t>SmartFit 6" Poke Through 4 AC, 3 Sub-Plates (2D2S, 5IPS, 3AAP)</t>
  </si>
  <si>
    <t>17345</t>
  </si>
  <si>
    <t>SF6-CPT-AVD-BLK</t>
  </si>
  <si>
    <t>17346</t>
  </si>
  <si>
    <t>SF6-CPT-AVD-BRS</t>
  </si>
  <si>
    <t>17347</t>
  </si>
  <si>
    <t>SF6-CPT-FF-ALM</t>
  </si>
  <si>
    <t>SmartFit 6" Poke Through Furniture Feed</t>
  </si>
  <si>
    <t>17348</t>
  </si>
  <si>
    <t>SF6-CPT-FF-BLK</t>
  </si>
  <si>
    <t>17349</t>
  </si>
  <si>
    <t>SF6-CPT-FF-BRS</t>
  </si>
  <si>
    <t>17350</t>
  </si>
  <si>
    <t>SF6-FFCVR-ALM</t>
  </si>
  <si>
    <t>Furniture Feed Cover - Aluminum</t>
  </si>
  <si>
    <t>17441</t>
  </si>
  <si>
    <t>SF6-FFCVR-BLK</t>
  </si>
  <si>
    <t>Furniture Feed Cover  - Black</t>
  </si>
  <si>
    <t>17442</t>
  </si>
  <si>
    <t>SF6-FFCVR-BRS</t>
  </si>
  <si>
    <t>Furniture Feed Cover  - Brass</t>
  </si>
  <si>
    <t>17443</t>
  </si>
  <si>
    <t>SF6-PT</t>
  </si>
  <si>
    <t>6" Poke Thru Box Only</t>
  </si>
  <si>
    <t>17390</t>
  </si>
  <si>
    <t>SF6-PS</t>
  </si>
  <si>
    <t>Pre Pour Sleeve</t>
  </si>
  <si>
    <t>17351</t>
  </si>
  <si>
    <t>SF6-ABAND</t>
  </si>
  <si>
    <t>Abandonement Cover</t>
  </si>
  <si>
    <t>17352</t>
  </si>
  <si>
    <t>SF6-SPLL1</t>
  </si>
  <si>
    <t>Left 1 Decora, 2-IPS Sub-Plate Large</t>
  </si>
  <si>
    <t>17353</t>
  </si>
  <si>
    <t>SF6-SPLL2</t>
  </si>
  <si>
    <t>17354</t>
  </si>
  <si>
    <t>SF6-SPLL3</t>
  </si>
  <si>
    <t>Left 2 Decora, Sub-Plate Large</t>
  </si>
  <si>
    <t>17355</t>
  </si>
  <si>
    <t>SF6-SPSR1</t>
  </si>
  <si>
    <t>Two 20A pre-wired receptacles with 16" wire lead</t>
  </si>
  <si>
    <t>17356</t>
  </si>
  <si>
    <t>SF6-SPL4</t>
  </si>
  <si>
    <t>Left Blank cover plate sub-plate</t>
  </si>
  <si>
    <t>17357</t>
  </si>
  <si>
    <t>SF6-SPL5</t>
  </si>
  <si>
    <t>Left 1 Decora, 2 Keystone openings</t>
  </si>
  <si>
    <t>17358</t>
  </si>
  <si>
    <t>SF6-SPL6</t>
  </si>
  <si>
    <t>Left 3 IPS, 2 Keystone Jacks</t>
  </si>
  <si>
    <t>17359</t>
  </si>
  <si>
    <t>SF6-SPL7</t>
  </si>
  <si>
    <t>Left 1 Decora Opening</t>
  </si>
  <si>
    <t>17360</t>
  </si>
  <si>
    <t>SF6-SPL8</t>
  </si>
  <si>
    <t>Left 5 IPS Openings</t>
  </si>
  <si>
    <t>17437</t>
  </si>
  <si>
    <t>SF6-SPL9</t>
  </si>
  <si>
    <t>Left 3 AAP Openings</t>
  </si>
  <si>
    <t>17438</t>
  </si>
  <si>
    <t>SF6-SPR2</t>
  </si>
  <si>
    <t>1.56" Opening for Twist-Lock Sub-Plate</t>
  </si>
  <si>
    <t>17361</t>
  </si>
  <si>
    <t>SF6-SPR3</t>
  </si>
  <si>
    <t>Single Duplex Device Opening Sub-Plate</t>
  </si>
  <si>
    <t>17362</t>
  </si>
  <si>
    <t>SF6-SPR4</t>
  </si>
  <si>
    <t>Right 1.39" Opening For Twist-Lock Sub-Plate</t>
  </si>
  <si>
    <t>17363</t>
  </si>
  <si>
    <t>SF6-SPR5</t>
  </si>
  <si>
    <t>Right 1 Decora Sub-Plate</t>
  </si>
  <si>
    <t>17364</t>
  </si>
  <si>
    <t>SF6-SPR6</t>
  </si>
  <si>
    <t>Four pre-wired power cubes with 16" wire lead</t>
  </si>
  <si>
    <t>17365</t>
  </si>
  <si>
    <t>SF6-CVR-ALM</t>
  </si>
  <si>
    <t>Cover Only</t>
  </si>
  <si>
    <t>17408</t>
  </si>
  <si>
    <t>SF6-CVR-BLK</t>
  </si>
  <si>
    <t>17409</t>
  </si>
  <si>
    <t>SF6-CVR-BRS</t>
  </si>
  <si>
    <t>17410</t>
  </si>
  <si>
    <t>SF6-SPC1</t>
  </si>
  <si>
    <t>Centered Dual Decora</t>
  </si>
  <si>
    <t>17520</t>
  </si>
  <si>
    <t>SF8-PT-JNC1</t>
  </si>
  <si>
    <t>8" PK No Cover, No Sub-Plate (1"+1.5" KO)</t>
  </si>
  <si>
    <t>17366</t>
  </si>
  <si>
    <t>SF8-PT-JNC2</t>
  </si>
  <si>
    <t>8" PK No Cover, No Sub-Plate (2"+1" KO)</t>
  </si>
  <si>
    <t>17367</t>
  </si>
  <si>
    <t>SF8-PT-JNC3</t>
  </si>
  <si>
    <t>8" PK No Cover, No Sub-Plate (2" KO)</t>
  </si>
  <si>
    <t>17368</t>
  </si>
  <si>
    <t>SF8-CPT-JNC1-ALM</t>
  </si>
  <si>
    <t>8" PK with Cover and 2 Sub-Plates (1" = 1.5" KO)</t>
  </si>
  <si>
    <t>17369</t>
  </si>
  <si>
    <t>SF8-CPT-JNC1-BLK</t>
  </si>
  <si>
    <t>17370</t>
  </si>
  <si>
    <t>SF8-CPT-JNC1-BRS</t>
  </si>
  <si>
    <t>17371</t>
  </si>
  <si>
    <t>SF8-CPT-JNC2-ALM</t>
  </si>
  <si>
    <t>8" PK with Cover and 2 AC Sub-Plates (2 - 1" KO)</t>
  </si>
  <si>
    <t>17372</t>
  </si>
  <si>
    <t>SF8-CPT-JNC2-BLK</t>
  </si>
  <si>
    <t>17373</t>
  </si>
  <si>
    <t>SF8-CPT-JNC2-BRS</t>
  </si>
  <si>
    <t>17374</t>
  </si>
  <si>
    <t>SF8-CPT-JNC3-ALM</t>
  </si>
  <si>
    <t>8" PK with Cover and 2 AC Sub-Plates (2" KO)</t>
  </si>
  <si>
    <t>17375</t>
  </si>
  <si>
    <t>SF8-CPT-JNC3-BLK</t>
  </si>
  <si>
    <t>17376</t>
  </si>
  <si>
    <t>SF8-CPT-JNC3-BRS</t>
  </si>
  <si>
    <t>17377</t>
  </si>
  <si>
    <t>SF8-CVR-ALM</t>
  </si>
  <si>
    <t>Aluminum Cover</t>
  </si>
  <si>
    <t>17378</t>
  </si>
  <si>
    <t>SF8-CVR-BLK</t>
  </si>
  <si>
    <t>Black Cover</t>
  </si>
  <si>
    <t>17379</t>
  </si>
  <si>
    <t>SF8-CVR-BRS</t>
  </si>
  <si>
    <t>Brass Cover</t>
  </si>
  <si>
    <t>17380</t>
  </si>
  <si>
    <t>SF8-SPC1</t>
  </si>
  <si>
    <t>Single Gang Blank Sub-Plate</t>
  </si>
  <si>
    <t>17381</t>
  </si>
  <si>
    <t>SF8-SPC2</t>
  </si>
  <si>
    <t>Two FSR IPS Sub-Plate</t>
  </si>
  <si>
    <t>17382</t>
  </si>
  <si>
    <t>SF8-SPC3</t>
  </si>
  <si>
    <t>Single Duplex Sub-Plate</t>
  </si>
  <si>
    <t>17383</t>
  </si>
  <si>
    <t>SF8-SPC4</t>
  </si>
  <si>
    <t>Single Decora Sub-Plate</t>
  </si>
  <si>
    <t>17384</t>
  </si>
  <si>
    <t>SF8-SPC5</t>
  </si>
  <si>
    <t>Two Gang Decora Sub-Plate</t>
  </si>
  <si>
    <t>17385</t>
  </si>
  <si>
    <t>SF8-SPC6</t>
  </si>
  <si>
    <t>Three Gang Blank Sub-Plate</t>
  </si>
  <si>
    <t>17386</t>
  </si>
  <si>
    <t>SF8-SPC7</t>
  </si>
  <si>
    <t>Single 1.6" Twist-Lock Sub-Plate</t>
  </si>
  <si>
    <t>17387</t>
  </si>
  <si>
    <t>SF8-SPC8</t>
  </si>
  <si>
    <t>Single 1.4" Twist-Lock Sub-Plate</t>
  </si>
  <si>
    <t>17388</t>
  </si>
  <si>
    <t>SF8-SPC9</t>
  </si>
  <si>
    <t>Two Gang, 4 Extron AAP Sub-Plate</t>
  </si>
  <si>
    <t>17389</t>
  </si>
  <si>
    <t>SF8-SPO1</t>
  </si>
  <si>
    <t>Blank Outer Sub-Plate</t>
  </si>
  <si>
    <t>17391</t>
  </si>
  <si>
    <t>SF8-SPO2</t>
  </si>
  <si>
    <t>Single IPS Sub-Plate</t>
  </si>
  <si>
    <t>17392</t>
  </si>
  <si>
    <t>SF8-SPO3</t>
  </si>
  <si>
    <t>Dual 20A Prewired Receptacle</t>
  </si>
  <si>
    <t>17393</t>
  </si>
  <si>
    <t>SF8-JNC1</t>
  </si>
  <si>
    <t>EMT Adapter for 8" one 1" EMT &amp; one 1.5" EMT</t>
  </si>
  <si>
    <t>17394</t>
  </si>
  <si>
    <t>SF8-JNC2</t>
  </si>
  <si>
    <t>EMT Fitting Adapter for 8" FRPT two 1" EMT</t>
  </si>
  <si>
    <t>17395</t>
  </si>
  <si>
    <t>SF8-JNC3</t>
  </si>
  <si>
    <t>EMT Fitting Adapter for 8" FRPT two 2" EMT</t>
  </si>
  <si>
    <t>17396</t>
  </si>
  <si>
    <t>SF8-PS</t>
  </si>
  <si>
    <t>8" Pre Pour Sleeve</t>
  </si>
  <si>
    <t>17397</t>
  </si>
  <si>
    <t>SF8-ABAND</t>
  </si>
  <si>
    <t>Abandonement Plate For 8" Core Holes</t>
  </si>
  <si>
    <t>17398</t>
  </si>
  <si>
    <t>MMS-SF8</t>
  </si>
  <si>
    <t>Wall Plate Stand-Off Kit For SF8</t>
  </si>
  <si>
    <t>17519</t>
  </si>
  <si>
    <t>RFL3-D1G-GRY</t>
  </si>
  <si>
    <t>3" deep back box with 2, 1 gang plates - Gray Trim</t>
  </si>
  <si>
    <t>16100</t>
  </si>
  <si>
    <t>RFL3-D1G-BLK</t>
  </si>
  <si>
    <t>3" deep back box with 2, 1 gang plates - Black Trim</t>
  </si>
  <si>
    <t>16106</t>
  </si>
  <si>
    <t>RFL3-D1G-CLY</t>
  </si>
  <si>
    <t>3" deep back box with 2, 1 gang plates - Clay Trim</t>
  </si>
  <si>
    <t>16112</t>
  </si>
  <si>
    <t>RFL3-Q1G-GRY</t>
  </si>
  <si>
    <t>3" deep back box with 4, 1 gang plates - Gray Trim</t>
  </si>
  <si>
    <t>16101</t>
  </si>
  <si>
    <t>RFL3-Q1G-BLK</t>
  </si>
  <si>
    <t>3" deep back box with 4, 1 gang plates - Black Trim</t>
  </si>
  <si>
    <t>16107</t>
  </si>
  <si>
    <t>RFL3-Q1G-CLY</t>
  </si>
  <si>
    <t>3" deep back box with 4, 1 gang plates - Clay Trim</t>
  </si>
  <si>
    <t>16113</t>
  </si>
  <si>
    <t>RFL4.5-D1G-GRY</t>
  </si>
  <si>
    <t>4.5" deep back box with 2, 1 gang plates - Gray Trim</t>
  </si>
  <si>
    <t>16102</t>
  </si>
  <si>
    <t>RFL4.5-D1G-BLK</t>
  </si>
  <si>
    <t>4.5" deep back box with 2, 1 gang plates - Black Trim</t>
  </si>
  <si>
    <t>16108</t>
  </si>
  <si>
    <t>RFL4.5-D1G-CLY</t>
  </si>
  <si>
    <t>4.5" deep back box with 2, 1 gang plates - Clay Trim</t>
  </si>
  <si>
    <t>16114</t>
  </si>
  <si>
    <t>RFL4.5-D2G-GRY</t>
  </si>
  <si>
    <t>4.5" deep back box with 2, 2 gang plates - Gray Trim</t>
  </si>
  <si>
    <t>16103</t>
  </si>
  <si>
    <t>RFL4.5-D2G-BLK</t>
  </si>
  <si>
    <t>4.5" deep back box with 2, 2 gang plates - Black Trim</t>
  </si>
  <si>
    <t>16109</t>
  </si>
  <si>
    <t>RFL4.5-D2G-CLY</t>
  </si>
  <si>
    <t>4.5" deep back box with 2, 2 gang plates - Clay Trim</t>
  </si>
  <si>
    <t>16115</t>
  </si>
  <si>
    <t>RFL4.5-Q1G-GRY</t>
  </si>
  <si>
    <t>4.5" deep back box with 4, 1 gang plates - Gray Trim</t>
  </si>
  <si>
    <t>16104</t>
  </si>
  <si>
    <t>RFL4.5-Q1G-BLK</t>
  </si>
  <si>
    <t>4.5" deep back box with 4, 1 gang plates - Black Trim</t>
  </si>
  <si>
    <t>16110</t>
  </si>
  <si>
    <t>RFL4.5-Q1G-CLY</t>
  </si>
  <si>
    <t>4.5" deep back box with 4, 1 gang plates - Clay Trim</t>
  </si>
  <si>
    <t>16116</t>
  </si>
  <si>
    <t>RFL4.5-Q2G-GRY</t>
  </si>
  <si>
    <t>4.5" deep back box with 4, 2 gang plates - Gray Trim</t>
  </si>
  <si>
    <t>16105</t>
  </si>
  <si>
    <t>RFL4.5-Q2G-BLK</t>
  </si>
  <si>
    <t>4.5" deep back box with 4, 2 gang plates - Black Trim</t>
  </si>
  <si>
    <t>16111</t>
  </si>
  <si>
    <t>RFL4.5-Q2G-CLY</t>
  </si>
  <si>
    <t>4.5" deep back box with 4, 2 gang plates - Clay Trim</t>
  </si>
  <si>
    <t>16117</t>
  </si>
  <si>
    <t>RFL3-D1G-GRYDD</t>
  </si>
  <si>
    <t>16118</t>
  </si>
  <si>
    <t>RFL3-D1G-BLKDD</t>
  </si>
  <si>
    <t>16124</t>
  </si>
  <si>
    <t>RFL3-D1G-CLYDD</t>
  </si>
  <si>
    <t>16130</t>
  </si>
  <si>
    <t>RFL3-Q1G-GRYDD</t>
  </si>
  <si>
    <t>16119</t>
  </si>
  <si>
    <t>RFL3-Q1G-BLKDD</t>
  </si>
  <si>
    <t>16125</t>
  </si>
  <si>
    <t>RFL3-Q1G-CLYDD</t>
  </si>
  <si>
    <t>16131</t>
  </si>
  <si>
    <t>RFL4.5-D1G-GRYDD</t>
  </si>
  <si>
    <t>16120</t>
  </si>
  <si>
    <t>RFL4.5-D1G-BLKDD</t>
  </si>
  <si>
    <t>16126</t>
  </si>
  <si>
    <t>RFL4.5-D1G-CLYDD</t>
  </si>
  <si>
    <t>16132</t>
  </si>
  <si>
    <t>RFL4.5-D2G-GRYDD</t>
  </si>
  <si>
    <t>16121</t>
  </si>
  <si>
    <t>RFL4.5-D2G-BLKDD</t>
  </si>
  <si>
    <t>16127</t>
  </si>
  <si>
    <t>RFL4.5-D2G-CLYDD</t>
  </si>
  <si>
    <t>16133</t>
  </si>
  <si>
    <t>RFL4.5-Q1G-GRYDD</t>
  </si>
  <si>
    <t>16122</t>
  </si>
  <si>
    <t>RFL4.5-Q1G-BLKDD</t>
  </si>
  <si>
    <t>16128</t>
  </si>
  <si>
    <t>RFL4.5-Q1G-CLYDD</t>
  </si>
  <si>
    <t>16134</t>
  </si>
  <si>
    <t>RFL4.5-Q2G-GRYDD</t>
  </si>
  <si>
    <t>16123</t>
  </si>
  <si>
    <t>RFL4.5-Q2G-BLKDD</t>
  </si>
  <si>
    <t>16129</t>
  </si>
  <si>
    <t>RFL4.5-Q2G-CLYDD</t>
  </si>
  <si>
    <t>16135</t>
  </si>
  <si>
    <t>RFL3-D1G-SLGRY</t>
  </si>
  <si>
    <t>16136</t>
  </si>
  <si>
    <t>RFL3-D1G-SLBLK</t>
  </si>
  <si>
    <t>16142</t>
  </si>
  <si>
    <t>RFL3-D1G-SLCLY</t>
  </si>
  <si>
    <t>16148</t>
  </si>
  <si>
    <t>RFL3-Q1G-SLGRY</t>
  </si>
  <si>
    <t>16137</t>
  </si>
  <si>
    <t>RFL3-Q1G-SLBLK</t>
  </si>
  <si>
    <t>16143</t>
  </si>
  <si>
    <t>RFL3-Q1G-SLCLY</t>
  </si>
  <si>
    <t>16149</t>
  </si>
  <si>
    <t>RFL4.5-D1G-SLGRY</t>
  </si>
  <si>
    <t>16138</t>
  </si>
  <si>
    <t>RFL4.5-D1G-SLBLK</t>
  </si>
  <si>
    <t>16144</t>
  </si>
  <si>
    <t>RFL4.5-D1G-SLCLY</t>
  </si>
  <si>
    <t>16150</t>
  </si>
  <si>
    <t>RFL4.5-D2G-SLGRY</t>
  </si>
  <si>
    <t>16139</t>
  </si>
  <si>
    <t>RFL4.5-D2G-SLBLK</t>
  </si>
  <si>
    <t>16145</t>
  </si>
  <si>
    <t>RFL4.5-D2G-SLCLY</t>
  </si>
  <si>
    <t>16151</t>
  </si>
  <si>
    <t>RFL4.5-Q1G-SLGRY</t>
  </si>
  <si>
    <t>16140</t>
  </si>
  <si>
    <t>RFL4.5-Q1G-SLBLK</t>
  </si>
  <si>
    <t>16146</t>
  </si>
  <si>
    <t>RFL4.5-Q1G-SLCLY</t>
  </si>
  <si>
    <t>16152</t>
  </si>
  <si>
    <t>RFL4.5-Q2G-SLGRY</t>
  </si>
  <si>
    <t>16141</t>
  </si>
  <si>
    <t>RFL4.5-Q2G-SLBLK</t>
  </si>
  <si>
    <t>16147</t>
  </si>
  <si>
    <t>RFL4.5-Q2G-SLCLY</t>
  </si>
  <si>
    <t>16153</t>
  </si>
  <si>
    <t>RFL-DAV-GRY</t>
  </si>
  <si>
    <t>RFL-AV 2 Gang Box with Gray Trim</t>
  </si>
  <si>
    <t>16226</t>
  </si>
  <si>
    <t>RFL-DAV-BLK</t>
  </si>
  <si>
    <t>RFL-AV 2 Gang Box with Black Trim</t>
  </si>
  <si>
    <t>16222</t>
  </si>
  <si>
    <t>RFL-DAV-CLY</t>
  </si>
  <si>
    <t>RFL-AV 2 Gang Box with Clay Trim</t>
  </si>
  <si>
    <t>16224</t>
  </si>
  <si>
    <t>RFL-DAV-SLGRY</t>
  </si>
  <si>
    <t>RFL-AV 2 Gang Box with Solid Cover - Gray</t>
  </si>
  <si>
    <t>16227</t>
  </si>
  <si>
    <t>RFL-DAV-SLBLK</t>
  </si>
  <si>
    <t>RFL-AV 2 Gang Box with Solid Cover - Black</t>
  </si>
  <si>
    <t>16223</t>
  </si>
  <si>
    <t>RFL-DAV-SLCLY</t>
  </si>
  <si>
    <t>RFL-AV 2 Gang Box with Solid Cover - Clay</t>
  </si>
  <si>
    <t>16225</t>
  </si>
  <si>
    <t>RFL-QAV-GRY</t>
  </si>
  <si>
    <t>RFL-AV 3 + 1 Gang Box with - Gray Trim</t>
  </si>
  <si>
    <t>16234</t>
  </si>
  <si>
    <t>RFL-QAV-BLK</t>
  </si>
  <si>
    <t>RFL-AV 3 + 1 Gang Box with - Black Trim</t>
  </si>
  <si>
    <t>16228</t>
  </si>
  <si>
    <t>RFL-QAV-CLY</t>
  </si>
  <si>
    <t>RFL-AV 3 + 1 Gang Box with - Clay Trim</t>
  </si>
  <si>
    <t>16231</t>
  </si>
  <si>
    <t>RFL-QAV-DDGRY</t>
  </si>
  <si>
    <t>RFL-AV 3 + 1 Gang Box with Dual Door Cover - Gray</t>
  </si>
  <si>
    <t>16236</t>
  </si>
  <si>
    <t>RFL-QAV-DDBLK</t>
  </si>
  <si>
    <t>RFL-AV 3 + 1 Gang Box with Dual Door Cover - Black</t>
  </si>
  <si>
    <t>16230</t>
  </si>
  <si>
    <t>RFL-QAV-DDCLY</t>
  </si>
  <si>
    <t>RFL-AV 3 + 1 Gang Box with Dual Door Cover - Clay</t>
  </si>
  <si>
    <t>16233</t>
  </si>
  <si>
    <t>RFL-QAV-SLGRY</t>
  </si>
  <si>
    <t>RFL-AV 3 + 1 Gang Box with Solid Cover - Gray</t>
  </si>
  <si>
    <t>16235</t>
  </si>
  <si>
    <t>RFL-QAV-SLBLK</t>
  </si>
  <si>
    <t>RFL-AV 3 + 1 Gang Box with Solid Cover - Black</t>
  </si>
  <si>
    <t>16229</t>
  </si>
  <si>
    <t>RFL-QAV-SLCLY</t>
  </si>
  <si>
    <t>RFL-AV 3 + 1 Gang Box with Solid Cover - Clay</t>
  </si>
  <si>
    <t>16232</t>
  </si>
  <si>
    <t>RFL-QAV-4GP</t>
  </si>
  <si>
    <t>4 Gang Mounting Bracket for RFL-QAV Floor Boxes</t>
  </si>
  <si>
    <t>16237</t>
  </si>
  <si>
    <t>RFL-QAV-AAP4</t>
  </si>
  <si>
    <t>Mounting Bracket for AAP-104 Plate</t>
  </si>
  <si>
    <t>16520</t>
  </si>
  <si>
    <t>FL-1200-BLK</t>
  </si>
  <si>
    <t>FL-1200 With Hinged Door in Black Sandtex  (NON-UL)</t>
  </si>
  <si>
    <t>10087</t>
  </si>
  <si>
    <t>FL-1300-BLK</t>
  </si>
  <si>
    <t>FL-1300 With Hinged Door in Black Sandtex  (NON-UL)</t>
  </si>
  <si>
    <t>15088</t>
  </si>
  <si>
    <t>FL-1500-BLK</t>
  </si>
  <si>
    <t>FL-1500 With Hinged Door in Black Sandtex  (NON-UL)</t>
  </si>
  <si>
    <t>10090</t>
  </si>
  <si>
    <t>FL-1500-2D-BLK</t>
  </si>
  <si>
    <t>FL-1500 Punched for 2 Duplex. Black Sandtex Hinged Lid  (NON-UL)</t>
  </si>
  <si>
    <t>10088</t>
  </si>
  <si>
    <t xml:space="preserve">FL-1550-BLK </t>
  </si>
  <si>
    <t>FL-1550 4-Gang Floor Box  (NON-UL)</t>
  </si>
  <si>
    <t>17964</t>
  </si>
  <si>
    <t>FL-1500-BAP</t>
  </si>
  <si>
    <t>6 C Type Switchcraft XLR and 2 Speakon Plate for FL-1500 &amp; FL-2000</t>
  </si>
  <si>
    <t>17021</t>
  </si>
  <si>
    <t>FL-540P-BLP-C</t>
  </si>
  <si>
    <t>18265</t>
  </si>
  <si>
    <t>FL-540P-SLP-C</t>
  </si>
  <si>
    <t>18266</t>
  </si>
  <si>
    <t>FL-540P-BSQ-C</t>
  </si>
  <si>
    <t>Cover with 1/4" Square Brass Flange (Lift off door)</t>
  </si>
  <si>
    <t>18267</t>
  </si>
  <si>
    <t>FL-540P-SSQ-C</t>
  </si>
  <si>
    <t>Cover with 1/4" Square Aluminum Flange (Lift Off Door)</t>
  </si>
  <si>
    <t>18268</t>
  </si>
  <si>
    <t>Cover with 1/2" Square Brass Flange (Lift off door)</t>
  </si>
  <si>
    <t>18269</t>
  </si>
  <si>
    <t>Cover with 1/2" Square Aluminum Flange (Lift Off Door)</t>
  </si>
  <si>
    <t>18270</t>
  </si>
  <si>
    <t>FL-540P-BLK-C</t>
  </si>
  <si>
    <t>15486</t>
  </si>
  <si>
    <t>FL-540P-PTSLV</t>
  </si>
  <si>
    <t>18154</t>
  </si>
  <si>
    <t>FL-540P-2.25-B</t>
  </si>
  <si>
    <t>FL-540P Box - 2.25" Deep  (NON-UL)</t>
  </si>
  <si>
    <t>17586</t>
  </si>
  <si>
    <t>FL-540P-4-B</t>
  </si>
  <si>
    <t>FL-540P Back Box - 4" Deep</t>
  </si>
  <si>
    <t>12500</t>
  </si>
  <si>
    <t>FL-540P-5-B</t>
  </si>
  <si>
    <t>FL-540P Back Box - 5" Deep</t>
  </si>
  <si>
    <t>18079</t>
  </si>
  <si>
    <t>FL-540P-6-B</t>
  </si>
  <si>
    <t>FL-540P Back Box - 6" Deep</t>
  </si>
  <si>
    <t>12505</t>
  </si>
  <si>
    <t>FL-540P-8-B</t>
  </si>
  <si>
    <t>FL-540P Back Box - 8" Deep</t>
  </si>
  <si>
    <t>17170</t>
  </si>
  <si>
    <t>FL-540P-10-B</t>
  </si>
  <si>
    <t>FL-540P Back Box - 10" Deep</t>
  </si>
  <si>
    <t>16704</t>
  </si>
  <si>
    <t>FL-640P-BLP-C</t>
  </si>
  <si>
    <t>15529</t>
  </si>
  <si>
    <t>FL-640P-SLP-C</t>
  </si>
  <si>
    <t>18272</t>
  </si>
  <si>
    <t>FL-640P-BSQ-C</t>
  </si>
  <si>
    <t>Cover With 1/4" Square Brass Flange (Lift off Door)</t>
  </si>
  <si>
    <t>18273</t>
  </si>
  <si>
    <t>FL-640P-SSQ-C</t>
  </si>
  <si>
    <t>18274</t>
  </si>
  <si>
    <t>FL-640P-BK-C</t>
  </si>
  <si>
    <t>15533</t>
  </si>
  <si>
    <t>FL-640P-PTSLV</t>
  </si>
  <si>
    <t>18156</t>
  </si>
  <si>
    <t>FL-640P-4-B</t>
  </si>
  <si>
    <t>FL-640P Back Box - 4" Deep</t>
  </si>
  <si>
    <t>15527</t>
  </si>
  <si>
    <t>FL-640P-5-B</t>
  </si>
  <si>
    <t>FL-640P Back Box - 5" Deep</t>
  </si>
  <si>
    <t>18081</t>
  </si>
  <si>
    <t>FL-640P-6-B</t>
  </si>
  <si>
    <t>FL-640P Back Box - 6" Deep</t>
  </si>
  <si>
    <t>15528</t>
  </si>
  <si>
    <t>FL-640P-8-B</t>
  </si>
  <si>
    <t>FL-640P Back Box - 8" Deep</t>
  </si>
  <si>
    <t>17171</t>
  </si>
  <si>
    <t>FL-640P-10-B</t>
  </si>
  <si>
    <t>FL-640P Back Box - 10" Deep</t>
  </si>
  <si>
    <t>17178</t>
  </si>
  <si>
    <t>FL-FRK-500P</t>
  </si>
  <si>
    <t>Fire Rated Install Kit. " BOX NOT INCLUDED"</t>
  </si>
  <si>
    <t>17433</t>
  </si>
  <si>
    <t>FL-FRK-605P</t>
  </si>
  <si>
    <t>17434</t>
  </si>
  <si>
    <t>FL-500P-6-FRK</t>
  </si>
  <si>
    <t>6" Box &amp; FRK Installation Kit</t>
  </si>
  <si>
    <t>17508</t>
  </si>
  <si>
    <t>FL-605P-6-FRK</t>
  </si>
  <si>
    <t>17509</t>
  </si>
  <si>
    <t>Call for Price</t>
  </si>
  <si>
    <t>H234-BG</t>
  </si>
  <si>
    <t>Heckler @Rest Universal Tablet Stand - Black Grey</t>
  </si>
  <si>
    <t>H479-WT</t>
  </si>
  <si>
    <t>Heckler TV Stand - White</t>
  </si>
  <si>
    <t>H497-BG</t>
  </si>
  <si>
    <t>Heckler VESA Adapter Kit for Heckler AV Cart</t>
  </si>
  <si>
    <t>H549-BG</t>
  </si>
  <si>
    <t>Heckler Stand for iPad Pro 12.9-inch (3rd, 4th, &amp; 5th Gen) - Black Grey</t>
  </si>
  <si>
    <t>H573-SW</t>
  </si>
  <si>
    <t>Heckler Ceiling Mount for Logitech BRIO</t>
  </si>
  <si>
    <t>Heckler ADA Cam Mount for Huddly Go and Huddly IQ</t>
  </si>
  <si>
    <t>Heckler ADA Cam Mount for Jabra Panacast</t>
  </si>
  <si>
    <t>Heckler ADA Cam Mount for Aver CAM340</t>
  </si>
  <si>
    <t>H587-BG</t>
  </si>
  <si>
    <t>Heckler ADA Cam Mount for Logitech BRIO</t>
  </si>
  <si>
    <t>H598-BG</t>
  </si>
  <si>
    <t>Heckler Eyeline Camera Mount for Dual Displays</t>
  </si>
  <si>
    <t>Heckler PTZ Camera Mount</t>
  </si>
  <si>
    <t>H600-BG</t>
  </si>
  <si>
    <t>Heckler Stand for iPad 10.2-inch with Pivot Table - Black Grey</t>
  </si>
  <si>
    <t>H600-WT</t>
  </si>
  <si>
    <t>Heckler Stand for iPad 10.2-inch with Pivot Table - White</t>
  </si>
  <si>
    <t>H600X-BG</t>
  </si>
  <si>
    <t>Heckler Stand for iPad 10.2-inch - Black Grey</t>
  </si>
  <si>
    <t>H600X-WT</t>
  </si>
  <si>
    <t>Heckler Stand for iPad 10.2-inch - White</t>
  </si>
  <si>
    <t>H601-BG</t>
  </si>
  <si>
    <t>Heckler Zoom Rooms Console for iPad 10.2-inch - Black Grey</t>
  </si>
  <si>
    <t>H604-BG</t>
  </si>
  <si>
    <t>Heckler Side Mount for iPad 10.2-inch - Black Grey</t>
  </si>
  <si>
    <t>H605-BG</t>
  </si>
  <si>
    <t>Heckler Multi Mount for iPad 10.2-inch - Black Grey</t>
  </si>
  <si>
    <t>H609-BG</t>
  </si>
  <si>
    <t>Heckler Front Mount for iPad 10.2-inch - Black Grey</t>
  </si>
  <si>
    <t>H612-BG</t>
  </si>
  <si>
    <t>Heckler Zoom Rooms Console for iPad 10.2-inch with Redpark Gigabit + PoE - Black Grey</t>
  </si>
  <si>
    <t>H612-WT</t>
  </si>
  <si>
    <t>Heckler Zoom Rooms Console for iPad 10.2-inch with Redpark Gigabit + PoE - White</t>
  </si>
  <si>
    <t>H615-BG</t>
  </si>
  <si>
    <t>Heckler Tripod Mount for Logitech Meetup</t>
  </si>
  <si>
    <t>H624-BK</t>
  </si>
  <si>
    <t>Heckler Heckler Camera Shelf for Monitor Arms</t>
  </si>
  <si>
    <t>H625-BK</t>
  </si>
  <si>
    <t>Heckler Camera Shelf XL for Monitor Arms</t>
  </si>
  <si>
    <t>H630-BK</t>
  </si>
  <si>
    <t>Heckler Stand for Neat Pad</t>
  </si>
  <si>
    <t>H631-BG</t>
  </si>
  <si>
    <t>Heckler Multi Mount for iPad 10.2 with Redpark Gigabit + Power Over Ethernet</t>
  </si>
  <si>
    <t>H633-BG</t>
  </si>
  <si>
    <t>Heckler Side Mount for iPad 10.2 with Redpark Gigabit + Power Over Ethernet</t>
  </si>
  <si>
    <t>H634-BG</t>
  </si>
  <si>
    <t>Heckler Side Mount for iPad mini with Redpark Gigabit + Power Over Ethernet</t>
  </si>
  <si>
    <t>H635-BG</t>
  </si>
  <si>
    <t>Heckler Front Mount for iPad 10.2 with Redpark Gigabit + Power Over Ethernet</t>
  </si>
  <si>
    <t>H646-BG</t>
  </si>
  <si>
    <t>Heckler Wall Mount MX for iPad 10.2-inch</t>
  </si>
  <si>
    <t>H647-BG</t>
  </si>
  <si>
    <t>Heckler Tripod &amp; VESA Mount MX for iPad 10.2-inch</t>
  </si>
  <si>
    <t>H648-BG</t>
  </si>
  <si>
    <t>Heckler Tripod &amp; VESA Mount MX for iPad Pro 12.9-inch (3rd, 4th, &amp; 5th Gen)</t>
  </si>
  <si>
    <t>H649-BG</t>
  </si>
  <si>
    <t>Heckler Wall Mount MX for iPad Pro 12.9-inch (3rd, 4th, &amp; 5th Gen)</t>
  </si>
  <si>
    <t>H650-BG</t>
  </si>
  <si>
    <t>Heckler Wall Mount MX for iPad mini 6th Generation</t>
  </si>
  <si>
    <t>H651-BG</t>
  </si>
  <si>
    <t>Meeting Room Console for iPad mini 6th Gen</t>
  </si>
  <si>
    <t>H652-BG</t>
  </si>
  <si>
    <t>Wall Mount MX for iPad Pro 12.9-inch with POE+ to USB-C Power and Data</t>
  </si>
  <si>
    <t>H653-BG</t>
  </si>
  <si>
    <t>Wall Mount MX for iPad mini 6th Gen with POE+ to USB-C Power and Data</t>
  </si>
  <si>
    <t>H654-BG</t>
  </si>
  <si>
    <t>Wall Mount MX for iPad 10.2-inch with Redpark Gigabit + PoE Adapter</t>
  </si>
  <si>
    <t>H655-BG</t>
  </si>
  <si>
    <t>Zoom Room Console for iPad mini 6th Gen - Black Grey</t>
  </si>
  <si>
    <t>H656-BG</t>
  </si>
  <si>
    <t>Zoom Room Console for iPad mini 6th Gen + Power &amp; Data - Black Grey</t>
  </si>
  <si>
    <t>H657-BG</t>
  </si>
  <si>
    <t>Heckler Front Mount for iPad mini 6th Generation</t>
  </si>
  <si>
    <t>H658-BG</t>
  </si>
  <si>
    <t>Heckler OnWall Mount for iPad mini 6th Generation</t>
  </si>
  <si>
    <t>H659-BG</t>
  </si>
  <si>
    <t>Heckler Side Mount for iPad mini 6th Generation</t>
  </si>
  <si>
    <t>H660-BG</t>
  </si>
  <si>
    <t>Heckler Stand for Logitech Tap - Black Grey</t>
  </si>
  <si>
    <t>H660-WT</t>
  </si>
  <si>
    <t>Heckler Stand for Logitech Tap - White</t>
  </si>
  <si>
    <t>H661-BG</t>
  </si>
  <si>
    <t>Front Mount for iPad mini 6th Gen with PoE &amp; Ethernet Adapter</t>
  </si>
  <si>
    <t>H662-BG</t>
  </si>
  <si>
    <t>OnWall Mount for iPad mini 6th Gen with PoE &amp; Ethernet Adapter</t>
  </si>
  <si>
    <t>H663-BG</t>
  </si>
  <si>
    <t>Side Mount for iPad mini 6th Gen with PoE &amp; Ethernet Adapter</t>
  </si>
  <si>
    <t>H700-BG</t>
  </si>
  <si>
    <t>Heckler AV Cart Prime - Black Grey</t>
  </si>
  <si>
    <t>H701-BG</t>
  </si>
  <si>
    <t>Heckler Dual Display Kit for Heckler AV Cart - Black Grey</t>
  </si>
  <si>
    <t>H702-BG</t>
  </si>
  <si>
    <t>Device Panel for Heckler AV Cart - Black Grey</t>
  </si>
  <si>
    <t>H702-WT</t>
  </si>
  <si>
    <t>Device Panel for Heckler AV Cart - White</t>
  </si>
  <si>
    <t>H707-BG</t>
  </si>
  <si>
    <t>Soundbar Mount for Heckler AV Cart - Black Grey</t>
  </si>
  <si>
    <t>H707-WT</t>
  </si>
  <si>
    <t>Soundbar Mount for Heckler AV Cart - White</t>
  </si>
  <si>
    <t>H708-BG</t>
  </si>
  <si>
    <t>Device Panel XL for Heckler AV Cart - Black Grey</t>
  </si>
  <si>
    <t>H708-WT</t>
  </si>
  <si>
    <t>Device Panel XL for Heckler AV Cart - White</t>
  </si>
  <si>
    <t>H709-BG</t>
  </si>
  <si>
    <t>Control Shelf for Heckler AV Cart - Black Grey</t>
  </si>
  <si>
    <t>H709-WT</t>
  </si>
  <si>
    <t>Control Shelf for Heckler AV Cart - White</t>
  </si>
  <si>
    <t>H711-BG</t>
  </si>
  <si>
    <t>Heckler Cart Mount for Logitech Rally Bar - Black Grey</t>
  </si>
  <si>
    <t>H711-WT</t>
  </si>
  <si>
    <t>Heckler Cart Mount for Logitech Rally Bar - White (Antimicrobial)</t>
  </si>
  <si>
    <t>H714-BG</t>
  </si>
  <si>
    <t>Heckler Base AV Cart Base Configuration - Black Grey</t>
  </si>
  <si>
    <t>H715-BG</t>
  </si>
  <si>
    <t>Heckler AV Cart for Logitech Rally Plus - Black Grey</t>
  </si>
  <si>
    <t>H716-BG</t>
  </si>
  <si>
    <t>Tripod Mount for Logitech Rally Bar Mini</t>
  </si>
  <si>
    <t>H720-BG</t>
  </si>
  <si>
    <t>Heckler AV Cart for Google Meet Series One Room Kit - Black Grey</t>
  </si>
  <si>
    <t>H730-BG</t>
  </si>
  <si>
    <t>Heckler AV Cart for Logitech Rally Bar - Black Grey</t>
  </si>
  <si>
    <t>H732-BG</t>
  </si>
  <si>
    <t>Classroom Credenza</t>
  </si>
  <si>
    <t>H735-BG</t>
  </si>
  <si>
    <t>Heckler AV Credenza 4U - Black Grey</t>
  </si>
  <si>
    <t>H735-OW</t>
  </si>
  <si>
    <t>Heckler AV Credenza 4U - Off White</t>
  </si>
  <si>
    <t>H735-BL</t>
  </si>
  <si>
    <t>Heckler AV Credenza 4U - Blue</t>
  </si>
  <si>
    <t>H735-GN</t>
  </si>
  <si>
    <t>Heckler AV Credenza 4U - Green</t>
  </si>
  <si>
    <t>H735-HY</t>
  </si>
  <si>
    <t>Heckler AV Credenza 4U - Honey</t>
  </si>
  <si>
    <t>H738-BG</t>
  </si>
  <si>
    <t>Heckler Whiteboard Mount for Huddly Canvas</t>
  </si>
  <si>
    <t>H750-BG</t>
  </si>
  <si>
    <t>WindFall Stand for iPad 10th Generation with PivotTable - Black Grey</t>
  </si>
  <si>
    <t>H750-WT</t>
  </si>
  <si>
    <t>WindFall Stand for iPad 10th Generation with PivotTable - White</t>
  </si>
  <si>
    <t>H750X-BG</t>
  </si>
  <si>
    <t>WindFall Stand for iPad 10th Generation - Black Grey</t>
  </si>
  <si>
    <t>H750X-WT</t>
  </si>
  <si>
    <t>WindFall Stand for iPad 10th Generation - White</t>
  </si>
  <si>
    <t>H751-BG</t>
  </si>
  <si>
    <t>Zoom Rooms Console for iPad 10th Generation</t>
  </si>
  <si>
    <t>H752-BG</t>
  </si>
  <si>
    <t>Zoom Rooms Console for iPad 10th Generation with PoE+Ethernet Adapter</t>
  </si>
  <si>
    <t>H753-BG</t>
  </si>
  <si>
    <t>Side Mount for iPad 10th Generation</t>
  </si>
  <si>
    <t>H754-BG</t>
  </si>
  <si>
    <t>Front Mount for iPad 10th Generation</t>
  </si>
  <si>
    <t>H755-BG</t>
  </si>
  <si>
    <t>Wall Mount MX for iPad 10th Generation</t>
  </si>
  <si>
    <t>H756-BG</t>
  </si>
  <si>
    <t>OnWall Mount for iPad 10th Generation</t>
  </si>
  <si>
    <t>H757-BG</t>
  </si>
  <si>
    <t>VESA Mount for iPad 10th Generation</t>
  </si>
  <si>
    <t>H759X-BG</t>
  </si>
  <si>
    <t>Portrait Stand for iPad 10th Generation</t>
  </si>
  <si>
    <t>H760-BG</t>
  </si>
  <si>
    <t>Meeting Room Console for iPad 10th Generation</t>
  </si>
  <si>
    <t>H800-BG</t>
  </si>
  <si>
    <t>Heckler AV Wall Structure - Black Grey</t>
  </si>
  <si>
    <t>H800-WT</t>
  </si>
  <si>
    <t>Heckler AV Wall Structure - White</t>
  </si>
  <si>
    <t>H801-BG</t>
  </si>
  <si>
    <t>Video Meeting Kit for Heckler AV Wall - Black Grey</t>
  </si>
  <si>
    <t>H801-OW</t>
  </si>
  <si>
    <t>Video Meeting Kit for Heckler AV Wall - Off White</t>
  </si>
  <si>
    <t>H801-GN</t>
  </si>
  <si>
    <t>Video Meeting Kit for Heckler AV Wall - Green</t>
  </si>
  <si>
    <t>H801-BL</t>
  </si>
  <si>
    <t>Video Meeting Kit for Heckler AV Wall - Blue</t>
  </si>
  <si>
    <t>H801-HY</t>
  </si>
  <si>
    <t>Video Meeting Kit for Heckler AV Wall - Honey</t>
  </si>
  <si>
    <t>H802-BG</t>
  </si>
  <si>
    <t>Dual Display Kit for Heckler AV Wall</t>
  </si>
  <si>
    <t>H803-BG</t>
  </si>
  <si>
    <t>Dual Display Kit XL for Heckler AV Wall</t>
  </si>
  <si>
    <t>H804-BG</t>
  </si>
  <si>
    <t>Controller Mount for Heckler AV Wall</t>
  </si>
  <si>
    <t>H806-BG</t>
  </si>
  <si>
    <t>ADA Panels for Video Meeting Kit for Heckler AV Wall - Black Grey</t>
  </si>
  <si>
    <t>H806-OW</t>
  </si>
  <si>
    <t>ADA Panels for Video Meeting Kit for Heckler AV Wall - Off White</t>
  </si>
  <si>
    <t>H806-GN</t>
  </si>
  <si>
    <t>ADA Panels for Video Meeting Kit for Heckler AV Wall - Green</t>
  </si>
  <si>
    <t>H806-BL</t>
  </si>
  <si>
    <t>ADA Panels for Video Meeting Kit for Heckler AV Wall - Blue</t>
  </si>
  <si>
    <t>H806-HY</t>
  </si>
  <si>
    <t>ADA Panels for Video Meeting Kit for Heckler AV Wall - Honey</t>
  </si>
  <si>
    <t>H824-BG</t>
  </si>
  <si>
    <t>XL Display Kit for Heckler AV Wall</t>
  </si>
  <si>
    <t>H872-WT</t>
  </si>
  <si>
    <t>Heckler Whiteboard Mount for Logitech Scribe v2</t>
  </si>
  <si>
    <t>H882-BG</t>
  </si>
  <si>
    <t>Tripod Mount for Stem Wall</t>
  </si>
  <si>
    <t>H889-BG</t>
  </si>
  <si>
    <t>Heckler Power Adapter Mount for Google Meet Room Kits</t>
  </si>
  <si>
    <t>H892-BG</t>
  </si>
  <si>
    <t>AV Credenza Mini - 2023 Edition - Black Grey</t>
  </si>
  <si>
    <t>H892-OW</t>
  </si>
  <si>
    <t>AV Credenza Mini - 2023 Edition - Off White</t>
  </si>
  <si>
    <t>H892-BL</t>
  </si>
  <si>
    <t>AV Credenza Mini - 2023 Edition - Blue</t>
  </si>
  <si>
    <t>H892-GN</t>
  </si>
  <si>
    <t>AV Credenza Mini - 2023 Edition - Green</t>
  </si>
  <si>
    <t>H892-HY</t>
  </si>
  <si>
    <t>AV Credenza Mini - 2023 Edition - Honey</t>
  </si>
  <si>
    <t>H900-WT</t>
  </si>
  <si>
    <t>Heckler Lectern</t>
  </si>
  <si>
    <t>T530-WT</t>
  </si>
  <si>
    <t>Linak Components (all component except the feet)</t>
  </si>
  <si>
    <t>T508-WT</t>
  </si>
  <si>
    <t>Linak Feet</t>
  </si>
  <si>
    <t>H901-CL</t>
  </si>
  <si>
    <t>Modesty Panel Set</t>
  </si>
  <si>
    <t>H901-CL-LOGO</t>
  </si>
  <si>
    <t>Modesty Panel Set with custom logo</t>
  </si>
  <si>
    <t>Setup_Fee</t>
  </si>
  <si>
    <t>One-time artwork setup fee</t>
  </si>
  <si>
    <t>H902-4117</t>
  </si>
  <si>
    <t>Deskpad - Vapour</t>
  </si>
  <si>
    <t>H902-4157</t>
  </si>
  <si>
    <t>Deskpad - Pearl</t>
  </si>
  <si>
    <t>H902-4176</t>
  </si>
  <si>
    <t>Deskpad - Mushroom</t>
  </si>
  <si>
    <t>H902-4132</t>
  </si>
  <si>
    <t>Deskpad - Ash</t>
  </si>
  <si>
    <t>H902-4155</t>
  </si>
  <si>
    <t>Deskpad - Pewter</t>
  </si>
  <si>
    <t>H902-4166</t>
  </si>
  <si>
    <t>Deskpad - Charcoal</t>
  </si>
  <si>
    <t>H902-4023</t>
  </si>
  <si>
    <t>Deskpad - Nero</t>
  </si>
  <si>
    <t>H902-4178</t>
  </si>
  <si>
    <t>Deskpad - Iron</t>
  </si>
  <si>
    <t>H902-4172</t>
  </si>
  <si>
    <t>Deskpad - Mauve</t>
  </si>
  <si>
    <t>H902-4175</t>
  </si>
  <si>
    <t>Deskpad - Pebble</t>
  </si>
  <si>
    <t>H902-4154</t>
  </si>
  <si>
    <t>Deskpad - Burgundy</t>
  </si>
  <si>
    <t>H902-4174</t>
  </si>
  <si>
    <t>Deskpad - Conifer</t>
  </si>
  <si>
    <t>H902-4179</t>
  </si>
  <si>
    <t>Deskpad - Smokey Blue</t>
  </si>
  <si>
    <t>H902-4184</t>
  </si>
  <si>
    <t>Deskpad - Olive</t>
  </si>
  <si>
    <t>H902-4183</t>
  </si>
  <si>
    <t>Deskpad - Pistachio</t>
  </si>
  <si>
    <t>H902-4185</t>
  </si>
  <si>
    <t>Deskpad - Powder</t>
  </si>
  <si>
    <t>H902-4180</t>
  </si>
  <si>
    <t>Deskpad - Aquavert</t>
  </si>
  <si>
    <t>H902-4182</t>
  </si>
  <si>
    <t>Deskpad - Spring Green</t>
  </si>
  <si>
    <t>H902-4186</t>
  </si>
  <si>
    <t>Deskpad - Orange Blast</t>
  </si>
  <si>
    <t>H902-4181</t>
  </si>
  <si>
    <t>Deskpad - Midnight Blue</t>
  </si>
  <si>
    <t>H902-4164</t>
  </si>
  <si>
    <t>Deskpad - Salsa</t>
  </si>
  <si>
    <t>H902-4003</t>
  </si>
  <si>
    <t>Deskpad - walnut</t>
  </si>
  <si>
    <t>H902-4002</t>
  </si>
  <si>
    <t>Deskpad - Leather</t>
  </si>
  <si>
    <t>H902-4001</t>
  </si>
  <si>
    <t>Deskpad - Clay</t>
  </si>
  <si>
    <t>H910-BK</t>
  </si>
  <si>
    <t>Console Insert for Shure SBC 220 or SBC 240</t>
  </si>
  <si>
    <t>H911-BK</t>
  </si>
  <si>
    <t>Console Insert for Dual Shure SBC 220 or SBC 240</t>
  </si>
  <si>
    <t>H912-BK</t>
  </si>
  <si>
    <t>Console Insert for Crestron TSW 770 and TSW1070</t>
  </si>
  <si>
    <t>H913-BK</t>
  </si>
  <si>
    <t>Console Insert for Extron AAP 104</t>
  </si>
  <si>
    <t>H914-BK</t>
  </si>
  <si>
    <t>Console Insert for Courtesy IO</t>
  </si>
  <si>
    <t>H915-BK</t>
  </si>
  <si>
    <t>Console Insert Cover</t>
  </si>
  <si>
    <t>H916-BK</t>
  </si>
  <si>
    <t>Console Insert for Shure SBC 200</t>
  </si>
  <si>
    <t>H917-BK</t>
  </si>
  <si>
    <t>Console Insert for Crestron Swivel Mount Kit</t>
  </si>
  <si>
    <t>H918-BK</t>
  </si>
  <si>
    <t>Console Insert for Neat Pad</t>
  </si>
  <si>
    <t>H919-BK</t>
  </si>
  <si>
    <t>Console Insert for Shure SBC 220 and Gooseneck</t>
  </si>
  <si>
    <t>H903-WT</t>
  </si>
  <si>
    <t>Heckler Lectern Expansion Rack 6U</t>
  </si>
  <si>
    <t>H904-WT</t>
  </si>
  <si>
    <t>Casters</t>
  </si>
  <si>
    <t>H925-BK</t>
  </si>
  <si>
    <t>Bag hook</t>
  </si>
  <si>
    <t>H926-BK</t>
  </si>
  <si>
    <t>Cup holder</t>
  </si>
  <si>
    <t>H906-BG</t>
  </si>
  <si>
    <t>Stand for Signature Teams Rooms</t>
  </si>
  <si>
    <t>H965-BG</t>
  </si>
  <si>
    <t>Heckler Rolling Stand for DTEN D7 55” Display</t>
  </si>
  <si>
    <t>T222</t>
  </si>
  <si>
    <t>Heckler PivotTable for WindFall Stands</t>
  </si>
  <si>
    <t>T223</t>
  </si>
  <si>
    <t>Heckler PivotTack for WindFall Stands</t>
  </si>
  <si>
    <t>T267</t>
  </si>
  <si>
    <t>Redpark Gigabit + PoE Adapter for iPad</t>
  </si>
  <si>
    <t>T272</t>
  </si>
  <si>
    <t>Redpark Gigabit + Power Over Ethernet Upgrade Kit for Zoom Rooms Console</t>
  </si>
  <si>
    <t>T515</t>
  </si>
  <si>
    <t>PoE Texas In-wall PoE Converter</t>
  </si>
  <si>
    <t>T519</t>
  </si>
  <si>
    <t>PoE Texas PoE to USB-C Power and Data Adapter</t>
  </si>
  <si>
    <t>CBT 50LA-1</t>
  </si>
  <si>
    <t>Compact line array column, 100 cm tall, 16 2"</t>
  </si>
  <si>
    <t>CBT 50LA-1-WH</t>
  </si>
  <si>
    <t>CBT 50LA-LS</t>
  </si>
  <si>
    <t>50CM Tall Column Spkr, EN54 1 per carton, 1 per Masterpack</t>
  </si>
  <si>
    <t>CBT 50LA-LS-WH</t>
  </si>
  <si>
    <t>50CM Tall Column Spkr, WH,EN54 1 per carton, 1 per Masterpack</t>
  </si>
  <si>
    <t>CBT 100LA-1</t>
  </si>
  <si>
    <t>Line array column, 100 cm tall, 16 2"</t>
  </si>
  <si>
    <t>CBT 100LA-1-WH</t>
  </si>
  <si>
    <t>CBT 100LA-LS</t>
  </si>
  <si>
    <t>(EN54 Life/Safety) Line array column, 100 cm tall, 16 2"</t>
  </si>
  <si>
    <t>CBT 100LA-LS-WH</t>
  </si>
  <si>
    <t>CBT 200LA-1</t>
  </si>
  <si>
    <t>2 METER TALL, 32 ELEMENT LINE ARRAY</t>
  </si>
  <si>
    <t>CBT 200LA-1-WH</t>
  </si>
  <si>
    <t>CBT 70J-1</t>
  </si>
  <si>
    <t>High-Power J-shaped line array column</t>
  </si>
  <si>
    <t>CBT 70J-1-WH</t>
  </si>
  <si>
    <t>CBT 70JE-1</t>
  </si>
  <si>
    <t>S/M, CBT 70JE</t>
  </si>
  <si>
    <t>CBT 70JE-1-WH</t>
  </si>
  <si>
    <t>CBT 1000</t>
  </si>
  <si>
    <t>High-Output Two-Way Line Array Column with Highly  Adjustable Vertical Coverage</t>
  </si>
  <si>
    <t>CBT 1000E</t>
  </si>
  <si>
    <t>High-Output Column Extension Speaker</t>
  </si>
  <si>
    <t>CBT 1000E-WH</t>
  </si>
  <si>
    <t>CBT 1000-WH</t>
  </si>
  <si>
    <t>CONTROL 12C/T</t>
  </si>
  <si>
    <t>3" FULL-RANGE CEILING SPKR (2 PER CTN)</t>
  </si>
  <si>
    <t>CONTROL 12C/T-BK</t>
  </si>
  <si>
    <t>3" FULL-RANGE CEILING SPKR (2 PER CTN), BLK</t>
  </si>
  <si>
    <t>CONTROL 14C/T</t>
  </si>
  <si>
    <t>4" CO-AX CEILING SPKR (2 PER CTN)</t>
  </si>
  <si>
    <t>CONTROL 14C/T-BK</t>
  </si>
  <si>
    <t>4" CO-AX CEILING SPKR (2 PER CTN), BLK</t>
  </si>
  <si>
    <t>CONTROL 16C/T</t>
  </si>
  <si>
    <t>6-1/2" CO-AX CEILING SPKR (2 PER CTN)</t>
  </si>
  <si>
    <t>CONTROL 16C/T-BK</t>
  </si>
  <si>
    <t>6-1/2" CO-AX CEILING SPKR (2 PER CTN), BLK</t>
  </si>
  <si>
    <t>CONTROL 18C/T</t>
  </si>
  <si>
    <t>8" 2-WAY CEILING SPKR, WHT (2 PER CTN)</t>
  </si>
  <si>
    <t>CONTROL 18C/T-BK</t>
  </si>
  <si>
    <t>8" 2-WAY CEILING SPKR, BLK (2 PER CTN)</t>
  </si>
  <si>
    <t>Hz250UT-LR</t>
  </si>
  <si>
    <t>(4) 2.5" woofers; (2) 22mm tweeters; ULTRA-THIN</t>
  </si>
  <si>
    <t>Hz250UT-LR-OS</t>
  </si>
  <si>
    <t>(4) 2.5" woofers; (2) 22mm tweeters; ULTRA-THIN; For displays 75"+ diag.</t>
  </si>
  <si>
    <t>Hz300UX-LR</t>
  </si>
  <si>
    <t>(4) 3" audiophile woofers; (2) 28mm audiophile tweeters; ULTRA-THIN</t>
  </si>
  <si>
    <t>Hz300UX-LR-OS</t>
  </si>
  <si>
    <t>(4) 3" audiophile woofers; (2) 28mm audiophile tweeters; ULTRA-THIN; For displays 75"+ diag.</t>
  </si>
  <si>
    <t>Hz400UX-LR</t>
  </si>
  <si>
    <t>(4) 4" audiophile woofers; (2) 28mm audiophile tweeters; ULTRA-THIN</t>
  </si>
  <si>
    <t>Hz400UX-LR-OS</t>
  </si>
  <si>
    <t>(4) 4" audiophile woofers; (2) 28mm audiophile tweeters; ULTRA-THIN; For displays 75"+ diag.</t>
  </si>
  <si>
    <t>Hz500UX-LR</t>
  </si>
  <si>
    <t>(4) 5" audiophile woofers; (2) 28mm audiophile tweeters; ULTRA-THIN</t>
  </si>
  <si>
    <t>Hz500UX-LR-OS</t>
  </si>
  <si>
    <t>(4) 5" audiophile woofers; (2) 28mm audiophile tweeters; ULTRA-THIN; For displays 75"+ diag.</t>
  </si>
  <si>
    <t>Hz300-LR</t>
  </si>
  <si>
    <t>Hz300-LR-OS</t>
  </si>
  <si>
    <t>55CT5WJ-B</t>
  </si>
  <si>
    <t>LG One:Quick Works,  Touch, Camera, MIC, HDMI(2), USB, DP, RS232C IN/Out, RJ45 In. IR In</t>
  </si>
  <si>
    <t>TOUCH</t>
  </si>
  <si>
    <t>55EF5K-L</t>
  </si>
  <si>
    <t>55", FHD, OLED, HDMI, DP, USB 2.0(2), RS232C IN/OUT, RJ45(LAN) IN/OUT, IR IN External IR Receiver</t>
  </si>
  <si>
    <t>CURVED OLED</t>
  </si>
  <si>
    <t>55EF5K-P</t>
  </si>
  <si>
    <t>55EJ5K-B</t>
  </si>
  <si>
    <t>55", FHD, OLED, HDMI, DP, USB , RS232C In/out, RJ45,IR IN, USB2.0 Type A(2), webOS4.0</t>
  </si>
  <si>
    <t>WALLPAPER OLED</t>
  </si>
  <si>
    <t>55EW5G-V</t>
  </si>
  <si>
    <t>55" Transparent FHD OLED, HDMI(2),DP,RS232C IN/Out,RJ45 In/Out, IR In, USB(2), DP, Audio Out</t>
  </si>
  <si>
    <t>T-OLED</t>
  </si>
  <si>
    <t>55EW5PG-S</t>
  </si>
  <si>
    <t>55" Transparent OLED,1920x1080 (FHD, HDMI, DP, Audio Out, RS232C IN/Out, RJ45(LAN),USB 2.0</t>
  </si>
  <si>
    <t>55EW5TK-A</t>
  </si>
  <si>
    <t>55"Transparent Touch OLED, 1920 x 1080 (FHD), HDMI, DP, Audio Out, RS232C IN/Out,  RJ45(LAN), IR In, USA 2.0</t>
  </si>
  <si>
    <t>55TC3CG-H</t>
  </si>
  <si>
    <t>55" UHD, 350nit, HDMI(2), DP, USB2.0(2), Temperature Sensor, Auto Brightness sensor, Local Key Operation, WebOS 4.1, Haze 28%</t>
  </si>
  <si>
    <t>55UH5F-H</t>
  </si>
  <si>
    <t>HDMI (3), DP, DVI-D, Audio, USB 2.0 (1), DP, Audio (Off/Fixed/Variable), IPS, Built-in Speakers, webOS 4.1</t>
  </si>
  <si>
    <t>LCD</t>
  </si>
  <si>
    <t>55UH7F-H</t>
  </si>
  <si>
    <t>55" UHD, Web OS, HDMI(3), USB2.0 Type A(1), Display Port, Audio</t>
  </si>
  <si>
    <t>55UL3J-E</t>
  </si>
  <si>
    <t>55" UHD, 330 nit, HDMI(3),RS232C IN/OUT, RJ45(LAN), USB2.0 (2), Audio Out, Wi-Fi,  WebOS 6.0</t>
  </si>
  <si>
    <t>55UR340C9UD</t>
  </si>
  <si>
    <t xml:space="preserve">HDMI(3), RS-232C(1), USB(1), RF in(1), audio out(1), RJ45In, NO EXT. SPK OUT 
</t>
  </si>
  <si>
    <t>55UR640S9UD</t>
  </si>
  <si>
    <t>HDMI(3), USB(1), WIFI, RF In, R Out(RS-232C),  RJ45, Audio Out, External Speaker Out (Amplifier NOT included)</t>
  </si>
  <si>
    <t>55VL5F-A</t>
  </si>
  <si>
    <t>55" FHD Video-WalL, 3.5mm BtB(Bezel to Bezel), 2 HDMI, 1 DP, 1 DVI, 1 RGB, 2 USB, 500 nit</t>
  </si>
  <si>
    <t>VIDEOWALL</t>
  </si>
  <si>
    <t>55VL5FAW-4P</t>
  </si>
  <si>
    <t>2x2 55VLF5A w/ Peerless mounts</t>
  </si>
  <si>
    <t>55VL5FAW-9P</t>
  </si>
  <si>
    <t>3x3 55VLF5A w/ Peerless mounts</t>
  </si>
  <si>
    <t>55VM5J-H</t>
  </si>
  <si>
    <t>55" FHD Video wall, 1.74mm (Panel Bezel to Panel Bezel) Videowall, HDMI(2), USB 2.0(1), DP(1), DVI(1), Audio, RS232C In/Out, RJ45(LAN) In/Out, WebOS 4.1</t>
  </si>
  <si>
    <t>55VM5JH-4P</t>
  </si>
  <si>
    <t>2x2 55VM5J-H w/Peerless mounts</t>
  </si>
  <si>
    <t>55VM5JH-9P</t>
  </si>
  <si>
    <t>3x3 55VM5J-H w/Peerless mount</t>
  </si>
  <si>
    <t>55VSH7J-H</t>
  </si>
  <si>
    <t>55" FHD Video Wall, 0.44mm Even Videowall, HDMI(2), DP(1), DVI-D(1), Audio In, RS232C In/Out, RJ45(Lan)IN/Out, IR In, USB2.0(1), WebOs 4.1</t>
  </si>
  <si>
    <t>55VSH7JH-4P</t>
  </si>
  <si>
    <t>2x2 55VSH7J-H w/Peerless mounts</t>
  </si>
  <si>
    <t>55VSH7JH-9P</t>
  </si>
  <si>
    <t>3x3 55VSH7J-H w/Peerless mounts</t>
  </si>
  <si>
    <t>55VSM5J-H</t>
  </si>
  <si>
    <t>55"FHD Video-Wall,Even bezel : 0.44mm,  HDMI(2), DP(1), DVI-D(1), Audio In, RS232C IN/Out, RJ45(LAN), IR IN, USB(1), WebOS 4.1</t>
  </si>
  <si>
    <t>55VSM5JW-4P</t>
  </si>
  <si>
    <t>2x2 55VSM5J-H w/Peerless mounts</t>
  </si>
  <si>
    <t>55VSM5JW-9P</t>
  </si>
  <si>
    <t>3x3 55VSM5J-H w/Peerless mounts</t>
  </si>
  <si>
    <t>55XE4F-M</t>
  </si>
  <si>
    <t>HDMI(2), DP, HDBaseT, USB(2),  External Speaker Out(L/R),  RS232C In/Out, RJ45(LAN) In/Out, Operation Temp: -30°C to 50 °C / Operation Humidity : 5% to 100%,  Power Supply: 100-240V~, 50/60Hz, (included  Remote Controller, Manual(EIG, IG , OM), Regulation Book, Phone to RS232C Gender, HDMI Cable , POWER CABLE)</t>
  </si>
  <si>
    <t>OUTDOOR</t>
  </si>
  <si>
    <t>55XS4J-B</t>
  </si>
  <si>
    <t>55" FHD, HDMI(2), DP, RS232C In/Out, RJ45 In, IR In, USB(1), External Speaker out, webOS 4.1</t>
  </si>
  <si>
    <t>65EP5G-B</t>
  </si>
  <si>
    <t>65" OLED Pro , HDMI(2, HDCP2.2(HDMI 2.1)), SDI(4), REF In, RJ45(LAN), RJ45(GPI In), SFP(SFP+), USB(USB2.0 Type A)</t>
  </si>
  <si>
    <t>OLED</t>
  </si>
  <si>
    <t>65TR3DJ-B</t>
  </si>
  <si>
    <t>65" UHD, HDMI(3), USB, RGB, Android 8.0,  Audio In/out,RS232C IN, RJ45(LAN) IN</t>
  </si>
  <si>
    <t>65UH5F-H</t>
  </si>
  <si>
    <t>65UH7F-H</t>
  </si>
  <si>
    <t>65" UHD, 700nit,  HDMI(3),DP, DVI-D, Audio In, RS232C In/Out, RJ34 In/Out, IR In, USB(1), Wi-Fi, WebOS 4.1</t>
  </si>
  <si>
    <t>65UL3J-E</t>
  </si>
  <si>
    <t>65" UHD, 330 nit, HDMI(3),RS232C IN/OUT, RJ45(LAN), USB2.0 (2), Audio Out, Wi-Fi,  WebOS 6.0</t>
  </si>
  <si>
    <t>65UR340C9UD</t>
  </si>
  <si>
    <t>65UR640S9UD</t>
  </si>
  <si>
    <t>75TR3DJ-B</t>
  </si>
  <si>
    <t>75" UHD, HDMI(3), USB, RGB, Android 8.0,  Audio In/out,RS232C IN, RJ45(LAN) IN</t>
  </si>
  <si>
    <t>75UH5F-H</t>
  </si>
  <si>
    <t>HDMI (3), DP, DVI-D, Audio, USB 2.0 (2), DP, Audio (Off/Fixed/Variable), IPS, Built-in Speakers, webOS 4.0</t>
  </si>
  <si>
    <t>75UL3J-E</t>
  </si>
  <si>
    <t>75" UHD, 330 nit, HDMI(3),RS232C IN/OUT, RJ45(LAN), USB2.0 (2), Audio Out, Wi-Fi,  WebOS 6.0</t>
  </si>
  <si>
    <t>75UR340C9UD</t>
  </si>
  <si>
    <t>75UR640S9UD</t>
  </si>
  <si>
    <t>75XE3C-B</t>
  </si>
  <si>
    <t>75" FHD M+, Out-door set, 3,000 nit, 1 HDMI, 1 DP, 1 DVI, 1 RS232, 1 RJ-45, 1 USB 3.0,SD Card</t>
  </si>
  <si>
    <t>75XS4G-B</t>
  </si>
  <si>
    <t xml:space="preserve">HDMI(2), DP, USB2.0  Type A (1), RS232C IN/out, RJ45(LAN)In/Out,  IR IN, Externel Speaker Out L/R, Bezel Width -Even bezel : 13.8mm, Internal Memory 16GB, Built in Wi-Fi,Temperature Sensor, Auto Brightness sensor,Acceleration(Gyro) Sensor, webOS4.1,Multi-screen PIP/PBP(2), Screen Share,Video Tag(4), Play via URL, Screen Rotation, External Input Rotation,24/7/50,000 Hrs life time, Operation Temperature - 0 °C to 40°C , Operation Humidity -10 % to 80 %,Power Supply AC 100-240V~,  50/60Hz, </t>
  </si>
  <si>
    <t>86TR3DJ-B</t>
  </si>
  <si>
    <t>86" UHD, HDMI(3), USB, RGB, Android 8.0,  Audio In/out,RS232C IN, RJ45(LAN) IN</t>
  </si>
  <si>
    <t>86UH5F-H</t>
  </si>
  <si>
    <t>86UL3J-B</t>
  </si>
  <si>
    <t>86" UHD, 330 nit, HDMI(3),RS232C IN/OUT, RJ45(LAN), USB2.0 (2), Audio Out, Wi-Fi,  WebOS 6.0</t>
  </si>
  <si>
    <t>86UR340C9UD</t>
  </si>
  <si>
    <t xml:space="preserve">HDMI(3), RS-232C(1), USB(1), RF in(1), audio out(1), RJ45, NO EXT. SPK OUT 
</t>
  </si>
  <si>
    <t>86UR640S9UD</t>
  </si>
  <si>
    <t>98UH5F-H</t>
  </si>
  <si>
    <t>98UM5K-B</t>
  </si>
  <si>
    <t>98" UHD, 500nit, HDMI(3), RJ45(LAN),USB(2), Audio Out</t>
  </si>
  <si>
    <t>110UM5K-B</t>
  </si>
  <si>
    <t>110" UHD, 500nit, HDMI(3),RJ45(LAN),USB(2),Audio Out</t>
  </si>
  <si>
    <t>LAEC015-GN2.AUSQ</t>
  </si>
  <si>
    <t>136" (16:9) ALL IN ONE DVLED, 1.5MM PIXEL PITCH, 2K, SMD</t>
  </si>
  <si>
    <t>ALL IN ONE DVLED</t>
  </si>
  <si>
    <t>LAEC018-GN2.AUSQ</t>
  </si>
  <si>
    <t>163" (16:9) ALL IN ONE DVLED, 1.8MM PIXEL PITCH, 2K, SMD</t>
  </si>
  <si>
    <t>LAED015-GN2.AUSQ</t>
  </si>
  <si>
    <t>171" (21:9) ALL IN ONE DVLED, 1.5MM PIXEL PITCH, 2K, SMD</t>
  </si>
  <si>
    <t>989-000430</t>
  </si>
  <si>
    <t>Rally Bar, Graphite, Video Bar, 4K, 15x zoom, PTZ, all-in-one design for sm/med rooms. Includes: Rally Bar w/stand, power supply, AC power cord, HDMI cable (2m/6.5ft), USB cable (2.2m/7/2ft), BT remote control, lens caps 2-yr limited warranty</t>
  </si>
  <si>
    <t>Rally Bar, Graphite</t>
  </si>
  <si>
    <t>952-000038</t>
  </si>
  <si>
    <t>TAA Compliant - Rally Bar, Graphite, Video Bar, 4K, 15x zoom, PTZ, all-in-one design for sm/med rooms. Includes: Rally Bar w/stand, power supply, AC power cord, HDMI cable (2m/6.5ft), USB cable (2.2m/7/2ft), BT remote control, lens caps 2-yr limited warrantyt</t>
  </si>
  <si>
    <t>Rally Bar - TAA</t>
  </si>
  <si>
    <t>952-000047</t>
  </si>
  <si>
    <t>Rally Bar, White, Video Bar, 4K, 15x Zoom, PTZ, all-in-one design. Includes: Rally Bar w/stand, power supply, AC power cord, HDMI cable (2m/6.5ft), USBcable (2.2m/7/2ft), BT remote control, lens caps 2-yr limited warranty</t>
  </si>
  <si>
    <t>Rally Bar, White</t>
  </si>
  <si>
    <t>952-000002</t>
  </si>
  <si>
    <t>Rally Bar Mini, Graphite, Video Bar, 4K, 4x zoom, PTZ, all-in-one design from huddle/sm. rooms.  Includes: Rally Bar Mini w/stand, power supply, AC power cord, HDMI cable (2m/6.5ft), USB cable (2.2m/7/2ft), BT remote control, lens caps 2-yr limited warranty</t>
  </si>
  <si>
    <t>Rally Bar Mini, Graphite</t>
  </si>
  <si>
    <t>952-000020</t>
  </si>
  <si>
    <t>TAA Compliant - Rally Bar Mini, Graphite, Video Bar, 4K, 4x zoom, PTZ, all-in-one design from huddle/sm. rooms.  Includes: Rally Bar Mini w/stand, power supply, AC power cord, HDMI cable (2m/6.5ft), USB cable (2.2m/7/2ft), BT remote control, lens caps 2-yr limited warranty</t>
  </si>
  <si>
    <t>Rally Bar Mini TAA, Graphite</t>
  </si>
  <si>
    <t>939-001647</t>
  </si>
  <si>
    <t>Rally Bar Mini, white, Video Bar, 4K, 4x zoom, PTZ, all-in-one design from huddle/sm. rooms.  Includes: Rally Bar Mini w/stand, power supply, AC power cord, HDMI cable (2m/6.5ft), USB cable (2.2m/7/2ft), BT remote control, lens caps 2-yr limited warranty</t>
  </si>
  <si>
    <t>Rally Bar Mini, White</t>
  </si>
  <si>
    <t>939-001644</t>
  </si>
  <si>
    <t>Rally 4K PTZ camera, Rally speakers(2), Mic Pods (2), Table Hub, Display Hub, Remote Control, Power Adapters, 2-yr limited warranty</t>
  </si>
  <si>
    <t>Rally Plus (w/graphite mic pods)</t>
  </si>
  <si>
    <t>960-001230</t>
  </si>
  <si>
    <t>Rally 4K PTZ camera, Rally speakers(2) White Mic Pods (2), Table Hub, Display Hub, Remote Control, Power Adapters, 2-yr limited warranty</t>
  </si>
  <si>
    <t>Rally Plus (w/white mic pods)</t>
  </si>
  <si>
    <t>952-000041</t>
  </si>
  <si>
    <t>Rally 4K PTZ camera, Rally speaker (1), Mic Pod (1), Power Adatpers, Table Hub, Display Hub, Remote Control, Power Adapters, 2-yr limited warranty</t>
  </si>
  <si>
    <t>Rally (w/graphite mic pod)</t>
  </si>
  <si>
    <t>952-000123</t>
  </si>
  <si>
    <t>Rally 4K PTZ camera, Rally speaker (1) White Mic Pod (1), Power Adatpers, Table Hub, Display Hub, Remote Control, Power Adapters, 2-yr limited warranty</t>
  </si>
  <si>
    <t>Rally (w/white mic pod)</t>
  </si>
  <si>
    <t>952-000044</t>
  </si>
  <si>
    <t>Rally 4K PTZ camera only, 15x zoom, Remote Control, Power Adapter, 2.2m USB cable, Wall Mount, 2-yr limited warranty</t>
  </si>
  <si>
    <t>Rally Camera</t>
  </si>
  <si>
    <t xml:space="preserve">960-001510  </t>
  </si>
  <si>
    <t>Built-in Components: 6 DMIC microphone array, digital PTZ camera, 1 full range ported speaker, cable management &amp; retention system, multi functional mount, integrated motorized privacy shutter, Logitech CollabOS platform</t>
  </si>
  <si>
    <t>Rally Bar Huddle</t>
  </si>
  <si>
    <t xml:space="preserve">960-001503 </t>
  </si>
  <si>
    <t xml:space="preserve">Rally Bar Huddle </t>
  </si>
  <si>
    <t>Rally Bar Huddle and Tap IP Bundle</t>
  </si>
  <si>
    <t>Optional expansion Rally Mic Pod, Graphite, 2.95m/9.6 ft cable length, 4.5m/15ft  pickup range(diameter), for use with Rally, Rally Plus, Rally Bar and Rally Bar Mini, 2-yr limited warranty. For deployments where mic pod must be positioned greater than 2.95m/9.6ft away, add Rally Mic Pod Ext. cable 952-000047</t>
  </si>
  <si>
    <t>Rally Mic Pod - Graphite</t>
  </si>
  <si>
    <t>Optional expansion Rally Mic Pod, White, 2.95m/9.6ft cable length, 4.5m/15ft pickup range(diameter) for use with Rally, Rally Plus, Rally Bar and Rally Bar Mini, 2-yr limited warranty. For deployments where mic pod must be positioned greater than 2.95m/9.6ft away, add Rally Mic Pod Ext. cable 952-000047</t>
  </si>
  <si>
    <t>Rally Mic Pod - White</t>
  </si>
  <si>
    <t>Rally Mic Pod Extension Cable, white, 10m/32.8ft for use with Rally, Rally Plus, Rally Bar and Rally Bar Mini</t>
  </si>
  <si>
    <t>Rally Mic Pod Extension Cable - White</t>
  </si>
  <si>
    <t>Rally Mic Pod Mount, Graphite, to fix the Mic Pod postion on the table or ceiling, for use with Rally Mic Pods 989-000430 and 952-000038, 2-yr limited warranty</t>
  </si>
  <si>
    <t>Rally Mic Pod Mount - Table or Ceiling, Graphite</t>
  </si>
  <si>
    <t>Rally Mic Pod Mount, white, to fix the Mic Pod postion on the table or ceiling, for use with Rally Mic Pods 989-000430 and 952-000038, 2-yr limited warranty</t>
  </si>
  <si>
    <t>Rally Mic Pod Mount - Table or Ceiling, White</t>
  </si>
  <si>
    <t>For connecting up to three Rally Mic Pods or additional Rally Mic Pod Hubs, (3) 12-pin connections, 2.95m/9.6ft cable length, includes under table mounting hardware, 2-yr limited warranty</t>
  </si>
  <si>
    <t>Rally Mic Pod Hub</t>
  </si>
  <si>
    <t>Rally Mounting Kit includes camera mount, two speaker mounts, two Rally hub mounts, and cable retention kits, 2-yr limited warranty</t>
  </si>
  <si>
    <t>Rally and Rally Plus Mounting Kit</t>
  </si>
  <si>
    <t>Second speaker for Rally system, 2.95m/ 9.6ft cable length (max 2 speakers per system).  Not for use with Rally Bar, Rally Bar Mini, or Rally USB stand-alone camera.</t>
  </si>
  <si>
    <t>Rally Speaker</t>
  </si>
  <si>
    <t>Video Bar TV Mount, Attach Rally Bar, Rally Bar Mini, or Rally Camera to almost any display with VESA mounting points. up to 98" TV. - Secures above or below display, 2-yr limited warranty</t>
  </si>
  <si>
    <t xml:space="preserve">TV Mount for Rally Bar </t>
  </si>
  <si>
    <t>Mic Pod Pendant Mount allows you to hang Rally Mic Pods in rooms that have tall ceiling rooms and tables that can’t have mics attached or that have unique setups. Hanging mics from the ceiling helps ensure everyone can be heard equally even in your largest spaces. Mic Pod Pendant Mount easily secures the mic pods to both drop ceilings and solid ceilings.</t>
  </si>
  <si>
    <t>Rally Mic Pod Pendant Mount</t>
  </si>
  <si>
    <t>Video Bar Wall Mount, VESA-compatible,  for use with Rally Bar and Rally Bar Mini. 2-yr limited warranty</t>
  </si>
  <si>
    <t>Wall Mount for Rally Bar</t>
  </si>
  <si>
    <t>Tabletop camera with intelligent multi-participant framing. Works with Rally Bar and Rally Bar Mini. Includes Sight camera
Sight dongle, Mic pod dongle, Privacy shade, Grommet, Table, and Trippod mounts, Mounting nut, User documentation</t>
  </si>
  <si>
    <t>Logitech Sight, Graphite</t>
  </si>
  <si>
    <t>Logitech Sight, White</t>
  </si>
  <si>
    <t>960-001201</t>
  </si>
  <si>
    <t>4K motorized pan/tilt camera, 5x zoom, remote control, power adapter, 5m/16.4ft USB cable, wall mount, expansion microphone (6m/ 19.6ft cable length). 2-yr limited warranty</t>
  </si>
  <si>
    <t>MeetUp with Expansion Mic</t>
  </si>
  <si>
    <t>960-001101</t>
  </si>
  <si>
    <t>4K motorized pan/tilt camera, 5x zoom, remote control, power adapter, 5m USB cable, wall mount</t>
  </si>
  <si>
    <t>MeetUp</t>
  </si>
  <si>
    <t>989-000405</t>
  </si>
  <si>
    <t>Expansion Microphone for MeetUp (960-001101), Noise Canceling, 6m/ 9.6ft cable length</t>
  </si>
  <si>
    <t>MeetUp Expansion Mic</t>
  </si>
  <si>
    <t>950-000005</t>
  </si>
  <si>
    <t>Extended Cable for MeetUp Expansion Microphone (989-000405), 10m cable length</t>
  </si>
  <si>
    <t>MeetUp 10m Extension Cable for Expansion Mic</t>
  </si>
  <si>
    <t>939-001656</t>
  </si>
  <si>
    <t>MeetUp TV Mount XL, for displays 55 inches to 90 inches.  For use with MeetUp (960-001101).</t>
  </si>
  <si>
    <t>TV Mount XL for MeetUp</t>
  </si>
  <si>
    <t>939-001498</t>
  </si>
  <si>
    <t>MeetUp TV Mount, for displays smaller than 55 inches. For use with MeetUp (960-001101).</t>
  </si>
  <si>
    <t>TV Mount for MeetUp</t>
  </si>
  <si>
    <t>993-001391</t>
  </si>
  <si>
    <t>USB cable with both USB and and USB C interfaces.  16.4ft/4.9m</t>
  </si>
  <si>
    <t>MeetUp USB A to C Cable</t>
  </si>
  <si>
    <t>950-000081</t>
  </si>
  <si>
    <t>Logitech RoomMate, compact, dedicated computing appliance for Microsoft Teams on Android, Zoom Rooms, RingCentral, GoToMeeting and Pexip platforms. HDMI Out: 2, HDMI In: 1, USB 3.0: 3x Type A, Network: 10/100/1G Ethernet
WiFi: 802.11a/b/g/n/ac (MIMO).  For use with Logitech USB Conference Cameras including: MeetUp, Rally, Rally Plus and Group.  Includes: RoomMate, power supply, AC Cable, VESA bracket, remote control. 2-yr limited warranty</t>
  </si>
  <si>
    <t>RoomMate</t>
  </si>
  <si>
    <t>952-000097</t>
  </si>
  <si>
    <t>Logitech Compute Mount securely attachs RoomMate (950-000081) and all leading small form factor PCs. Provides integrated cable retention with elevated clamp for less vertical strain on PC cables</t>
  </si>
  <si>
    <t>Logitech Compute Mount</t>
  </si>
  <si>
    <t>960-001013</t>
  </si>
  <si>
    <t>Portable conference camera for up to six people, 1080p, H.264, SVC, supports USB/BT/NFC connectivity, 4x zoom, omni-directional full duplex mics, rechargable battery for wireless mobility.  Includes: power adapter w/regional plugs, USB cable (x m/6ft), remote control.  2-yr limited warranty.</t>
  </si>
  <si>
    <t>Logitech Connect</t>
  </si>
  <si>
    <t>960-001060</t>
  </si>
  <si>
    <t>USB Camera, 1080P 10x HD zoom, HD Audio speakerphone w/6m/20' pickup and BT/NFC pairing and central mountable hub for connecting all components. Includes:  AC power adapter, USB PTZ Camera, speakerphone, remote control, (2) 5 m/16.4’cables for connection between speakerphone and camera to hub, (1) 3 m/9.8’ meter cable, between hub and PC, mount, (2) mic pods, quick start guide, 2-yr limited warranty</t>
  </si>
  <si>
    <t>GROUP + Mic Bundle</t>
  </si>
  <si>
    <t>960-001054</t>
  </si>
  <si>
    <t>USB Camera, 1080P 10x HD zoom, HD Audio speakerphone w/6m/20' pickup and BT/NFC pairing and central mountable hub for connecting all components. Includes:  AC power adapter, PTZ Pro 2 camera, speakerphone, remote control, (2) 5 m/16.4’cables for connection between speakerphone and camera to hub, (1) 3 m/9.8’ meter cable, between hub and PC, mount, quick start guide, 2-yr limited warranty</t>
  </si>
  <si>
    <t>GROUP</t>
  </si>
  <si>
    <t>989-000171</t>
  </si>
  <si>
    <t>Two expansion microphones for GROUP 2.4m/ 7.8ft cable length</t>
  </si>
  <si>
    <t>GROUP Expansion Mics</t>
  </si>
  <si>
    <t>939-001490</t>
  </si>
  <si>
    <t>GROUP 15m/49ft extended cable for video conferences in larger rooms</t>
  </si>
  <si>
    <t>GROUP 15m Extension Cable</t>
  </si>
  <si>
    <t>939-001487</t>
  </si>
  <si>
    <t>Replacement 10m/32ft  Mini-DIN cable for GROUP video conferencing system, 10M cable</t>
  </si>
  <si>
    <t>GROUP 10m Extension Cable</t>
  </si>
  <si>
    <t>960-001184</t>
  </si>
  <si>
    <t>HD 1080p USB, PTZ Camera, 10x zoom,  Includes: remote control, camera mount and 10ft/3m USBcable with  power adapter connection, power adaptor with regional plugs. 2-yr limited warranty</t>
  </si>
  <si>
    <t>PTZ Pro 2 Camera</t>
  </si>
  <si>
    <t>952-000085</t>
  </si>
  <si>
    <t>Meeting Room Touch controller for use in all sizes meeting rooms.  Includes: Tap Touch Controller, Graphite,  10.1-in LCD display, PoE, Wi-Fi, Bluetooth 5.0, (4) VESA Mounting Screws, microfiber cloth.  Requires Power over Ethernet (PoE) cable required, IEEE 802.3af Type 1, Class 3 device (not included) 2-yr limted warranty</t>
  </si>
  <si>
    <t>Tap IP Touch Controller, Graphite</t>
  </si>
  <si>
    <t>952-000088</t>
  </si>
  <si>
    <t>Meeting Room Touch controller for use in all sizes meeting rooms.  Includes: Tap Touch Controller, White, 10.1-in LCD display, PoE, Wi-Fi, Bluetooth 5.0, (4) VESA Mounting Screws, microfiber cloth.  Requires Power over Ethernet (PoE) cable required, IEEE 802.3af Type 1, Class 3 device sold separately. 2-yr limted warranty</t>
  </si>
  <si>
    <t>Tap IP Touch Controller, White</t>
  </si>
  <si>
    <t>939-001950</t>
  </si>
  <si>
    <t>Meeting Room Touch Controller for use in all size meeting rooms.  Includes: Tap Touch Controller 10.1-in LCD display, Cat5e Kit, Tap Receiver, Dongle Transceiver, 100-240v Power Supply with International Adaptor Set, (1) Cat5e Cable (2.97m/9.7ft), (1) Cat5e Cable  (7.0m/22.9ft), (1) HDMI 1.4a cable (2.0m / 6.5 ft), microfiber cloth. 2-yr limited warranty</t>
  </si>
  <si>
    <t>Tap Touch Controller, w/Cat5e</t>
  </si>
  <si>
    <t>952-000019</t>
  </si>
  <si>
    <t>Cat5e cabling kit to supply USB data and power to original  Logitech Tap with Strong USB (939-001796).  Kit includes: Tap receiver, dongle transceiver, 100-240v power supply with International adaptor set, (1) 2.97m/ 9.74 ft Cat5e cable, (1) 7m / 22.96 ft Cat5e cable</t>
  </si>
  <si>
    <t>Cat5e Kit for original Logitech Tap</t>
  </si>
  <si>
    <t>939-001805</t>
  </si>
  <si>
    <t>Strong USB cable for use with Logitech Tap 939-001796, 45m, USB 3.2 Gen 2, Extended-length SuperSpeed USB 10 Gbps, USB-C extension cable for tight spaces</t>
  </si>
  <si>
    <t>Strong USB Cable 45m/147ft</t>
  </si>
  <si>
    <t>939-001802</t>
  </si>
  <si>
    <t>Strong USB cable for use with Logitech Tap 939-001796, 25m, USB 3.2 Gen 2, Extended-length SuperSpeed USB 10 Gbps, USB-C extension cable for tight spaces</t>
  </si>
  <si>
    <t>Strong USB Cable 25m/82ft</t>
  </si>
  <si>
    <t>939-001799</t>
  </si>
  <si>
    <t>Strong USB cable for use with Logitech Tap 939-001796, 10m, USB 3.2 Gen 2, Extended-length SuperSpeed USB 10 Gbps, USB-C extension cable for tight spaces</t>
  </si>
  <si>
    <t>Strong USB Cable 10m/32ft</t>
  </si>
  <si>
    <t>952-000080</t>
  </si>
  <si>
    <t>New Tap Riser Mount for use with Tap IP (952-000085,952-000088), Tap Cat5e 939-001950, or Tap Strong USB 939-001796, elevated table mount with swivel and cable management</t>
  </si>
  <si>
    <t>Tap Riser Mount 2.0 (new)</t>
  </si>
  <si>
    <t>939-001814</t>
  </si>
  <si>
    <t>Tap Riser Mount for use with Tap Cat5e 939-001950, or Tap Strong USB 939-001796, elevated table mount with swivel and cable management.  Not for use with Tap IP (952-000085,952-000088)</t>
  </si>
  <si>
    <t>Tap Riser Mount 1.0</t>
  </si>
  <si>
    <t>939-001811</t>
  </si>
  <si>
    <t>Tap Table Mount for use with Tap Cat5e 939-001950, or Tap Strong USB 939-001796, Swiveling table mount with cable management</t>
  </si>
  <si>
    <t>Tap Table Mount</t>
  </si>
  <si>
    <t>939-001817</t>
  </si>
  <si>
    <t>Tap Wall Mount for use with Tap Cat5e, 939-001950 or Tap Strong USB 939-001796, Space-saving wall mount with cable management</t>
  </si>
  <si>
    <t>Tap Wall Mount</t>
  </si>
  <si>
    <t>952-000126</t>
  </si>
  <si>
    <t xml:space="preserve">Ideal for lower height placements or angled viewing, Tap Scheduler Angle Mount offers more flexibility in how and where you place Tap Scheduler. The Angle Mount adds a 14º angle to the device’s mounting bracket, making it easier for people to view the upcoming calendar and get to their meeting on time. </t>
  </si>
  <si>
    <t xml:space="preserve">Tap Scheduler Angle Mount - Graphite </t>
  </si>
  <si>
    <t>952-000127</t>
  </si>
  <si>
    <t>Tap Scheduler Angle Mount - Off White</t>
  </si>
  <si>
    <t>960-001332</t>
  </si>
  <si>
    <t>USB Whiteboard camera, 1080p, Includes: BT Share button, dongle transciever, 100-240v power supply with international adapter set, (2) 5m/ 16.4ft Cat5e cables, (2) cable clips, camera install kit, 2-yr limited warranty</t>
  </si>
  <si>
    <t>Scribe</t>
  </si>
  <si>
    <t>952-000120</t>
  </si>
  <si>
    <t>Effortlessly share whiteboards into video meetings with Logitech Scribe, an AI-powered whiteboard camera for Microsoft Teams Rooms, Zoom Rooms, and other leading video conferencing services. With built-in AI and a custom lens, Scribe broadcasts whiteboard content into video meetings with outstanding clarity. Now, even remote participants can have the best seat at the table.</t>
  </si>
  <si>
    <t>Scribe Glass Mount</t>
  </si>
  <si>
    <t>952-000116</t>
  </si>
  <si>
    <t>The Scribe Polarizer attaches to the Scribe whiteboard camera lens to reduce glare and manage reflections</t>
  </si>
  <si>
    <t>Scribe Polarizer</t>
  </si>
  <si>
    <t>952-000102</t>
  </si>
  <si>
    <t>Add a share button in white for Scribe whiteboard camera as an alternative to the included purple button.</t>
  </si>
  <si>
    <t>Scribe Share Button in White</t>
  </si>
  <si>
    <t>952-000009</t>
  </si>
  <si>
    <t>Logitech Swytch, Room AV/USB Switch, Hub, Extender, Connector, Power Adapter, Mounts, Cables, 2-yr limited warranty</t>
  </si>
  <si>
    <t xml:space="preserve">Logitech Swytch </t>
  </si>
  <si>
    <t>939-001825</t>
  </si>
  <si>
    <t>PC Mount with Cable Retention Clamp, Compatible with Intel® NUC and Chromeboxes, 2-yr limited warranty</t>
  </si>
  <si>
    <t>PC Mount</t>
  </si>
  <si>
    <t>952-000091</t>
  </si>
  <si>
    <t>Scheduling Panel for Meeting Rooms. Includes: Graphite 10.1 LCD Display, PoE, Multi-surface mount (glass/drywall)
Corner mount accessory, Mullion mount, Mounting hardware. Requires Power over Ethernet (PoE) cable required, IEEE 802.3af Type 1, Class 3 device (not included) 2-yr limited warranty</t>
  </si>
  <si>
    <t>Tap Scheduler, Graphite</t>
  </si>
  <si>
    <t>952-000094</t>
  </si>
  <si>
    <t>Scheduling Panel for Meeting Rooms. Includes: White 10.1 LCD Display, PoE, Multi-surface mount (glass/drywall)
Corner mount accessory, Mullion mount, Mounting hardware. Requires Power over Ethernet (PoE) cable required, IEEE 802.3af Type 1, Class 3 device (not included) 2-yr limited warranty</t>
  </si>
  <si>
    <t>Tap Scheduler, White</t>
  </si>
  <si>
    <t>994-000149</t>
  </si>
  <si>
    <t>Logitech Select is a 1-year comprehensive service plan featuring 24x7 support by product experts, advanced RMA, and Sync Insights for maximum uptime</t>
  </si>
  <si>
    <t>Logitech Select, 1-year</t>
  </si>
  <si>
    <t>994-000194</t>
  </si>
  <si>
    <t>Logitech Select is a 2-year comprehensive service plan featuring 24x7 support by product experts, advanced RMA, and Sync Insights for maximum uptime.</t>
  </si>
  <si>
    <t>Logitech Select, 2-year</t>
  </si>
  <si>
    <t>994-000148</t>
  </si>
  <si>
    <t>Logitech Select is a 3-year comprehensive service plan featuring 24x7 support by product experts, advanced RMA, and Sync Insights for maximum uptime.</t>
  </si>
  <si>
    <t>Logitech Select, 3-year</t>
  </si>
  <si>
    <t>994-000195</t>
  </si>
  <si>
    <t>Logitech Select is a 4-year comprehensive service plan featuring 24x7 support by product experts, advanced RMA, and Sync Insights for maximum uptime.</t>
  </si>
  <si>
    <t>Logitech Select, 4-year</t>
  </si>
  <si>
    <t>994-000196</t>
  </si>
  <si>
    <t>Logitech Select is a 5-year comprehensive service plan featuring 24x7 support by product experts, advanced RMA, and Sync Insights for maximum uptime.</t>
  </si>
  <si>
    <t>Logitech Select, 5-year</t>
  </si>
  <si>
    <t>994-000244</t>
  </si>
  <si>
    <t>Subscription-based Room as a Service support with all-inclusive meeting room software and hardware</t>
  </si>
  <si>
    <t>Logitech Select, Room As A Service, 4 year plan</t>
  </si>
  <si>
    <t>994-000245</t>
  </si>
  <si>
    <t>Logitech Select, Room As A Service, 5 year plan</t>
  </si>
  <si>
    <t>994-000197</t>
  </si>
  <si>
    <t>Keep your workforce connected by ensuring your Logitech video collaboration devices are healthy and up to date. Sync Plus provides remote device management and additional features that save you even more time and enhance the workplace experience.</t>
  </si>
  <si>
    <t>Logitech Sync Plus, 1-year</t>
  </si>
  <si>
    <t>994-000201</t>
  </si>
  <si>
    <t>Keep your devices connected and up to date. Sync Plus provides remote device management and features that save you more time and enhance the workplace experience.</t>
  </si>
  <si>
    <t>Logitech Sync Plus, 2-year</t>
  </si>
  <si>
    <t>994-000202</t>
  </si>
  <si>
    <t>Logitech Sync Plus, 3-year</t>
  </si>
  <si>
    <t>994-000203</t>
  </si>
  <si>
    <t>Logitech Sync Plus, 4-year</t>
  </si>
  <si>
    <t>994-000204</t>
  </si>
  <si>
    <t>Logitech Sync Plus, 5-year</t>
  </si>
  <si>
    <t>994-000082</t>
  </si>
  <si>
    <t>JumpStart support service helps customers deploy their Logitech Microsoft Teams Rooms solution. Available for 90 days from the date of purchase and provides access to configuration and support resources to assist with system, software, and security configuration.
Sold in Microsoft Tap CAT5e  PC bundles ONLY. Not sold standalone</t>
  </si>
  <si>
    <t>Jumpstart (for Microsoft Teams)</t>
  </si>
  <si>
    <t>986-000025</t>
  </si>
  <si>
    <t>All-in-one docking station &amp; speakerphone, graphite (not for Microsoft Teams). Connects and charges up to five USB peripherals and two monitors, replaces need for chargers and power cords Includes: Power supply, AC power cord, USB-C to USB-C cable. 2-yr limited warranty</t>
  </si>
  <si>
    <t>Logi Dock, Graphite, UC</t>
  </si>
  <si>
    <t>986-000015</t>
  </si>
  <si>
    <t>All-in-one docking station &amp; speakerphone for Microsoft Teams, graphite. Connects and charges up to five USB peripherals and two monitors, replaces need for chargers and power cords Includes: Power supply, AC power cord, USB-C to USB-C cable. 2-yr limited warranty</t>
  </si>
  <si>
    <t>Logi Dock, Graphite, Microsoft Teams Certified</t>
  </si>
  <si>
    <t>986-000031</t>
  </si>
  <si>
    <t>All-in-one docking station &amp; speakerphone, white (not for Microsoft Teams). Connects and charges up to five USB peripherals and two monitors, replaces need for chargers and power cords Includes: Power supply, AC power cord, USB-C to USB-C cable. 2-yr limited warranty</t>
  </si>
  <si>
    <t>Logi Dock, White, UC</t>
  </si>
  <si>
    <t>991-000451</t>
  </si>
  <si>
    <t>Logi Dock Focus Room Kit for Small Meeting Rooms with Docking Station, Laptop Dock, Logitech Brio Webcam, USB-C Cable, products certified for Zoom, Google Voice and Google Meet</t>
  </si>
  <si>
    <t>Logi Dock Focus Room Kit UC</t>
  </si>
  <si>
    <t>991-000458</t>
  </si>
  <si>
    <t>Logi Dock Focus Room Kit for Small Meeting Rooms with Docking Station, Laptop Dock, Logitech Brio Webcam, USB-C Cable, products certified for Microsoft Teams</t>
  </si>
  <si>
    <t>Logi Dock Focus Room Kit Teams</t>
  </si>
  <si>
    <t>19SP27D MULTIBAY BGR RACK</t>
  </si>
  <si>
    <t>Racks</t>
  </si>
  <si>
    <t>Floor Gangable</t>
  </si>
  <si>
    <t>19SP27D MULTBY BGR RK LRD</t>
  </si>
  <si>
    <t>19SP/27DP STAND ALONE BGR</t>
  </si>
  <si>
    <t>Floor Standalone</t>
  </si>
  <si>
    <t>19SP27DP LRDSTAND ALONE</t>
  </si>
  <si>
    <t>19SP27DPPLEXI D&amp;GS TOP</t>
  </si>
  <si>
    <t>19SP27DPPLEXI D&amp;NM TOP</t>
  </si>
  <si>
    <t>19SP27DPPLEXI D&amp;NT TOP</t>
  </si>
  <si>
    <t>19SP27DPPLEXI D&amp;SG TOP</t>
  </si>
  <si>
    <t>25SP/27D MULTIBAY BGR RK</t>
  </si>
  <si>
    <t>25SP/27D MULTIBAY BGR LRD</t>
  </si>
  <si>
    <t>25SP/32D MULTIBAY BGR RK</t>
  </si>
  <si>
    <t>25SP/32D MULTIBAY BGR LRD</t>
  </si>
  <si>
    <t>25SP/27D STAND ALONE BGR</t>
  </si>
  <si>
    <t>25SP/27D LRDSTAND ALONE</t>
  </si>
  <si>
    <t>25SP/32D STAND ALONE BGR</t>
  </si>
  <si>
    <t>25SP/32D LRDSTAND ALONE</t>
  </si>
  <si>
    <t>25SP27DPPLEXI D&amp;GS TOP</t>
  </si>
  <si>
    <t>25SP27DPPLEXI D&amp;NM TOP</t>
  </si>
  <si>
    <t>25SP27DPPLEXI D&amp;NT TOP</t>
  </si>
  <si>
    <t>25SP27DPPLEXI D&amp;SG TOP</t>
  </si>
  <si>
    <t>25SP32DPPLEXI D&amp;SG TOP</t>
  </si>
  <si>
    <t>BGR 276CFM FAN TOP</t>
  </si>
  <si>
    <t>Rack Options</t>
  </si>
  <si>
    <t>Top Option</t>
  </si>
  <si>
    <t>BGR 276CFM FAN TOP W/FC</t>
  </si>
  <si>
    <t>BGR SERIES 276CFM FAN TOPEU COMPATIBLE</t>
  </si>
  <si>
    <t>Top Vented</t>
  </si>
  <si>
    <t>38SP/27D MULTIBAY BGR RK</t>
  </si>
  <si>
    <t>38SP/27D CONFIG AV RACK</t>
  </si>
  <si>
    <t>38SP/27D CONFIG FORWARD</t>
  </si>
  <si>
    <t>38SP/27D MULTIBAY BGR LRD</t>
  </si>
  <si>
    <t>38SP/32D MULTIBAY BGR RK</t>
  </si>
  <si>
    <t>38SP/32D CONFIG AV RACK</t>
  </si>
  <si>
    <t>38 SPACE 32"DEEP CONFIG RACKA/V</t>
  </si>
  <si>
    <t>38SP/32D MULTIBAY BGR LRD</t>
  </si>
  <si>
    <t>38SP/27D STAND ALONE BGR</t>
  </si>
  <si>
    <t>38SP/27D LRDSTAND ALONE</t>
  </si>
  <si>
    <t>38SP/32D STAND ALONE BGR</t>
  </si>
  <si>
    <t>38SP/32D LRDSTAND ALONE</t>
  </si>
  <si>
    <t>41SP 3"D F/R DOOR EXTNDER</t>
  </si>
  <si>
    <t>Mounting Installation</t>
  </si>
  <si>
    <t>41SP/27D MULTIBAY BGR RK</t>
  </si>
  <si>
    <t>41SP/27D MULTIBAY BGR LRD</t>
  </si>
  <si>
    <t>41SP/32D MULTIBAY BGR RK</t>
  </si>
  <si>
    <t>41SP/32D MULTIBAY BGR LRD</t>
  </si>
  <si>
    <t>41SP/38D MULTIBAY BGR RK</t>
  </si>
  <si>
    <t>41SP/38D MULTIBAY BGR LRD</t>
  </si>
  <si>
    <t>41SP/27D STAND ALONE BGR</t>
  </si>
  <si>
    <t>41SP/27D LRDSTAND ALONE</t>
  </si>
  <si>
    <t>41SP/32D STAND ALONE BGR</t>
  </si>
  <si>
    <t>41SP/32D LRDSTAND ALONE</t>
  </si>
  <si>
    <t>45SP 3"D F/R DOOR EXTNDER</t>
  </si>
  <si>
    <t>45SP/27D MULTIBAY BGR RK</t>
  </si>
  <si>
    <t>45SP/27D CONFIG AV RACK</t>
  </si>
  <si>
    <t>45SP/27D CONFIG FORWARD</t>
  </si>
  <si>
    <t>45SP/27D MULTIBAY BGR LRD</t>
  </si>
  <si>
    <t>45SP/32D MULTIBAY BGR RK</t>
  </si>
  <si>
    <t>45 SPACE 32"DEEP CONFIG RACKA/V</t>
  </si>
  <si>
    <t>FORWARD45 SPACE32"DEEP CONFIG RACK</t>
  </si>
  <si>
    <t>45SP/32D MULTIBAY BGR LRD</t>
  </si>
  <si>
    <t>45SP/38D MULTIBAY BGR RK</t>
  </si>
  <si>
    <t>BROADCAST45RU38"DEEP CONFIG RACK</t>
  </si>
  <si>
    <t>45SP/38D MULTIBAY BGR LRD</t>
  </si>
  <si>
    <t>BROADCAST45RU38"DEEP CONFIG RACKLRD</t>
  </si>
  <si>
    <t>45SP/27D STAND ALONE BGR</t>
  </si>
  <si>
    <t>45SP/27D LRDSTAND ALONE</t>
  </si>
  <si>
    <t>45SP/32D STAND ALONE BGR</t>
  </si>
  <si>
    <t>45SP/32D LRDSTAND ALONE</t>
  </si>
  <si>
    <t>BGR 552CFM FAN TOP</t>
  </si>
  <si>
    <t>BGR 552CFM FAN TOP W/FC</t>
  </si>
  <si>
    <t>BGR SERIES 552CFM FAN TOPEU COMPATIBLE</t>
  </si>
  <si>
    <t>27DPSOLID CC TOPLKOS</t>
  </si>
  <si>
    <t>Cable Management</t>
  </si>
  <si>
    <t>32DPSOLID CC TOPLKOS</t>
  </si>
  <si>
    <t>38SP CABLE CHASE FR/BK</t>
  </si>
  <si>
    <t>38DPSOLID CC TOPLKOS</t>
  </si>
  <si>
    <t>41SP CABLE CHASE FR/BK</t>
  </si>
  <si>
    <t>45SP CABLE CHASE FR/BK</t>
  </si>
  <si>
    <t>BGR DUCTCOOL TOP 9SP PNL</t>
  </si>
  <si>
    <t>BGR ISOLATION KIT</t>
  </si>
  <si>
    <t>Base Option</t>
  </si>
  <si>
    <t>BGR SEISMIC ISO KIT</t>
  </si>
  <si>
    <t>9SPLARGE VENTED TOP PNL</t>
  </si>
  <si>
    <t>19SP BGR REAR DOOR</t>
  </si>
  <si>
    <t>Door Solid</t>
  </si>
  <si>
    <t>25SP BGR REAR DOOR</t>
  </si>
  <si>
    <t>38SP BGR REAR DOOR</t>
  </si>
  <si>
    <t>41SP BGR REAR DOOR</t>
  </si>
  <si>
    <t>45SP BGR REAR DOOR</t>
  </si>
  <si>
    <t>19SP BGR REAR CABLE DOOR</t>
  </si>
  <si>
    <t>25SP BGR REAR CABLE DOOR</t>
  </si>
  <si>
    <t>38SP BGR REAR CABLE DOOR</t>
  </si>
  <si>
    <t>41SP BGR REAR CABLE DOOR</t>
  </si>
  <si>
    <t>45SP BGR REAR CABLE DOOR</t>
  </si>
  <si>
    <t>19SPBGR ADDL RAILPAIR</t>
  </si>
  <si>
    <t>25SPBGR ADDL RAILPAIR</t>
  </si>
  <si>
    <t>38SPBGR ADDL RAILPAIR</t>
  </si>
  <si>
    <t>41SPBGR ADDL RAILPAIR</t>
  </si>
  <si>
    <t>45SPBGR ADDL RAILPAIR</t>
  </si>
  <si>
    <t>3SP SOLID TOP PANEL ALUM</t>
  </si>
  <si>
    <t>Top Solid</t>
  </si>
  <si>
    <t>4SP SOLID TOP PANEL ALUM</t>
  </si>
  <si>
    <t>9SP SOLID TOP PANEL STEEL</t>
  </si>
  <si>
    <t>TOP KITBGR-SA19SP/27DP</t>
  </si>
  <si>
    <t>32" DEEP BGR TEMPLATE</t>
  </si>
  <si>
    <t>19SP BGR TRIM</t>
  </si>
  <si>
    <t>Miscellaneous Option</t>
  </si>
  <si>
    <t>19SP BGR TRIMBLACK</t>
  </si>
  <si>
    <t>25SP BGR TRIM</t>
  </si>
  <si>
    <t>25SP BGR TRIMBLACK</t>
  </si>
  <si>
    <t>38SP BGR TRIM</t>
  </si>
  <si>
    <t>38SP BGR TRIMBLACK</t>
  </si>
  <si>
    <t>41SP BGR TRIM</t>
  </si>
  <si>
    <t>41SP BGR TRIMBLACK</t>
  </si>
  <si>
    <t>45SP BGR TRIM</t>
  </si>
  <si>
    <t>45SP BGR TRIMBLACK</t>
  </si>
  <si>
    <t>4SPBGR TOP RAIL REDUCER</t>
  </si>
  <si>
    <t>9SPBGR TOP RAIL REDUCER</t>
  </si>
  <si>
    <t>EGR SEISMIC BRACKETS</t>
  </si>
  <si>
    <t>18OUT 15ARKMT 2-STG SRG</t>
  </si>
  <si>
    <t>Power Distribution</t>
  </si>
  <si>
    <t>Rackmount</t>
  </si>
  <si>
    <t>18OUT 20ARKMT 2-STG SRG</t>
  </si>
  <si>
    <t>20OUT15A10ON10SWMULTMT</t>
  </si>
  <si>
    <t>20 OUT15AMULTIMNTCORD</t>
  </si>
  <si>
    <t>20OUT 20ARKMTNO SURGE</t>
  </si>
  <si>
    <t>SLIM PWR STRP24OUT15AW</t>
  </si>
  <si>
    <t>Vertical</t>
  </si>
  <si>
    <t>24 OUTLET 1X15A CIRC. W/</t>
  </si>
  <si>
    <t>24OUTLET1X20A CIRC.CORD</t>
  </si>
  <si>
    <t>2 OUTS8A SERIES SURGE</t>
  </si>
  <si>
    <t>Standalone</t>
  </si>
  <si>
    <t>(2)12OUT15ACIRCTL30CB</t>
  </si>
  <si>
    <t>4 OUTLET15A SERIES SURGE</t>
  </si>
  <si>
    <t>4 OUTLET20A SERIES SURGE</t>
  </si>
  <si>
    <t>SLIM PWR STRIP7 OUTLET</t>
  </si>
  <si>
    <t>POWER CENTER W/PILOT LT</t>
  </si>
  <si>
    <t>POWER CENTER W/ANOD FACE</t>
  </si>
  <si>
    <t>SLIM PWR STRP8OUT15AW/</t>
  </si>
  <si>
    <t>PD-815SC W/20' POWER CORD</t>
  </si>
  <si>
    <t>SLIM PWR STRIP8 OUTLET1</t>
  </si>
  <si>
    <t>SHLF MT 8OUT 15A PWR STRP</t>
  </si>
  <si>
    <t>9OUT15ARCKMNT POWER CEN</t>
  </si>
  <si>
    <t>9OUT15ARKMT W/PILOT LT</t>
  </si>
  <si>
    <t>9 OUTS15A SERIES SURGE</t>
  </si>
  <si>
    <t>PD-915R W/20' POWER CORD</t>
  </si>
  <si>
    <t>9OTLT20ARKMT PWRWSRG</t>
  </si>
  <si>
    <t>9OUT20ARCKMNT POWER DIS</t>
  </si>
  <si>
    <t>9 OUTS20A SERIES SURGE</t>
  </si>
  <si>
    <t>DC PWR DIST125W RKMNT</t>
  </si>
  <si>
    <t>DC PWR DIST200W5V</t>
  </si>
  <si>
    <t>DC PWR DIST300W 12V 24V</t>
  </si>
  <si>
    <t>DC PWR DIST300W 12V</t>
  </si>
  <si>
    <t>DC PWR DIST300W24V</t>
  </si>
  <si>
    <t>DC PWR DIST300W5V</t>
  </si>
  <si>
    <t>DC PWR DIST45W COMPACT</t>
  </si>
  <si>
    <t>9OUT 15A 2STAGE NTFY CTRL</t>
  </si>
  <si>
    <t>1RU10OUTS15A50CFMAN</t>
  </si>
  <si>
    <t>1RU10OUTS20A50CFMBLK</t>
  </si>
  <si>
    <t>1RU11OUTS15A50CFMBL</t>
  </si>
  <si>
    <t>1RU11OUTS20A50CFMBL</t>
  </si>
  <si>
    <t>8OUT15ARKMT POWER/LGT</t>
  </si>
  <si>
    <t>8OUT15ARKMT PWR/LGT ANO</t>
  </si>
  <si>
    <t>16OUT 15A 3STGSEQ 2STGSRG</t>
  </si>
  <si>
    <t>16OUT 20A 3STGSEQ NO SRG</t>
  </si>
  <si>
    <t>6OUT SEQUENCED 1X15A POWE</t>
  </si>
  <si>
    <t>6 OUT SEQUENCED 20A POWER</t>
  </si>
  <si>
    <t>10 OUT15AMETERCORDED</t>
  </si>
  <si>
    <t>PD THIN1-15A CIR10 0UT</t>
  </si>
  <si>
    <t>10 OUT15ASRG&amp;NFYCORD</t>
  </si>
  <si>
    <t>PD THIN1-20A CIR10 OUT</t>
  </si>
  <si>
    <t>12 OUTLETS20ACORDNS</t>
  </si>
  <si>
    <t>14 OUTLETS15ACORDSURGE</t>
  </si>
  <si>
    <t>14 OUTLETS15ACORDNS</t>
  </si>
  <si>
    <t>PD THIN1-15A16 OUTCORD</t>
  </si>
  <si>
    <t>PD THIN1-20A16OUTCORD</t>
  </si>
  <si>
    <t>20 OUT15AMETERCORDED</t>
  </si>
  <si>
    <t>PD THIN1-15A CIR20 OUT</t>
  </si>
  <si>
    <t>20 OUT15ASRG&amp;NFYCORD</t>
  </si>
  <si>
    <t>20 OUT20AMETERCORDED</t>
  </si>
  <si>
    <t>PD THIN1-20A CIR20 OUT</t>
  </si>
  <si>
    <t>20 OUT20ASRG&amp;NFYCORD</t>
  </si>
  <si>
    <t>20 OUT20AMETERT/LOCK</t>
  </si>
  <si>
    <t>PD-THIN1-20A CIR20 OUT</t>
  </si>
  <si>
    <t>PD THIN2-15A CIR20 OUT</t>
  </si>
  <si>
    <t>PDT2X15A20 OUTSML JBOX</t>
  </si>
  <si>
    <t>PD THIN2-20A CIR20 OUT</t>
  </si>
  <si>
    <t>PDT 2-20A CIR 20OUT 1/2 K</t>
  </si>
  <si>
    <t>6 OUTLETS2X20AJBOX</t>
  </si>
  <si>
    <t>10 OUTLET2X20AJBOX</t>
  </si>
  <si>
    <t>12 OUTLETS2X15AJBOX</t>
  </si>
  <si>
    <t>16 OUTLETS2X15AJBOX</t>
  </si>
  <si>
    <t>16 OUTLETS2X20AJBOX</t>
  </si>
  <si>
    <t>6 OUTLETS15ACORDSURGE</t>
  </si>
  <si>
    <t>6 OUTLETS15ACORDNS</t>
  </si>
  <si>
    <t>6 OUTLETS20ACORDNS</t>
  </si>
  <si>
    <t>24OUT12X20APOWER W/JBOX</t>
  </si>
  <si>
    <t>15A 2 OUT MULTI-STAGE SURGE COMPACT</t>
  </si>
  <si>
    <t>15A 2 OUT SERIES SURGE COMPACT</t>
  </si>
  <si>
    <t>20A 2 OUT MULTI-STAGE SURGE COMPACT</t>
  </si>
  <si>
    <t>20A 2 OUT SERIES SURGE COMPACT</t>
  </si>
  <si>
    <t>15A 6 OUT MULTI-STAGE SURGE COMPACT</t>
  </si>
  <si>
    <t>15A 6 OUT SERIES SURGE COMPACT</t>
  </si>
  <si>
    <t>20A 6 OUT MULTI-STAGE SURGE COMPACT</t>
  </si>
  <si>
    <t>20A 6 OUT SERIES SURGE COMPACT</t>
  </si>
  <si>
    <t>15A 9 OUT MULTI-STAGE SURGE W/CTRL</t>
  </si>
  <si>
    <t>15A 9 OUT SERIES SURGE W/CTRL</t>
  </si>
  <si>
    <t>20A 9 OUT MULTI-STAGE SURGE W/CTRL</t>
  </si>
  <si>
    <t>20A 9 OUT SERIES SURGE W/CTRL</t>
  </si>
  <si>
    <t>AW-UE160</t>
  </si>
  <si>
    <t>New 4K/60P PTZ w/ OLPF in black</t>
  </si>
  <si>
    <t>AW--UE150</t>
  </si>
  <si>
    <t>4K/60P INTEGRATED PTZ</t>
  </si>
  <si>
    <t>AW-UE100</t>
  </si>
  <si>
    <t>24X FULL NDI/NDI HX SRT 4K60P DRECT DRIV</t>
  </si>
  <si>
    <t>AW-UE80</t>
  </si>
  <si>
    <t>4K/60P W/ SDI HDMI; FULL NDI; BLACK</t>
  </si>
  <si>
    <t>AW-UE50</t>
  </si>
  <si>
    <t>4K/30P W/ SDI HDMI; BLACK</t>
  </si>
  <si>
    <t>AW-UE40</t>
  </si>
  <si>
    <t>4K/30P W/ HDMI; BLACK</t>
  </si>
  <si>
    <t>AW-UE20</t>
  </si>
  <si>
    <t>4K PTZ CAMERA WITH 3G-SDI, HDMI, IP USB OUTPUT; BLACK</t>
  </si>
  <si>
    <t>AW-UE4KG</t>
  </si>
  <si>
    <t>4K PTZ HDMI USB POE 111 DEG STREAMING</t>
  </si>
  <si>
    <t>AW-HE20</t>
  </si>
  <si>
    <t>FULL-HD PTZ CAMERA WITH 3G-SDI, HDMI, IP USB OUTPUT; BLACK</t>
  </si>
  <si>
    <t>AW-RP150</t>
  </si>
  <si>
    <t>Full PTZ Controller</t>
  </si>
  <si>
    <t>AW-RM50</t>
  </si>
  <si>
    <t>IR Handheld Remote for PTZ</t>
  </si>
  <si>
    <t>AW-SF100Z</t>
  </si>
  <si>
    <t>PTZ Auto Tracking Software - Electronic - Not Eligible for Return once issued</t>
  </si>
  <si>
    <t>AW-SF200Z</t>
  </si>
  <si>
    <t>AUTOTRACKING SERVER - SINGLE INSTANCE - Not Eligible for Return once issued</t>
  </si>
  <si>
    <t>AW-SF202Z</t>
  </si>
  <si>
    <t>AUTOTRACKING SERVER - 2 INSTANCES - Not Eligible for Return once issued</t>
  </si>
  <si>
    <t>AW-SF203Z</t>
  </si>
  <si>
    <t>AUTOTRACKING SERVER - 3 INSTANCES - Not Eligible for Return once issued</t>
  </si>
  <si>
    <t>PT-MZ20</t>
  </si>
  <si>
    <t>20,000 Lumens, LCD, WUXGA 4K Signal Input, No Lens</t>
  </si>
  <si>
    <t>PT-MZ17</t>
  </si>
  <si>
    <t>16,500 Lumens, LCD, WUXGA 4K Signal Input, No Lens</t>
  </si>
  <si>
    <t>PT-MZ14</t>
  </si>
  <si>
    <t>14,000 Lumens, LCD, WUXGA 4K Signal Input, No Lens</t>
  </si>
  <si>
    <t>PT-MZ11</t>
  </si>
  <si>
    <t>11,000 Lumens, LCD, WUXGA 4K Signal Input, No Lens</t>
  </si>
  <si>
    <t>PT-REQ12</t>
  </si>
  <si>
    <t xml:space="preserve">12,000 Lumens, 4K (3840 x 2400) with Quad Pixel Drive, No Lens </t>
  </si>
  <si>
    <t>PT-REQ10</t>
  </si>
  <si>
    <t xml:space="preserve">10,000 Lumens, 4K (3840 x 2400) with Quad Pixel Drive, No Lens </t>
  </si>
  <si>
    <t>PT-REQ80</t>
  </si>
  <si>
    <t xml:space="preserve">8,000 Lumens, 4K (3840 x 2400) with Quad Pixel Drive, No Lens </t>
  </si>
  <si>
    <t>TH-86SQ1W</t>
  </si>
  <si>
    <t>86" 4K UHD 500 cd/m2, 24/7, SDM, DIGITAL LINK</t>
  </si>
  <si>
    <t>TH-75SQ1W</t>
  </si>
  <si>
    <t>75" 4K UHD 500 cd/m2, 24/7, SDM, DIGITAL LINK</t>
  </si>
  <si>
    <t>TH-86SQE2</t>
  </si>
  <si>
    <t>86" 4K UHD 500 cd/m2, 24/7, SDM, LED LCD Display</t>
  </si>
  <si>
    <t>TH-75SQE2</t>
  </si>
  <si>
    <t>75" 4K UHD 500 cd/m2, 24/7, SDM, LED LCD Display</t>
  </si>
  <si>
    <t>TH-86SQ1HW</t>
  </si>
  <si>
    <t>86" 4K UHD 1,200 cd/m2, 24/7, SDM, LED LCD Display</t>
  </si>
  <si>
    <t>TH-75SQ1HW</t>
  </si>
  <si>
    <t>75" 4K UHD 1,500 cd/m2, 24/7, SDM, LED LCD Display</t>
  </si>
  <si>
    <t>TH-86CQ2U</t>
  </si>
  <si>
    <t>86" 4K UHD, 400 cd/m2, ATSC/NTSC/QAM Tuner</t>
  </si>
  <si>
    <t>TH-75CQ2U</t>
  </si>
  <si>
    <t>75" 4K UHD, 400 cd/m2, ATSC/NTSC/QAM Tuner</t>
  </si>
  <si>
    <t>Philips</t>
  </si>
  <si>
    <t>43BFL2214/27</t>
  </si>
  <si>
    <t>Pro TV - Chromecast-Crestron connected-tuner-Landscape only -350 nits -18x7</t>
  </si>
  <si>
    <t>B-Line</t>
  </si>
  <si>
    <t>50BFL2114/27</t>
  </si>
  <si>
    <t>55BFL2214/27</t>
  </si>
  <si>
    <t>58BFL2214/27</t>
  </si>
  <si>
    <t>65BFL2214/27</t>
  </si>
  <si>
    <t>70BFL2114/27</t>
  </si>
  <si>
    <t>75BFL2114/27</t>
  </si>
  <si>
    <t>32BDL3550Q/00</t>
  </si>
  <si>
    <t>Prosumer-Grade - LED-18x7 - portrait &amp; Landscape Android SOC -350 Nits</t>
  </si>
  <si>
    <t>Q-Line</t>
  </si>
  <si>
    <t>43BDL3550Q/00</t>
  </si>
  <si>
    <t>Prosumer-Grade - LED-18x7 - portrait &amp; Landscape Android SOC -400 Nits</t>
  </si>
  <si>
    <t>50BDL3550Q/00</t>
  </si>
  <si>
    <t>55BDL3550Q/00</t>
  </si>
  <si>
    <t>65BDL3550Q/00</t>
  </si>
  <si>
    <t>75BDL3550Q/00</t>
  </si>
  <si>
    <t>86BDL3550Q/00</t>
  </si>
  <si>
    <t>32BDL4550D/00</t>
  </si>
  <si>
    <t>Commerical Grade - 24x7-RS-232 - IR loop thru -Android SOC -400 Nits</t>
  </si>
  <si>
    <t>D-Line</t>
  </si>
  <si>
    <t>43BDL4550D/01</t>
  </si>
  <si>
    <t>Commerical Grade - 24x7-RS-232 - IR loop thru -Android SOC -500 Nits</t>
  </si>
  <si>
    <t>50BDL4550D/02</t>
  </si>
  <si>
    <t>55BDL4550D/03</t>
  </si>
  <si>
    <t>65BDL4550D/04</t>
  </si>
  <si>
    <t>75BDL4550D/05</t>
  </si>
  <si>
    <t>86BDL4550D/06</t>
  </si>
  <si>
    <t>98BDL4550D/07</t>
  </si>
  <si>
    <t>50BDL4511D/00</t>
  </si>
  <si>
    <t>Commerical Grade - non android -500 nits</t>
  </si>
  <si>
    <t>55BDL4511D/01</t>
  </si>
  <si>
    <t>55BDL6051C/00</t>
  </si>
  <si>
    <t>Corporate Touch - Android -350 nits -18x7 SoC -Crestron connected -wireless screen sharing</t>
  </si>
  <si>
    <t>C-Line</t>
  </si>
  <si>
    <t>65BDL6051C/00</t>
  </si>
  <si>
    <t>75BDL6051C/00</t>
  </si>
  <si>
    <t>86BDL6051C/00</t>
  </si>
  <si>
    <t>65BDL3552T/00</t>
  </si>
  <si>
    <t>Education Touch Display -3552 series -420 nits -2- pt IR - 16/7 - OPS - IMD -Crestron connected -5 year warranty</t>
  </si>
  <si>
    <t>T-Line</t>
  </si>
  <si>
    <t>75BDL3552T/00</t>
  </si>
  <si>
    <t>86BDL3552T/00</t>
  </si>
  <si>
    <t>65BDL3052/00</t>
  </si>
  <si>
    <t xml:space="preserve">Education Touch - 400 nits - 20pt IR - OPS/SDM-L -Crestron connected - </t>
  </si>
  <si>
    <t>E-Line</t>
  </si>
  <si>
    <t>75BDL3052/00</t>
  </si>
  <si>
    <t>86BDL3052/00</t>
  </si>
  <si>
    <t>10BDL4551T/00</t>
  </si>
  <si>
    <t>Integrated Touch - 400 nits - 5-10-20 pt -P-CAP -SoC -(5 pt)</t>
  </si>
  <si>
    <t>32BDL3651T/00</t>
  </si>
  <si>
    <t>Integrated Touch - 400 nits - 5-10-20 pt -P-CAP -SoC -(10pt)</t>
  </si>
  <si>
    <t>43BDL3651T/00</t>
  </si>
  <si>
    <t>43BDL3452T/00</t>
  </si>
  <si>
    <t>Integrated Touch - 400 nits - 5-10-20 pt -P-CAP -SoC - (20 pt)</t>
  </si>
  <si>
    <t>55BDL3452T/00</t>
  </si>
  <si>
    <t>Integrated Touch - 400 nits - 5-10-20 pt -P-CAP -SoC (20 pt )</t>
  </si>
  <si>
    <t>49BDL2005X/00</t>
  </si>
  <si>
    <t>Ultra Narrow Video Walls - 450 nits 3.5mm A-A OPS</t>
  </si>
  <si>
    <t>X-Lline</t>
  </si>
  <si>
    <t>55BDL2005X/00</t>
  </si>
  <si>
    <t>Ultra Narrow Video Walls - 500 nits 3.5mm A-A OPS</t>
  </si>
  <si>
    <t>55BDL3105X/02</t>
  </si>
  <si>
    <t>55BDL3107X/02</t>
  </si>
  <si>
    <t>Ultra Narrow Video Walls - 700 nits 3.5mm A-A OPS</t>
  </si>
  <si>
    <t>55BDL4007X/00</t>
  </si>
  <si>
    <t>Ultra Narrow Video Walls - 700 nits 1.8mm A-A OPS</t>
  </si>
  <si>
    <t>55BDL8007X/00</t>
  </si>
  <si>
    <t>Ultra Narrow Video Walls - 700 nits 0.88mm A-A OPS</t>
  </si>
  <si>
    <t>65BDL6005X/00</t>
  </si>
  <si>
    <t>Video Wall Bundles -2 x 2 - ( please call) - 98", 110"</t>
  </si>
  <si>
    <t>Video Wall Bundles -3 x 3 (please call) -147", 165"</t>
  </si>
  <si>
    <t>55BDL6002H/00</t>
  </si>
  <si>
    <t>Ultra Hi Bright - 3000 nits -24x 7</t>
  </si>
  <si>
    <t>H-Line</t>
  </si>
  <si>
    <t>75BDL30003H/00</t>
  </si>
  <si>
    <t>Ultra Hi Bright - 2500 nits 24x7</t>
  </si>
  <si>
    <t>43BDL3117P/00</t>
  </si>
  <si>
    <t>Commerical-Grade - 750 nits, 24x7, SDM-L</t>
  </si>
  <si>
    <t>P-Line</t>
  </si>
  <si>
    <t>50BDL3017P/00</t>
  </si>
  <si>
    <t>55BDL3117P/00</t>
  </si>
  <si>
    <t>65BDL3117P/00</t>
  </si>
  <si>
    <t>6000 -Series</t>
  </si>
  <si>
    <t>Direct View LED - 27.5" panel - 650 nits - Pitch avaialble - 1.2, 1.5 &amp; 1.9</t>
  </si>
  <si>
    <t>L-Line</t>
  </si>
  <si>
    <t>9000 Series</t>
  </si>
  <si>
    <t>Direct View LED - 27.5" panel - 800 nits - Pitch avaialble - 1.2, 1.5 &amp; 1.9</t>
  </si>
  <si>
    <t>8000 Series</t>
  </si>
  <si>
    <t>Direct View LED - 44" panel - 800 nits - Pitch avaialble - 2.8, 3.9 &amp; 4.8</t>
  </si>
  <si>
    <t>7000 Series</t>
  </si>
  <si>
    <t>1000mm,750mm, &amp; 500mm x 250mm in both straight corners and 45 degree angle -3500 nits -please call</t>
  </si>
  <si>
    <t>Call for free configuration and pricing</t>
  </si>
  <si>
    <t>3 year advance swap frieght paid both ways by Philips</t>
  </si>
  <si>
    <t>1-800-224-7788 Technical support</t>
  </si>
  <si>
    <t>$449.95</t>
  </si>
  <si>
    <t>2200-69390-001</t>
  </si>
  <si>
    <t>Poly Studio R30: USB Audio/Video Bar, with auto-track 120-deg FOV 4K Camera, Integrated speaker and microphone, Wi-Fi device management, monitor clamp included, Cable: 5m USB Type-A to Type-C, Power: AMER-Type B, NEMA 5-15</t>
  </si>
  <si>
    <t>7200-87300-001</t>
  </si>
  <si>
    <t>POLY STUDIO X70 &amp; TC8 Integrated Dual Cameras 4K+ Video System for Conf/Collab/Wireless Pres Sys: EPTZ auto-track Cam with shutters, Codec, Stereo Spkrphone,Wall Mount Kit;Cables:2 HDMI 2m,1 CAT5E LAN 15 ft;Pwr: Amer-Type B,NEMA 5-15.</t>
  </si>
  <si>
    <t>2200-86260-001</t>
  </si>
  <si>
    <t>POLY STUDIO X30 &amp; TC8; 4K Video Conf/Collab/Wireless Pres Sys:Touch Cntrl,4K 4x EPTZ auto-track Cam,Codec,Stereo Spkrphone,Monitor Clamp Kit;Cables:1 HDMI 1.83m,1 CAT5E LAN 4.57m;NTSC/PAL;Pwr:Amer-Type B,NEMA 5-15.</t>
  </si>
  <si>
    <t>2200-86270-001</t>
  </si>
  <si>
    <t>POLY STUDIO X50 &amp; TC8; 4K Video Conf/Collab/Wireless Pres Sys:Touch Cntrl,4K 5x EPTZ auto-track Cam,Codec,Stereo Spkrphone,Wall Mount Kit;Cables:1 HDMI 1.83m,1 CAT5E LAN 4.57m;NTSC/PAL;Pwr: Amer-Type B,NEMA 5-15.</t>
  </si>
  <si>
    <t>2200-87090-001</t>
  </si>
  <si>
    <t>Studio E70 auto-framing 4k USB pan, tilt, zoom camera w/dual lens. Power via PoE IEEE 802.3af. Includes: 2m USB A-C; 4.6m LAN cables; svc in CALA/BR(1Yr Poly Plus)&amp;CN(3yrPP) BR must order 5150-87090-212. Wall mt brkt. OPTIONS: PoE Injector (2200-86680-XXX); Disp Clamp (2215-87419-001).</t>
  </si>
  <si>
    <t>7200-87310-001</t>
  </si>
  <si>
    <t>Poly G7500 4k Codec-Wireless Presentation System, Studio E70 auto track cam with wall mount, IP Mic, TC8, NTSC/PAL; Cables: 1 HDMI 1.8m, 1 CAT 5E LAN 3.6m, 1 CAT 5E SHLD 25ft, Power: Amer - Type B, NEMA 5-15. Maintenance Contract Required</t>
  </si>
  <si>
    <t>2200-30760-001</t>
  </si>
  <si>
    <t>Poly TC8 touch control for use with Poly G7500, Studio X family. Requires PoE network connection or optional external power injector (2200-66740-XXX).</t>
  </si>
  <si>
    <t>2200-37760-001</t>
  </si>
  <si>
    <t>Poly TC10 – WHITE Stand-alone 10” room scheduler / touch control for use with Poly G7500, Studio X family, ZRoW. WIFI, Bluetooth, wall mount, table stand. (CALA/BR Incl. 1Yr Poly+) Requires PoE network connection or optional external power injector (2200-66740-XXX)</t>
  </si>
  <si>
    <t>Poly X52 Placeholde</t>
  </si>
  <si>
    <t>Poly X52 Placeholder</t>
  </si>
  <si>
    <t>2200-37860-001</t>
  </si>
  <si>
    <t>Poly TC10 – BLACK Stand-alone 10” room scheduler / touch control for use with Poly G7500, Studio X family, ZRoW. WIFI, Bluetooth, wall mount, table stand. (CALA/BR Incl. 1Yr Poly+) Requires PoE network connection or optional external power injector (2200-66740-XXX)</t>
  </si>
  <si>
    <t>Primeview</t>
  </si>
  <si>
    <t>PRV984KLCDR</t>
  </si>
  <si>
    <t>4K resolution 98″ LCD monitor with native 3840×2160 resolution support FHD &amp; 2K resolution over HDMI1.4</t>
  </si>
  <si>
    <t xml:space="preserve">4K Displays 98″ </t>
  </si>
  <si>
    <t>PRV864KLCDR</t>
  </si>
  <si>
    <t>4K resolution 86″ LCD monitor with native 3840×2160 resolution support FHD &amp; 2K resolution over HDMI1.4</t>
  </si>
  <si>
    <t xml:space="preserve">
4K Displays 86″</t>
  </si>
  <si>
    <t>PRV754KLCDR</t>
  </si>
  <si>
    <t>4K resolution 75″ LCD monitor with native 3840×2160 resolution support FHD &amp; 2K resolution over HDMI1.4</t>
  </si>
  <si>
    <t>4K Displays 75″</t>
  </si>
  <si>
    <t>PRV654KLCDR</t>
  </si>
  <si>
    <t>4K resolution 65″ LCD monitor with native 3840×2160 resolution support FHD &amp; 2K resolution over HDMI1.4</t>
  </si>
  <si>
    <t>4K Displays 65″</t>
  </si>
  <si>
    <t>PRV554KLCDR</t>
  </si>
  <si>
    <t>4K resolution 55″ LCD monitor with native 3840×2160 resolution support FHD &amp; 2K resolution over HDMI1.4 &amp; DP</t>
  </si>
  <si>
    <t>4K Displays 55″</t>
  </si>
  <si>
    <t>PRV494KLCDR</t>
  </si>
  <si>
    <t>4K resolution 49″ LCD monitor with native 3840×2160 resolution support FHD &amp; 2K resolution over HDMI1.4 &amp; DP</t>
  </si>
  <si>
    <t xml:space="preserve">
4K Displays 49″</t>
  </si>
  <si>
    <t>PRV434KLCDR</t>
  </si>
  <si>
    <t>4K resolution 43″ LCD monitor with native 3840×2160 resolution support FHD &amp; 2K resolution over HDMI1.4 &amp; DP</t>
  </si>
  <si>
    <t>4K Displays 43″</t>
  </si>
  <si>
    <t>PRV110KLCDR</t>
  </si>
  <si>
    <t>4K resolution 110″ LCD monitor with native 3840×2160 resolution support FHD &amp; 2K resolution over HDMI1.4</t>
  </si>
  <si>
    <t xml:space="preserve">4K Displays | 110″ </t>
  </si>
  <si>
    <t>CORE NANO</t>
  </si>
  <si>
    <t>Network Core, 64x64 network I/O channels with 8x8 Software-based Dante license included, USB AV bridging, dual LAN ports, VoIP telephony, 8 AEC processors, Half-size 1RU.</t>
  </si>
  <si>
    <t>CORE 110f-v2</t>
  </si>
  <si>
    <t>Unified Core with 24 local audio I/O channels, 128x128 total network I/O channels with 8x8 Software-based Dante license included, USB AV bridging, dual LAN ports, POTS and VoIP telephony, no GPIO, 16 next-generation AEC processors, 1RU.</t>
  </si>
  <si>
    <t>CORE 5200</t>
  </si>
  <si>
    <t>Enterprise Core for AV&amp;C processing built on Dell Server Technology offering 512x512 networked audio channels, dual Ethernet ports for network redundancy, two auxiliary Ethernet ports, 160 next-generation AEC processors, dual redundant hot-swappable PSU's, Dell iDRAC remote monitoring and a pre-installed 960Gb SSD Media Drive.</t>
  </si>
  <si>
    <t>CORE 610</t>
  </si>
  <si>
    <t>Network Core for AV&amp;C processing built on Dell PowerEdge Server Technology offering 256x256 networked audio channels with 8x8 Software-based Dante license included, dual Ethernet ports for network redundancy, two auxiliary Ethernet ports, 64 next-generation AEC processors, internal universal PSU, pre-installed 480 GB SSD Media Drive, 1RU.</t>
  </si>
  <si>
    <t>CORE 8 FLEX</t>
  </si>
  <si>
    <t>Unified Core with 8 local audio I/O channels, 64x64 network I/O channels with 8x8 Software-based Dante license included, USB AV bridging, dual LAN ports, VoIP telephony, 8x8 GPIO, 8 AEC processors, Half-size 1RU.</t>
  </si>
  <si>
    <t>SLCE3-VC-P</t>
  </si>
  <si>
    <t>Q-SYS vCore Control Engine Bundle including 3-year software maintenance term license.</t>
  </si>
  <si>
    <t>SLCE5-VC-P</t>
  </si>
  <si>
    <t>Q-SYS vCore Control Engine Bundle including 5-year software maintenance term license.</t>
  </si>
  <si>
    <t>SLCEMU-VC-T</t>
  </si>
  <si>
    <t>Q-SYS vCore Control 2-year maintenance upgrade from 3-year to 5-year term.</t>
  </si>
  <si>
    <t>QIO-L4o</t>
  </si>
  <si>
    <t>Q-SYS peripheral providing 4 line outputs. Up to 4 devices daisy-chainable. 1U-1/4W, powered over Ethernet or +24 VDC. Surface mountable, rack kit sold separately.</t>
  </si>
  <si>
    <t>QIO-ML2x2</t>
  </si>
  <si>
    <t>Q-SYS peripheral providing 2 mic/line inputs and 2 line outputs. Up to 4 devices daisy-chainable. 1U-1/4W, powered over Ethernet or +24 VDC. Surface mountable, rack kit sold separately.</t>
  </si>
  <si>
    <t>QIO-ML4i</t>
  </si>
  <si>
    <t>Q-SYS peripheral providing 4 mic/line inputs. Up to 4 devices daisy-chainable. 1U-1/4W, powered over Ethernet or +24 VDC. Surface mountable, rack kit sold separately.</t>
  </si>
  <si>
    <t>QIO-PSU</t>
  </si>
  <si>
    <t>Power Supply Accessory to support up to 4 QIO units with external power.</t>
  </si>
  <si>
    <t>QIO-RMK</t>
  </si>
  <si>
    <t>Rack mount tray and blanking panels to mount up to four QIO units in a 1U 19" standard rack format.</t>
  </si>
  <si>
    <t>DCIO</t>
  </si>
  <si>
    <t xml:space="preserve">1 RU I/O for digital cinema applications for use with Q-SYS Cores. Inputs AES3, line/mic, automation.   Outputs Q-LAN A &amp; B, HI/VI, and line/speaker out.  </t>
  </si>
  <si>
    <t>DCIO-H</t>
  </si>
  <si>
    <t xml:space="preserve">1 RU I/O for digital cinema applications for use with Q-SYS Cores. Inputs AES3, line/mic, automation.   Outputs Q-LAN A &amp; B, HI/VI, and line/speaker out.  HDMI in/out. </t>
  </si>
  <si>
    <t>1/2 RU 2 Channel ENERGY STAR amplifier / Stereo operation 60 watts into 8Ω &amp; 4Ω, Bridged operation 200 watts into 8Ω &amp; 4Ω, and 250 watts into 70v and 100v / 100-240 VAC Operation</t>
  </si>
  <si>
    <t>SPA2-200</t>
  </si>
  <si>
    <t>1/2 RU 2 Channel ENERGY STAR amplifier / Stereo Operation 200 watts into 8Ω &amp; 4Ω, Bridged operation 400 watts into 8Ω &amp; 4Ω, and 350 watts into 70v and 100v / 100-240 VAC Operation</t>
  </si>
  <si>
    <t>SPA4-60</t>
  </si>
  <si>
    <t>1/2 RU 4 Channel ENERGY STAR amplifier / Multichannel operation 60 watts into 8Ω &amp; 4Ω, Bridged pair operation 200 watts into 8Ω &amp; 4Ω, and 250 watts into 70v and 100v / 100-240 VAC Operation</t>
  </si>
  <si>
    <t>SPA4-100</t>
  </si>
  <si>
    <t>1/2 RU 4 Channel ENERGY STAR amplifier / Multichannel Operation 100 watts into 8Ω &amp; 4Ω, Bridged pair operation 200 watts into 8Ω &amp; 4Ω, and 350 watts into 70v and 100v / 100-240 VAC Operation</t>
  </si>
  <si>
    <t>SPA-Qf 60x2</t>
  </si>
  <si>
    <t>2-ch, 60W/ch Q-SYS network audio Amplifier, Lo-Z, FlexIO, with Mic/line Input, 100-240v</t>
  </si>
  <si>
    <t>SPA-Qf 60x4</t>
  </si>
  <si>
    <t xml:space="preserve">4-ch, 60W/ch Q-SYS network audio Amplifier, Lo-Z, FlexIO, with Mic/line Input, 100-240v </t>
  </si>
  <si>
    <t>MP-A20V</t>
  </si>
  <si>
    <t>400W FlexAmp technology Hi-Z / Lo-Z amplifier, 2 x 200W into 4Ω, 8Ω, 70V and 100V, Highpass filter per channel, GPIO for Remote Standby and Amp Status</t>
  </si>
  <si>
    <t>MP-A40V</t>
  </si>
  <si>
    <t>800W FlexAmp technology Hi-Z / Lo-Z amplifier, 4 x 200W into 4Ω, 8Ω, 70V and 100V, Highpass filter per channel, GPIO for Remote Standby and Amp Status</t>
  </si>
  <si>
    <t>1600W FlexAmp technology Hi-Z / Lo-Z amplifier, 8 x 200W into 4Ω, 8Ω, 70V and 100V, Highpass filter per channel, GPIO for Remote Standby and Amp Status</t>
  </si>
  <si>
    <t>CX-Q 2K4</t>
  </si>
  <si>
    <t>4-Channel 500W/CH Q-SYS network Amplifier, Lo-Z, 70V, 100V direct drive, FlexAmp™, 
Mic/line Inputs, 100-240V.</t>
  </si>
  <si>
    <t>CX-Q 4K4</t>
  </si>
  <si>
    <t>4-Channel 1000W/CH Q-SYS network Amplifier, Lo-Z, 70V, 100V direct drive, FlexAmp™, Mic/line Inputs, 100-240V.</t>
  </si>
  <si>
    <t>CX-Q 8K4</t>
  </si>
  <si>
    <t>4-Channel 2000W/CH Q-SYS network Amplifier, Lo-Z, 70V, 100V direct drive, FlexAmp™, Mic/line Inputs, 100-240V</t>
  </si>
  <si>
    <t>CX-Q 4K8</t>
  </si>
  <si>
    <t>8-Channel 500W/CH Q-SYS network Amplifier, Lo-Z, 70V, 100V direct drive, FlexAmp™, 
with Mic/line Inputs, 100-240V</t>
  </si>
  <si>
    <t>CX-Q 8K8</t>
  </si>
  <si>
    <t>8-Channel 1000W/CH Q-SYS network Amplifier, Lo-Z, 70V, 100V direct drive, FlexAmp™, 
with Mic/line Inputs, 100-240V</t>
  </si>
  <si>
    <t>NM-T1-BK</t>
  </si>
  <si>
    <t>Tabletop network microphone with RGB light ring and onboard meeting controls, PoE powered. Includes mounting kit and soft-flex CAT6 cable.</t>
  </si>
  <si>
    <t>AC-C2T</t>
  </si>
  <si>
    <t>2.75" Full-range ceiling speaker, 70/100V transformer with 8Ω bypass, 170° conical coverage, includes C-ring and rails for blind mount installation. Priced individually, sold only in pairs.</t>
  </si>
  <si>
    <t>AC-C2T-LP</t>
  </si>
  <si>
    <t>2.75" Full-range low profile ceiling speaker, 70/100V transformer with 8Ω bypass, 170° conical coverage, includes C-ring and tile rails for blind mount installation. Priced individually, sold only in pairs.</t>
  </si>
  <si>
    <t>AC-C4T</t>
  </si>
  <si>
    <t>4.5" Full-range ceiling speaker, 70/100V transformer with 8Ω bypass, 140° conical coverage, includes C-ring and rails for blind mount installation. Priced individually, sold only in pairs.</t>
  </si>
  <si>
    <t>AC-C4T-nb</t>
  </si>
  <si>
    <t>4.5" Full-range no backcan (non UL), ceiling speaker, 70/100V transformer, 140° conical coverage. Priced individually but must be purchased in quantities of four (4).</t>
  </si>
  <si>
    <t>AC-C6T</t>
  </si>
  <si>
    <t>6.5" Two-way ceiling speaker, 70/100V transformer with 8Ω bypass, 110° conical coverage, includes C-ring and rails for blind mount installation. Priced individually, sold only in pairs.</t>
  </si>
  <si>
    <t>AC-C8T</t>
  </si>
  <si>
    <t>8" Two-way ceiling speaker, 70/100V transformer with 8Ω bypass, 90° conical coverage, includes C-ring and rails for blind mount installation. Priced individually, sold only in pairs.</t>
  </si>
  <si>
    <t>AC-C8T-nb</t>
  </si>
  <si>
    <t>8" Full-range no backcan (non UL) ceiling speaker, 70/100V transformer, 130° conical coverage. Priced individually but must be purchased in quantities of four (4).</t>
  </si>
  <si>
    <t>AC-MR4</t>
  </si>
  <si>
    <t>Flanged mud ring bracket for pre-installation of AC-C2T/AC-C4T in sheetrock or plaster surfaces. Priced and packaged in quantities of six (6) pieces per box.</t>
  </si>
  <si>
    <t>AC-MR6</t>
  </si>
  <si>
    <t>Flanged mud ring bracket for pre-installation of AC-C6T in sheetrock or plaster surfaces. Priced and packaged in quantities of six (6) pieces per box.</t>
  </si>
  <si>
    <t>AC-MR8</t>
  </si>
  <si>
    <t>Flanged mud ring bracket for pre-installation of AC-C8T in sheetrock or plaster surfaces. Priced and packaged in quantities of six (6) pieces per box.</t>
  </si>
  <si>
    <t>AC-S4T-BK</t>
  </si>
  <si>
    <t>4.5" Two-way surface speaker, 70/100V transformer with 8Ω bypass, 130° conical coverage, includes Yoke Mount. Color - Black. Priced individually, sold only in pairs.</t>
  </si>
  <si>
    <t>AC-S4T-WH</t>
  </si>
  <si>
    <t>4.5" Two-way surface speaker, 70/100V transformer with 8Ω bypass, 130° conical coverage, includes Yoke Mount. Color - White. Priced individually, sold only in pairs.</t>
  </si>
  <si>
    <t>AC-S6T-BK</t>
  </si>
  <si>
    <t>6.5" Two-way surface speaker, 70/100V transformer with 8Ω bypass, 130° conical coverage, includes Yoke Mount. Color - Black. Priced individually, sold only in pairs.</t>
  </si>
  <si>
    <t>AC-S6T-WH</t>
  </si>
  <si>
    <t>6.5" Two-way surface speaker, 70/100V transformer with 8Ω bypass, 130° conical coverage, includes Yoke Mount. Color - White. Priced individually, sold only in pairs.</t>
  </si>
  <si>
    <t>AD-DWL.360</t>
  </si>
  <si>
    <t>5.25" two-way direct weather landscape loudspeaker bollard design with 360 degree coverage. 70/100Vtransformer with 16Ohm by pass. Color - Green</t>
  </si>
  <si>
    <t>Landscape, Acoustic Design Series</t>
  </si>
  <si>
    <t>AD-DWL.180</t>
  </si>
  <si>
    <t>5.25" two-way direct weather landscape loudspeaker, bollard design with 180 degree coverage. 70/100Vtransformer with 16Ohm by pass. Color - Green</t>
  </si>
  <si>
    <t>AD-DWL.SUB</t>
  </si>
  <si>
    <t>Dual 5.25" subwoofer direct landscape loudspeaker, bollard design. 70/100V transformer with 16Ohm bypass.  Color - Green</t>
  </si>
  <si>
    <t>AD-DWL.BASE</t>
  </si>
  <si>
    <t>Direct burial base support accessory for 360/180/SUB landscape loudspeaker bollard design.</t>
  </si>
  <si>
    <t>AD-P.HALO-BK</t>
  </si>
  <si>
    <t>Integrated Sub/Sat pendant system with a 6.5" dual voice coil subwoofer and (4x) 2.75" satellites, 70/100V transformer with 6Ω bypass, includes cable and fastener for suspended installation. Color - Black.</t>
  </si>
  <si>
    <t>Pendant, Acoustic Design Series</t>
  </si>
  <si>
    <t>AD-P.HALO-WH</t>
  </si>
  <si>
    <t>Integrated Sub/Sat pendant system with a 6.5" dual voice coil subwoofer and (4x) 2.75" satellites, 70/100V transformer with 6Ω bypass, includes cable and fastener for suspended installation. Color - White.</t>
  </si>
  <si>
    <t>AD-P.SAT-BK</t>
  </si>
  <si>
    <t>2.75" Satellite pendant speaker, 16Ω, 150° conical coverage, includes cable and fastener for suspended installation. Color - Black. Priced individually, sold only in pairs.</t>
  </si>
  <si>
    <t>AD-P.SAT-WH</t>
  </si>
  <si>
    <t>2.75" Satellite pendant speaker, 16Ω, 150° conical coverage, includes cable and fastener for suspended installation. Color - White. Priced individually, sold only in pairs.</t>
  </si>
  <si>
    <t>AD-P.SUB-BK</t>
  </si>
  <si>
    <t>6.5" Dual voice-coil pendant subwoofer, provides High-pass output for up to four (4) satellite speakers, 70/100V transformer with 4Ω bypass, includes cable and fasteners for suspended installation. Color - Black.</t>
  </si>
  <si>
    <t>AD-P.SUB-WH</t>
  </si>
  <si>
    <t>6.5" Dual voice-coil pendant subwoofer, provides High-pass output for up to four (4) satellite speakers, 70/100V transformer with 4Ω bypass, includes cable and fasteners for suspended installation. Color - White.</t>
  </si>
  <si>
    <t>AD-P4T-BK</t>
  </si>
  <si>
    <t>4.5" Two-way pendant speaker, 70/100V transformer with 16Ω bypass, 150° conical DMT coverage, Includes cable and fastener for suspended Installation. Color - Black.</t>
  </si>
  <si>
    <t>AD-P4T-WH</t>
  </si>
  <si>
    <t>4.5" Two-way pendant speaker, 70/100V transformer with 16Ω bypass, 150° conical DMT coverage, Includes cable and fastener for suspended Installation. Color - White.</t>
  </si>
  <si>
    <t>AD-P6T-BK</t>
  </si>
  <si>
    <t>6.5" Two-way pendant speaker, 70/100V transformer with 16Ω bypass, 135° conical DMT coverage, Includes cable and fastener for suspended Installation. Color - Black.</t>
  </si>
  <si>
    <t>AD-P6T-WH</t>
  </si>
  <si>
    <t>6.5" Two-way pendant speaker, 70/100V transformer with 16Ω bypass, 135° conical DMT coverage, Includes cable and fastener for suspended Installation. Color - White.</t>
  </si>
  <si>
    <t>AD-C.SAT-BK</t>
  </si>
  <si>
    <t>2.75" Satellite ceiling speaker, 16Ω, 150° conical coverage, includes C-ring for blind mount installation. 
Color - Black. Priced individually, sold only in pairs.</t>
  </si>
  <si>
    <t>Ceiling, Acoustic Design Series</t>
  </si>
  <si>
    <t>AD-C.SAT-WH</t>
  </si>
  <si>
    <t>2.75" Satellite ceiling speaker, 16Ω, 150° conical coverage, includes C-ring for blind mount installation. 
Color - White. Priced individually, sold only in pairs.</t>
  </si>
  <si>
    <t>AD-C.SUB-BK</t>
  </si>
  <si>
    <t>6.5" Dual voice-coil ceiling subwoofer, provides High-pass output for up to four (4) satellite speakers, 70/100V transformer with 4Ω bypass, includes C-ring and Tile rails for blind mount installation. Color - Black.</t>
  </si>
  <si>
    <t>AD-C.SUB-WH</t>
  </si>
  <si>
    <t>6.5" Dual voice-coil ceiling subwoofer, provides High-pass output for up to four (4) satellite speakers, 70/100V transformer with 4Ω bypass, includes C-ring and Tile rails for blind mount installation. Color - White.</t>
  </si>
  <si>
    <t>AD-C4T-BK</t>
  </si>
  <si>
    <t>4.5" Two-way ceiling speaker, 70/100V transformer with 16Ω bypass, 150° conical DMT coverage, includes C-ring and rails for blind mount installation,  Ø195 mm cut-out. Color - Black. Priced individually, sold only in pairs.</t>
  </si>
  <si>
    <t>AD-C4T-WH</t>
  </si>
  <si>
    <t>4.5" Two-way ceiling speaker, 70/100V transformer with 16Ω bypass, 150° conical DMT coverage, includes C-ring and rails for blind mount installation,  Ø195 mm cut-out. Color - White. Priced individually, sold only in pairs.</t>
  </si>
  <si>
    <t>4.5" Two-way low-profile ceiling speaker, 70/100V transformer with 16Ω bypass, 150° conical DMT coverage, includes C-ring and rails for blind mount installation, Ø245 mm cut-out. Priced individually, sold only in pairs.</t>
  </si>
  <si>
    <t>AD-C6T-BK</t>
  </si>
  <si>
    <t>6.5" Two-way ceiling speaker, 70/100V transformer with 16Ω bypass, 135° conical DMT coverage, includes C-ring and rails for blind mount installation,  Ø245 mm cut-out. Color - Black. Priced individually, sold only in pairs.</t>
  </si>
  <si>
    <t>AD-C6T-WH</t>
  </si>
  <si>
    <t>6.5" Two-way ceiling speaker, 70/100V transformer with 16Ω bypass, 135° conical DMT coverage, includes C-ring and rails for blind mount installation,  Ø245 mm cut-out. Color - White Priced individually, sold only in pairs.</t>
  </si>
  <si>
    <t>AD-C6T-LP</t>
  </si>
  <si>
    <t>6.5" Two-way low-profile ceiling speaker, 70/100v transformer with 16Ω bypass, 135° conical DMT coverage, includes C-ring and rails for blind mount installation, Ø305 mm cut-out. Color - White only. Priced individually, sold only in pairs.</t>
  </si>
  <si>
    <t>AD-C6T-HC</t>
  </si>
  <si>
    <t>6.5" Two-way high ceiling, blind mount ceiling speakers, 70/100V transformer with 16Ω bypass. 75° conical coverage, include C-ring and rails for blind mount installation, Ø305 mm cut-out. 
Color - White only. Priced individually, sold only in pairs.</t>
  </si>
  <si>
    <t>AD-C6T-HP</t>
  </si>
  <si>
    <t>6.5" Two-way high power, blind mount ceiling speakers, 70/100V transformer with 16Ω bypass. 120° conical coverage, include C-ring and rails for blind mount installation, Ø305 mm cut-out. 
Color - White only. Priced individually, sold only in pairs.</t>
  </si>
  <si>
    <t>AD-C81Tw-WH</t>
  </si>
  <si>
    <t>8" In-ceiling subwoofer, 120Hz bypassable low pass filter, 70V/100V transformer with 8Ω bypass, includes C-ring and rails for blind mount installation. Color - White only.</t>
  </si>
  <si>
    <t>AD-C820R SYSTEM</t>
  </si>
  <si>
    <t>8" High-power coaxial ceiling speaker, 70/100V transformer with 16Ω bypass, 90° conical coverage, includes AD-C820 baffle, AD-C800BB back-box, and AD-C800RG round grille. Packaged separately (total of three cartons).</t>
  </si>
  <si>
    <t>AD-C821R SYSTEM</t>
  </si>
  <si>
    <t xml:space="preserve">8" High-power blind mount coaxial ceiling speaker, 70/100V transformer with 16Ω bypass, 90° conical DMT coverage. Includes AD-C800RG round grille, C-Ring and Tile Rails. Packaged separately (total of three cartons). </t>
  </si>
  <si>
    <t>AD-C1200</t>
  </si>
  <si>
    <t xml:space="preserve">12" High-power coaxial ceiling speaker baffle, 70/100V transformer with 16Ω bypass, 85° conical coverage. Fits AD-C1200BB back box enclosure or standard ~2.75 cubic foot enclosures. </t>
  </si>
  <si>
    <t>AD-C1200BB</t>
  </si>
  <si>
    <t xml:space="preserve">High performance enclosure of AD-C1200 loudspeaker system. </t>
  </si>
  <si>
    <t>AD-C1200SG</t>
  </si>
  <si>
    <t xml:space="preserve">Steel grille for use with AD-C1200 in white (paintable). </t>
  </si>
  <si>
    <t>AD-MR4</t>
  </si>
  <si>
    <t>Flanged mud ring bracket for pre-installation of AD-C4T in sheetrock or plaster surfaces. 
Priced and packaged in quantities of six (6) pieces per box.</t>
  </si>
  <si>
    <t>AD-MR6</t>
  </si>
  <si>
    <t>Flanged mud ring bracket for pre-installation of AD-C6T, AD-C4T-LP and AD-C6T-HP in sheetrock or plaster surfaces. 
Priced and packaged in quantities of six (6) pieces per box.</t>
  </si>
  <si>
    <t>AD-MR8</t>
  </si>
  <si>
    <t>Flanged mud ring bracket for pre-installation of AD-C6T-LP, AD-C-SUB and AD-C6T-HP in sheetrock or plaster surfaces. Priced and packaged in quantities of six (6) pieces per box.</t>
  </si>
  <si>
    <t>ADC-MRS</t>
  </si>
  <si>
    <t>Flanged mud ring bracket for installation of  AD-C821, or AD-C81Tw in sheetrock or plaster surfaces. 
Priced and packaged in quantities of six (6) pieces per box.</t>
  </si>
  <si>
    <t>AD-MG245</t>
  </si>
  <si>
    <t>Full capture marine grille with bayonet clips and backing cloth for 245 mm cutout ceiling speakers, requires AD-MC245 collar sold separately. Priced and packaged in quantities of six (6) pieces per box.</t>
  </si>
  <si>
    <t>AD-MC245</t>
  </si>
  <si>
    <t>Full capture marine collar with bayonet sockets for 245mm cutout ceiling speakers, requires AD-MG245 grille sold separately. Priced and packaged in quantities of six (6) pieces per box.</t>
  </si>
  <si>
    <t>AD-S.SAT-BK</t>
  </si>
  <si>
    <t>2.75" Satellite surface speaker, 16Ω, 150° conical coverage, includes mounting bracket for surface installation. Color - Black. Priced individually, sold only in pairs.</t>
  </si>
  <si>
    <t>Surface, Acoustic Design Series</t>
  </si>
  <si>
    <t>AD-S.SAT-WH</t>
  </si>
  <si>
    <t>2.75" Satellite surface speaker, 16Ω, 150° conical coverage, includes mounting bracket for surface installation. Color - White. Priced individually, sold only in pairs.</t>
  </si>
  <si>
    <t>AD-S.SUB-BK</t>
  </si>
  <si>
    <t>6.5" Dual voice-coil surface subwoofer, provides High-pass output for up to four (4) satellite speakers, 70/100V transformer for mono or bypass, Low-Z mono or stereo operation, includes wall bracket for surface installation. Color - Black.</t>
  </si>
  <si>
    <t>AD-S.SUB-WH</t>
  </si>
  <si>
    <t>6.5" Dual voice-coil surface subwoofer, provides High-pass output for up to four (4) satellite speakers, 70/100V transformer for mono or bypass, Low-Z mono or stereo operation, includes wall bracket for surface installation. Color - White.</t>
  </si>
  <si>
    <t>AD-S4T-BK</t>
  </si>
  <si>
    <t>4.5" Two-way surface speaker, 70/100V transformer with 8Ω bypass, 120° conical DMT™ coverage, includes X-Mount™ and weather input cup. Color - Black. Priced individually, sold only in pairs.</t>
  </si>
  <si>
    <t>AD-S4T-WH</t>
  </si>
  <si>
    <t>4.5" Two-way surface speaker, 70/100V transformer with 8Ω bypass, 120° conical DMT™ coverage, includes X-Mount™ and weather input cup. Color - White. Priced individually, sold only in pairs.</t>
  </si>
  <si>
    <t>AD-S5T-BK</t>
  </si>
  <si>
    <t>5.25" Two-way surface speaker, 70/100V transformer with 8Ω bypass, 115° conical DMT™ coverage, includes X-Mount™ and weather input cup. Color - Black. Priced individually, sold only in pairs.</t>
  </si>
  <si>
    <t>AD-S5T-WH</t>
  </si>
  <si>
    <t>5.25" Two-way surface speaker, 70/100V transformer with 8Ω bypass, 115° conical DMT™ coverage, includes X-Mount™ and weather input cup. Color - White. Priced individually, sold only in pairs.</t>
  </si>
  <si>
    <t>AD-S6-BK</t>
  </si>
  <si>
    <t>6.5" Two-way surface speaker, 16Ω (no transformer) , 105° conical DMT™ coverage, includes X-Mount™ and weather input cup. Color - Black. Priced individually, sold only in pairs.</t>
  </si>
  <si>
    <t>AD-S6-WH</t>
  </si>
  <si>
    <t>6.5" Two-way surface speaker, 16Ω (no transformer) , 105° conical DMT™ coverage, includes X-Mount™ and weather input cup. Color - White. Priced individually, sold only in pairs.</t>
  </si>
  <si>
    <t>AD-S6T-BK</t>
  </si>
  <si>
    <t>6.5" Two-way surface speaker, 70/100V transformer with 8Ω bypass, 105° conical DMT™ coverage, includes X-Mount™ and weather input cup. Color - Black. Priced individually, sold only in pairs.</t>
  </si>
  <si>
    <t>AD-S6T-WH</t>
  </si>
  <si>
    <t>6.5" Two-way surface speaker, 70/100V transformer with 8Ω bypass, 105° conical DMT™ coverage, includes X-Mount™ and weather input cup. Color - White. Priced individually, sold only in pairs.</t>
  </si>
  <si>
    <t>AD-S8T-BK</t>
  </si>
  <si>
    <t>8" Two-way surface speaker, 70/100V transformer with 8Ω bypass, 105° conical DMT™ coverage, includes X-Mount™ and weather input cup. Color - Black.</t>
  </si>
  <si>
    <t>AD-S8T-WH</t>
  </si>
  <si>
    <t>8" Two-way surface speaker, 70/100V transformer with 8Ω bypass, 105° conical DMT™ coverage, includes X-Mount™ and weather input cup. Color - White.</t>
  </si>
  <si>
    <t>AD-S10T-BK</t>
  </si>
  <si>
    <t>10" Two-way surface speaker, 70/100V transformer with 8Ω bypass, 90° conical DMT™ coverage, includes X-Mount™ and weather input cup. Color - Black.</t>
  </si>
  <si>
    <t>AD-S10T-WH</t>
  </si>
  <si>
    <t>10" Two-way surface speaker, 70/100V transformer with 8Ω bypass, 90° conical DMT™ coverage, includes X-Mount™ and weather input cup. Color - White.</t>
  </si>
  <si>
    <t>AD-S12-BK</t>
  </si>
  <si>
    <t>12" Two-way surface speaker, 75° conical DMT™ coverage, includes X-Mount™ and weather input cup. Color - Black.</t>
  </si>
  <si>
    <t>AD-S12-WH</t>
  </si>
  <si>
    <t>12" Two-way surface speaker, 75° conical DMT™ coverage, includes X-Mount™ and weather input cup. Color - White.</t>
  </si>
  <si>
    <t>AD-S112-sw-BK</t>
  </si>
  <si>
    <t>12" Surface subwoofer, includes mounting yoke and weather input cup. Color - Black.</t>
  </si>
  <si>
    <t>AD-S112-sw-WH</t>
  </si>
  <si>
    <t>12" Surface subwoofer, includes mounting yoke and weather input cup. Color - White.</t>
  </si>
  <si>
    <t>AD-S402T-BK</t>
  </si>
  <si>
    <t>2.75" Full-range (x4) column surface speaker, 30W, 70/100V transformer with 16Ω bypass, 160° horizontal x 40° vertical coverage, includes pan/tilt wall mount and input weather cover. Color - Black.</t>
  </si>
  <si>
    <t>Column, , Acoustic Design Series</t>
  </si>
  <si>
    <t>AD-S402T-WH</t>
  </si>
  <si>
    <t>2.75" Full-range (x4) column surface speaker, 30W, 70/100V transformer with 16Ω bypass, 160° horizontal x 40° vertical coverage, includes pan/tilt wall mount and input weather cover. Color - White.</t>
  </si>
  <si>
    <t>AD-S802T-BK</t>
  </si>
  <si>
    <t>2.75" Full-range (x8) element column surface speaker, 70/100V transformer with 8Ω bypass, 160° horizontal x 20° vertical coverage, includes pan/tilt wall mount and input weather input cover. Color - Black.</t>
  </si>
  <si>
    <t>Column, Acoustic Design Series</t>
  </si>
  <si>
    <t>AD-S802T-WH</t>
  </si>
  <si>
    <t>2.75" Full-range (x8) element column surface speaker, 70/100V transformer with 8Ω bypass, 160° horizontal x 20° vertical coverage, includes pan/tilt wall mount and input weather input cover. Color - White.</t>
  </si>
  <si>
    <t>AD-S162T-BK</t>
  </si>
  <si>
    <t>2.75" Full-range (x16) element column surface speaker, 70/100V transformer with 8Ω bypass, 160° horizontal x selectable 15/30° vertical coverage, includes pan/tilt wall mount and input weather input cover.  Color - Black.</t>
  </si>
  <si>
    <t>AD-S162T-WH</t>
  </si>
  <si>
    <t>2.75" Full-range (x16) element column surface speaker, 70/100V transformer with 8Ω bypass, 160° horizontal x selectable 15/30° vertical coverage, includes pan/tilt wall mount and input weather input cover.  Color - White.</t>
  </si>
  <si>
    <t>NL-C4-WH</t>
  </si>
  <si>
    <t>4" Full-range, low-profile ceiling-mount network loudspeaker, PoE/PoE+ powered. Includes C-ring and tile rails. Color - White.</t>
  </si>
  <si>
    <t>NL-P4-BK</t>
  </si>
  <si>
    <t>4" Full-range, pendant-mount network loudspeaker, PoE/PoE+ powered. Includes hanging hardware. Color - Black.</t>
  </si>
  <si>
    <t>NL-P4-WH</t>
  </si>
  <si>
    <t>4" Full-range, pendant-mount network loudspeaker, PoE/PoE+ powered. Includes hanging hardware. Color - White.</t>
  </si>
  <si>
    <t>NL-SB42</t>
  </si>
  <si>
    <t xml:space="preserve">3.5" Two-way network soundbar, PoE/PoE+ powered. Includes hanging hardware. </t>
  </si>
  <si>
    <t>Acoustic Coverage Series</t>
  </si>
  <si>
    <t>NC-110</t>
  </si>
  <si>
    <t>110° Horizontal Field of View, ePTZ network camera, PoE, includes mounting bracket for monitor and surface mounting</t>
  </si>
  <si>
    <t>Cameras USB Bridging</t>
  </si>
  <si>
    <t>NC-12x80</t>
  </si>
  <si>
    <t>12x Optical Zoom 80° Horizontal Field of View, PTZ Network Camera, PoE, with HDMI and SDI output. Includes PTZ-WMB1 wall mount bracket</t>
  </si>
  <si>
    <t>NC-20x60</t>
  </si>
  <si>
    <t>20x Optical Zoom 60° Horizontal Field of View, PTZ Network Camera, PoE, with HDMI and SDI output. Includes PTZ-WMB1 wall mount bracket.</t>
  </si>
  <si>
    <t>PTZ-12x72</t>
  </si>
  <si>
    <t xml:space="preserve">Q-SYS PoE camera for AV-to-USB Bridging. 12x Optical Zoom 72° horizontal field of view. For small to medium conference rooms. Includes Lan, 3G-SDI and HDMI; includes a PTZ-WMB1 (Wall Mount Bracket).                         </t>
  </si>
  <si>
    <t>PTZ-20x60</t>
  </si>
  <si>
    <t xml:space="preserve">Q-SYS PoE camera for AV-to-USB Bridging 20x Optical Zoom 60° horizontal field of view. For medium to large conference rooms. Includes Lan, 3G-SDI and HDMI; includes a PTZ-WMB1 (Wall Mount Bracket).                                                                                                       </t>
  </si>
  <si>
    <t>PTZ-CMB1</t>
  </si>
  <si>
    <t xml:space="preserve">Accessory Ceiling Mount Bracket for PTZ Camera, NC-12x80 and NC-20x60.                                                                                                                                                                                                                                                                         </t>
  </si>
  <si>
    <t>PTZ-WMB1</t>
  </si>
  <si>
    <t xml:space="preserve">Accessory Wall Mount Bracket for PTZ Camera, NC-12x80 and NC-20x60.                                                                                                                                                                                                                                                                         </t>
  </si>
  <si>
    <t>I/O USB Bridge</t>
  </si>
  <si>
    <t xml:space="preserve">Q-SYS PoE bridging endpoint for AV-to-USB Bridging. Delivers driverless USB 2.0 connection. Includes dual LAN connections.                                                                                     </t>
  </si>
  <si>
    <t>TSC-50-G3</t>
  </si>
  <si>
    <t>Q-SYS 5” PoE Touch Screen Controller for In-Wall Mounting. 
Color - Black only</t>
  </si>
  <si>
    <t>Control</t>
  </si>
  <si>
    <t>TSC-70-G3</t>
  </si>
  <si>
    <t>Q-SYS 7” PoE Touch Screen Controller for In-Wall Mounting. 
Color - Black only</t>
  </si>
  <si>
    <t>TSC-101-G3</t>
  </si>
  <si>
    <t>Q-SYS 10.1” PoE Touch Screen Controller for In-Wall Mounting. 
Color - Black only</t>
  </si>
  <si>
    <t>TSC-50t-G3</t>
  </si>
  <si>
    <t>Table top mounting accessory for TSC-50-G3.</t>
  </si>
  <si>
    <t>TSC-710t-G3</t>
  </si>
  <si>
    <t>Table top mounting accessory for TSC-70-G3 and TSC-101-G3.</t>
  </si>
  <si>
    <t>TSC-80W-G2-BK</t>
  </si>
  <si>
    <t>Q-SYS 8.0” PoE Touch Screen Controller for In-Wall Mounting. Includes 1 LAN Port and Aux Power input. Color - Black only</t>
  </si>
  <si>
    <t>TSC-116W-G2-BK</t>
  </si>
  <si>
    <t>Q-SYS 11.6” PoE Touch Screen Controller for In-Wall Mounting. Includes 1 LAN Port and Aux Power input. Color - Black only</t>
  </si>
  <si>
    <t>TSC-80T-G2-BK</t>
  </si>
  <si>
    <t xml:space="preserve">Table top mounting accessory for TSC-80t-G2-BK. </t>
  </si>
  <si>
    <t>TSC-116T-G2-BK</t>
  </si>
  <si>
    <t xml:space="preserve">Table top mounting accessory for TSC-116W-G2-BK. </t>
  </si>
  <si>
    <t>QIO-GP8x8</t>
  </si>
  <si>
    <t>Q-SYS peripheral providing control expansion with 8 logic inputs and 8 logic outputs. Up to 4 devices daisy-chainable. 1U-1/4W, powered over Ethernet or +24 VDC. Surface mountable, rack kit sold separately.</t>
  </si>
  <si>
    <t>QIO-IR1x4</t>
  </si>
  <si>
    <t>Q-SYS peripheral providing control expansion with 1 IR receiver, 4 IR emitters. Up to 4 devices daisy-chainable. 1U-1/4W, powered over Ethernet or +24 VDC. Surface mountable, rack kit sold separately.</t>
  </si>
  <si>
    <t>QIO-S4</t>
  </si>
  <si>
    <t>Q-SYS peripheral providing control expansion with 4 serial communication I/O. Up to 4 devices daisy-chainable. 1U-1/4W, powered over Ethernet or +24 VDC. Surface mountable, rack kit sold separately.</t>
  </si>
  <si>
    <t>SLDAN-8-P</t>
  </si>
  <si>
    <t>Q-SYS Software-based Dante 8x8 Channel License, Perpetual.</t>
  </si>
  <si>
    <t>Software License, Note *: Core 110f sold prior to 30-March-2020, Core 510i and Core 5200 sold prior to 31-December-2020, and all NV-32-H (Core Capable)</t>
  </si>
  <si>
    <t>SLDAN-16-P</t>
  </si>
  <si>
    <t>Q-SYS Software-based Dante 16x16 Channel License, Perpetual.</t>
  </si>
  <si>
    <t>Softwarse License</t>
  </si>
  <si>
    <t>SLDAN-32-P</t>
  </si>
  <si>
    <t>Q-SYS Software-based Dante 32x32 Channel License, Perpetual.</t>
  </si>
  <si>
    <t>Software License, Note **: Core 110f, Core 8 FLEX, Core NANO, Core 510i, Core 610, Core 5200, NV-32-H (Core Capable)</t>
  </si>
  <si>
    <t>SLDAN-64-P</t>
  </si>
  <si>
    <t>Q-SYS Software-based Dante 64x64 Channel License, Perpetual</t>
  </si>
  <si>
    <t>SLDAN-128-P</t>
  </si>
  <si>
    <t>Q-SYS Software-based Dante 128x128 Channel License, Perpetual</t>
  </si>
  <si>
    <t>Softwarse License, Note ***: Core 510i, Core 610, Core 5200</t>
  </si>
  <si>
    <t>SLDAN-256-P</t>
  </si>
  <si>
    <t>Q-SYS Software-base Dante 256x256 Channel License, Perpetual</t>
  </si>
  <si>
    <t>SLDAN-512-P</t>
  </si>
  <si>
    <t>Q-SYS Software-base Dante 512x512 Channel License, Perpetual</t>
  </si>
  <si>
    <t>Software License, Note****Core 5200</t>
  </si>
  <si>
    <t>SLQUD-110-P</t>
  </si>
  <si>
    <t>Q-SYS Core 110 UCI Deployment Software License, Perpetual.</t>
  </si>
  <si>
    <t>SLQSE-110-P</t>
  </si>
  <si>
    <t>Q-SYS Core 110 Scripting Engine Software License, Perpetual.</t>
  </si>
  <si>
    <t>SLQUD-510-P</t>
  </si>
  <si>
    <t>Q-SYS Core 510 UCI Deployment Software License, Perpetual.</t>
  </si>
  <si>
    <t>SLQSE-510-P</t>
  </si>
  <si>
    <t>Q-SYS Core 510 Scripting Engine Software License, Perpetual.</t>
  </si>
  <si>
    <t>SLQUD-610-P</t>
  </si>
  <si>
    <t>Q-SYS Core 610 UCI Deployment Software License, Perpetual.</t>
  </si>
  <si>
    <t>SLQSE-610-P</t>
  </si>
  <si>
    <t>Q-SYS Core 610 Scripting Engine Software License, Perpetual.</t>
  </si>
  <si>
    <t>SLQUD-8N-P</t>
  </si>
  <si>
    <t>Q-SYS Core 8 Flex, Core Nano, NV-32-H (Core Capable).  UCI Deployment Software License, Perpetual.</t>
  </si>
  <si>
    <t>SLQSE-8N-P</t>
  </si>
  <si>
    <t>Q-SYS Core 8 Flex, Core Nano, NV-32-H (Core Capable).  Scripting Engine Software License, Perpetual.</t>
  </si>
  <si>
    <t>SLCOL-8N-P</t>
  </si>
  <si>
    <t>Q-SYS Collaboration Bundle scaling license for Core Nano and Core 8 Flex that doubles the networked audio capacity to 128x128, doubles the maximum number of next-generation AEC processors to 16, doubles the maximum number of Softphone instances to 4, and doubles the general purpose processing capacity, Perpetual.</t>
  </si>
  <si>
    <t>SLCOM-8N-P</t>
  </si>
  <si>
    <t>Q-SYS Commercial AV Bundle scaling license for Core Nano and Core 8 Flex that doubles the networked audio capacity to 128x128, doubles the Media/WAN streaming capacity to 24x24, expands the maximum number of peripherals hosted to 48, and doubles the general purpose processing capacity, Perpetual.</t>
  </si>
  <si>
    <t>SLQBR-P</t>
  </si>
  <si>
    <t>Q-SYS AV Bridging feature license. One license is required per TSC Series Gen 3 touch screen controller with AV Bridging enabled. Perpetual. For NV-21-HU, TSC-70-G3 &amp; TSC-101-G3</t>
  </si>
  <si>
    <t>SLMST-8N-P</t>
  </si>
  <si>
    <t>Q-SYS Core 8 Flex, Core Nano, NV-32-H (Core Capable) license for Microsoft Teams Room software features, enables both Q-SYS Scripting and UCI Deployment, Perpetual</t>
  </si>
  <si>
    <t>SLMST-110-P</t>
  </si>
  <si>
    <t>Q-SYS Core 110 license for Microsoft Teams Room software features, enables both Q-SYS Scripting and UCI Deployment, Perpetual</t>
  </si>
  <si>
    <t>SLMST-510-P</t>
  </si>
  <si>
    <t>Q-SYS Core 510 license for Microsoft Teams Room software features, enables both Q-SYS Scripting and UCI Deployment, Perpetual</t>
  </si>
  <si>
    <t>SLMST-610-P</t>
  </si>
  <si>
    <t>Q-SYS Core 610 license for Microsoft Teams Room software features, enables both Q-SYS Scripting and UCI Deployment, Perpetual</t>
  </si>
  <si>
    <t>SLMTP-32</t>
  </si>
  <si>
    <t xml:space="preserve">Multi-Track Playback Option -  up to 32 Channels; (requires a Media Drive installed to activate). </t>
  </si>
  <si>
    <t>SLMTP-64</t>
  </si>
  <si>
    <t>Multi-Track Playback Option -  up to 64 Channels; (requires a Media Drive installed to activate).</t>
  </si>
  <si>
    <t>SLMTP-128</t>
  </si>
  <si>
    <t>Multi-Track Playback Option -  up to 128 Channels; (requires a Media Drive installed to activate).</t>
  </si>
  <si>
    <t>NV-32-H (Core Capable)</t>
  </si>
  <si>
    <t>4K60 4:4:4 Network Video Endpoint for the Q-SYS Ecosystem, software configurable as Encoder or Decoder. 3 HDMI 2.0 Inputs, 2 HDMI 2.0 Outputs, on-board AV Bridging. Supports optional stand-alone “Q-SYS Core Mode" operation for audio DSP with local video switching (no encoding or decoding) and AV Bridging.</t>
  </si>
  <si>
    <t>Video</t>
  </si>
  <si>
    <t>NV-21-HU</t>
  </si>
  <si>
    <t>4K60 4:4:4 Network Video Endpoint for Q-SYSEcosystem, software configurable as Encoder or Decoder. 1 HDMI 2.0 Input, 1 USB-C Input, 1 HDMI 2.0 output. Optional Software License to enable AV Bridging (SLQBR-P).</t>
  </si>
  <si>
    <t>NV-21-PSU</t>
  </si>
  <si>
    <t>12v 10a Aux Power Supply for NV-21-HU to enable USB-C device charging</t>
  </si>
  <si>
    <t>NS10-125+</t>
  </si>
  <si>
    <t>10-port network switch preconfigured for Q-SYS Audio, Video and Control with 8x PoE+ ports and 125 Watts PoE budget. Features advanced QoS and IGMP configuration to also support AES67 and Dante within the same VLAN.</t>
  </si>
  <si>
    <t>Network Switch</t>
  </si>
  <si>
    <t>NS10-720++</t>
  </si>
  <si>
    <t>10-port network switch preconfigured for Q-SYS Audio, Video and Control with 8x PoE++ ports and 720 Watts PoE budget. Features advanced QoS and IGMP configuration to also support AES67 and Dante within the same VLAN.</t>
  </si>
  <si>
    <t>NS26-300+</t>
  </si>
  <si>
    <t>26-port network switch preconfigured for Q-SYS Audio, Video and Control with 24x PoE+ ports and 300 Watts PoE budget. Features advanced QoS and IGMP configuration to also support AES67 and Dante within the same VLAN.</t>
  </si>
  <si>
    <t>NS26-1440++</t>
  </si>
  <si>
    <t>26-port network switch preconfigured for Q-SYS Audio, Video and Control with 24x PoE++ ports and 1440 Watts PoE budget. Features advanced QoS and IGMP configuration to also support AES67 and Dante within the same VLAN.</t>
  </si>
  <si>
    <t>CX41</t>
  </si>
  <si>
    <t xml:space="preserve">2-Way 4" Coaxial loudspeaker </t>
  </si>
  <si>
    <t>UBRKT/41B</t>
  </si>
  <si>
    <t>Single U-Bracket (Weather Resistant) for the CX41.  For white replace "B" with "W"</t>
  </si>
  <si>
    <t>CX42</t>
  </si>
  <si>
    <t>2-Way, "Stair-step" loudspeaker 2x4" LF, 1" HF</t>
  </si>
  <si>
    <t>CFX42-BACKBX</t>
  </si>
  <si>
    <t>18 Gauge Metal backbox for CX42 - Required for concrete pour installation</t>
  </si>
  <si>
    <t>CX61</t>
  </si>
  <si>
    <t>2-Way, Full Range Loudspeaker 6.5" LF, 1" HF</t>
  </si>
  <si>
    <t>CA61-A</t>
  </si>
  <si>
    <t>Powered Analog, SA625-A Amp Module</t>
  </si>
  <si>
    <t>CA61-RN</t>
  </si>
  <si>
    <t>Powered, RHAON, SA625-RN Amp Module</t>
  </si>
  <si>
    <t>CA61-RD</t>
  </si>
  <si>
    <t>Powered, RHAON &amp; Dante Redundant, SA625-RD Amp Module</t>
  </si>
  <si>
    <t>UBRKT/CT61B</t>
  </si>
  <si>
    <t>Single U-Bracket (Weather Resistant) for the CA61 &amp; CX61.  For white replace "B" with "W"</t>
  </si>
  <si>
    <t>CX62</t>
  </si>
  <si>
    <t>2-Way, Full Range Loudspeaker 2 x 6.5" LF, 1" HF</t>
  </si>
  <si>
    <t>CA62-A</t>
  </si>
  <si>
    <t>CA62-RN</t>
  </si>
  <si>
    <t>CA62-RD</t>
  </si>
  <si>
    <t>UBRKT/CT62-81B</t>
  </si>
  <si>
    <t>Single U-Bracket (Weather Resistant) for the CA62 &amp; CX62.  For white replace "B" with "W"</t>
  </si>
  <si>
    <t>CX81</t>
  </si>
  <si>
    <t>2-Way, Full Range Loudspeaker 8" LF, 1" HF</t>
  </si>
  <si>
    <t>CA81-A</t>
  </si>
  <si>
    <t>CA81-RN</t>
  </si>
  <si>
    <t>CA81-RD</t>
  </si>
  <si>
    <t>Single U-Bracket (Weather Resistant) for the CA81 &amp; CX81.  For white replace "B" with "W"</t>
  </si>
  <si>
    <t>CCH1200-9</t>
  </si>
  <si>
    <t>1" throat Complex Conic horn, 90° x 60°. Not installed</t>
  </si>
  <si>
    <t>CX82</t>
  </si>
  <si>
    <t>2-Way, Full Range Loudspeaker 2 x 8" LF, 1" HF</t>
  </si>
  <si>
    <t>CA82-A</t>
  </si>
  <si>
    <t>CA82-RN</t>
  </si>
  <si>
    <t>CA82-RD</t>
  </si>
  <si>
    <t>UBRKT/CT82B</t>
  </si>
  <si>
    <t>Single U-Bracket (Weather Resistant) for the CA82 &amp; CX82.  For white replace "B" with "W"</t>
  </si>
  <si>
    <t>CX121</t>
  </si>
  <si>
    <t>2-Way, Full Range Loudspeaker 12" LF, 1" HF</t>
  </si>
  <si>
    <t>CA121-A</t>
  </si>
  <si>
    <t>Powered Analog, SA1250-A Amp Module</t>
  </si>
  <si>
    <t>CA121-RN</t>
  </si>
  <si>
    <t>Powered, RHAON, SA1250-RN Amp Module</t>
  </si>
  <si>
    <t>CA121-RD</t>
  </si>
  <si>
    <t>Powered, RHAON &amp; Dante Redundant, SA1250-RD Amp Module</t>
  </si>
  <si>
    <t>UBRKT/CT121B</t>
  </si>
  <si>
    <t>Single U-Bracket (Weather Resistant) for the CA121 &amp; CX121.  For white replace "B" with "W"</t>
  </si>
  <si>
    <t>CCH1500-6</t>
  </si>
  <si>
    <t>1" throat Complex Conic horn, 60° x 40°. Not installed</t>
  </si>
  <si>
    <t>CX121M</t>
  </si>
  <si>
    <t>CA121M-A</t>
  </si>
  <si>
    <t>Self-Powered Analog, SA625-A Amp Module</t>
  </si>
  <si>
    <t>CA121M-RN</t>
  </si>
  <si>
    <t>Self-Powered with RHAON, SA625-RN Amp Module</t>
  </si>
  <si>
    <t>CA121M-RD</t>
  </si>
  <si>
    <t>Self-Powered with RHAON &amp; Dante Redundant, SA625-RD Amp Module</t>
  </si>
  <si>
    <t>UBRKT/CT121MB</t>
  </si>
  <si>
    <t>Single U-Bracket (Weather Resistant) for the CA121M &amp; CX121M.  For white replace "B" with "W"</t>
  </si>
  <si>
    <t>CX151</t>
  </si>
  <si>
    <t>2-Way, Full Range Loudspeaker 15" LF, 1" HF</t>
  </si>
  <si>
    <t>CA151-A</t>
  </si>
  <si>
    <t>CA151-RN</t>
  </si>
  <si>
    <t>CA151-RD</t>
  </si>
  <si>
    <t>UBRKT/CT151B</t>
  </si>
  <si>
    <t>Single U-Bracket (Weather Resistant) for the CA151 &amp; CX151.  For white replace "B" with "W"</t>
  </si>
  <si>
    <t>CCH1000/94-1</t>
  </si>
  <si>
    <t>1" throat non-rotatable, Complex Conic horn, 90° x 40°. Not installed</t>
  </si>
  <si>
    <t>CX112S</t>
  </si>
  <si>
    <t>12" Subwoofer</t>
  </si>
  <si>
    <t>CA112S-A</t>
  </si>
  <si>
    <t>CA112S-RN</t>
  </si>
  <si>
    <t>CA112S-RD</t>
  </si>
  <si>
    <t>CX118S</t>
  </si>
  <si>
    <t>18" Subwoofer</t>
  </si>
  <si>
    <t>CA118S-A</t>
  </si>
  <si>
    <t>CA118S-RN</t>
  </si>
  <si>
    <t>CA118S-RD</t>
  </si>
  <si>
    <t>TX61</t>
  </si>
  <si>
    <t>TA61-A</t>
  </si>
  <si>
    <t>TA61-RN</t>
  </si>
  <si>
    <t>TA61-RD</t>
  </si>
  <si>
    <t>Single U-Bracket (Weather Resistant) for the TA61 &amp; TX61.  For white replace "B" with "W"</t>
  </si>
  <si>
    <t>TX62</t>
  </si>
  <si>
    <t>TA62-A</t>
  </si>
  <si>
    <t>TA62-RN</t>
  </si>
  <si>
    <t>TA62-RD</t>
  </si>
  <si>
    <t>Single U-Bracket (Weather Resistant) for the TA62 &amp; TX62.  For white replace "B" with "W"</t>
  </si>
  <si>
    <t>TX81</t>
  </si>
  <si>
    <t>TA81-A</t>
  </si>
  <si>
    <t>TA81-RN</t>
  </si>
  <si>
    <t>TA81-RD</t>
  </si>
  <si>
    <t>Single U-Bracket (Weather Resistant) for the TA81 &amp; TX81.  For white replace "B" with "W"</t>
  </si>
  <si>
    <t>TX82</t>
  </si>
  <si>
    <t>TA82-A</t>
  </si>
  <si>
    <t>TA82-RN</t>
  </si>
  <si>
    <t>TA82-RD</t>
  </si>
  <si>
    <t>Single U-Bracket (Weather Resistant) for the TA82 &amp; TX82.  For white replace "B" with "W"</t>
  </si>
  <si>
    <t>TX121</t>
  </si>
  <si>
    <t>TA121-A</t>
  </si>
  <si>
    <t>TA121-RN</t>
  </si>
  <si>
    <t>TA121-RD</t>
  </si>
  <si>
    <t>Single U-Bracket (Weather Resistant) for the TA121 &amp; TX121.  For white replace "B" with "W"</t>
  </si>
  <si>
    <t>TX151</t>
  </si>
  <si>
    <t>TA151-A</t>
  </si>
  <si>
    <t>TA151-RN</t>
  </si>
  <si>
    <t>TA151-RD</t>
  </si>
  <si>
    <t>Single U-Bracket (Weather Resistant) for the TA151 &amp; TX151.  For white replace "B" with "W"</t>
  </si>
  <si>
    <t>TX112S</t>
  </si>
  <si>
    <t>TA112S-A</t>
  </si>
  <si>
    <t>TA112S-RN</t>
  </si>
  <si>
    <t>TA112S-RD</t>
  </si>
  <si>
    <t>TX118S</t>
  </si>
  <si>
    <t>TA118S-A</t>
  </si>
  <si>
    <t>TA118S-RN</t>
  </si>
  <si>
    <t>TA118S-RD</t>
  </si>
  <si>
    <t>TX61-WR</t>
  </si>
  <si>
    <t>Non-Powered, 200W Pgm @ 16 Ohms; Sensitivity 94dB 1W/1m, whole space</t>
  </si>
  <si>
    <t>TA61-A-WR</t>
  </si>
  <si>
    <t>Self-Powered, SA625-A Amp Module</t>
  </si>
  <si>
    <t>TA61-RN-WR</t>
  </si>
  <si>
    <t>TA61-RD-WR</t>
  </si>
  <si>
    <t>SSG001</t>
  </si>
  <si>
    <t>Stainless Steel Grill upgrade option for 61, 62, 81, 82 cabinets.</t>
  </si>
  <si>
    <t>TX62-WR</t>
  </si>
  <si>
    <t>Non-Powered, 400W Pgm @ 8 Ohms; Sensitivity 97dB 1W/1m, whole space</t>
  </si>
  <si>
    <t>TA62-A-WR</t>
  </si>
  <si>
    <t>TA62-RN-WR</t>
  </si>
  <si>
    <t>TA62-RD-WR</t>
  </si>
  <si>
    <t>TX81-WR</t>
  </si>
  <si>
    <t>Non-Powered, 250W Pgm @ 16 Ohms; Sensitivity 96dB 1W/1m, whole space</t>
  </si>
  <si>
    <t>TA81-A-WR</t>
  </si>
  <si>
    <t>TA81-RN-WR</t>
  </si>
  <si>
    <t>TA81-RD-WR</t>
  </si>
  <si>
    <t>TX82-WR</t>
  </si>
  <si>
    <t>Non-Powered, 500W Pgm @ 8 Ohms; Sensitivity 99dB 1W/1m, whole space</t>
  </si>
  <si>
    <t>TA82-A-WR</t>
  </si>
  <si>
    <t>TA82-RN-WR</t>
  </si>
  <si>
    <t>TA82-RD-WR</t>
  </si>
  <si>
    <t>TX121-WR</t>
  </si>
  <si>
    <t>Non-Powered, 600W Pgm @ 8 Ohms; Sensitivity 97dB 1W/1m, whole space</t>
  </si>
  <si>
    <t>TA121-A-WR</t>
  </si>
  <si>
    <t>Self-Powered, SA1250-A Amp Module</t>
  </si>
  <si>
    <t>TA121-RN-WR</t>
  </si>
  <si>
    <t>Self-Powered with RHAON, SA1250-RN Amp Module</t>
  </si>
  <si>
    <t>TA121-RD-WR</t>
  </si>
  <si>
    <t>Self-Powered with RHAON &amp; Dante Redundant, SA1250-RD Amp Module</t>
  </si>
  <si>
    <t>SSG002</t>
  </si>
  <si>
    <t>Stainless Steel Grill upgrade option for 121, 151, 112S and 118S cabinets.</t>
  </si>
  <si>
    <t>TX151-WR</t>
  </si>
  <si>
    <t>Non-Powered, 700W Pgm @ 8 Ohms; Sensitivity 98dB 1W/1m, whole space</t>
  </si>
  <si>
    <t>TA151-A-WR</t>
  </si>
  <si>
    <t>TA151-RN-WR</t>
  </si>
  <si>
    <t>TA151-RD-WR</t>
  </si>
  <si>
    <t>TX112S-WR</t>
  </si>
  <si>
    <t>TA112S-A-WR</t>
  </si>
  <si>
    <t>TA112S-RN-WR</t>
  </si>
  <si>
    <t>TA112S-RD-WR</t>
  </si>
  <si>
    <t>TX118S-WR</t>
  </si>
  <si>
    <t>TA118S-A-WR</t>
  </si>
  <si>
    <t>TA118S-RN-WR</t>
  </si>
  <si>
    <t>TA118S-RD-WR</t>
  </si>
  <si>
    <t>M10-PMA</t>
  </si>
  <si>
    <t>Pole Mount Adapter for all CA/CX,  TA/TX &amp; DC fullrange loudspeakers (except CX41 &amp; 42)</t>
  </si>
  <si>
    <t>TUBE</t>
  </si>
  <si>
    <t>Fixed length black anodized 35" (880 mm) aluminum tube for mounting full range cabinets to C-Series subwoofers with pole cup</t>
  </si>
  <si>
    <t>POLE-101</t>
  </si>
  <si>
    <t>Extending black anodized 35" (880 mm) aluminum tube for mounting full range cabinets to T, S and IC series subwoofers with M20 screw mount</t>
  </si>
  <si>
    <t>PNTSETUP</t>
  </si>
  <si>
    <t xml:space="preserve">TA/TX ONLY - One time setup charge for custom color paint.  NOTE: Fee is charged per color. </t>
  </si>
  <si>
    <t>CUSTPNT-UBR</t>
  </si>
  <si>
    <t>Custom color paint for U-Bracket and W-Wall mounting kit, per bracket. (add PNTSETUP)</t>
  </si>
  <si>
    <t>CUSTPNT1</t>
  </si>
  <si>
    <t>Custom Color paint (supply three color samples 3" x 3") for TA/TX61. Add to the cost of each cabinet</t>
  </si>
  <si>
    <t>CUSTPNT2</t>
  </si>
  <si>
    <t>Custom Color paint (supply three color samples 3" x 3") for TA/TX62 &amp; 81 cabinets. Add to the cost of each cabinet</t>
  </si>
  <si>
    <t>CUSTPNT3</t>
  </si>
  <si>
    <t>Custom Color paint (supply three color samples 3" x 3") for TA/TX82, 121, 151, 112S, and 118S cabinets. Add to each cabinet</t>
  </si>
  <si>
    <t>CUSTPNT1-WR</t>
  </si>
  <si>
    <t>Custom Color paint (supply three color samples 3" x 3") for TA/TX61-WR cabinets. Add to the cost of each cabinet</t>
  </si>
  <si>
    <t>CUSTPNT2-WR</t>
  </si>
  <si>
    <t>Custom Color paint (supply three color samples 3" x 3") for TA/TX62 &amp; 81-WR cabinets. Add to the cost of each cabinet</t>
  </si>
  <si>
    <t>CUSTPNT3-WR</t>
  </si>
  <si>
    <t>Custom Color paint (supply three color samples 3" x 3") for TA/TX82, 121, 151, 112S, and 118S -WR cabinets. Add to each cabinet</t>
  </si>
  <si>
    <t>P2-10-RN</t>
  </si>
  <si>
    <t>2-Way, Full Range Loudspeaker 1 x 10" LF, 3" voice coil HF (SELF-POWERED ONLY)</t>
  </si>
  <si>
    <t>P2-10-RD</t>
  </si>
  <si>
    <t>P2-10-RN-WR</t>
  </si>
  <si>
    <t>WR VERSION Self-Powered with RHAON, SA625-RN Amp Module</t>
  </si>
  <si>
    <t>P2-10-RD-WR</t>
  </si>
  <si>
    <t>WR VERSION Self-Powered with RHAON &amp; Dante Redundant, SA625-RD Amp Module</t>
  </si>
  <si>
    <t>UBRKT/P210B</t>
  </si>
  <si>
    <t>Single U-Bracket (Weather Resistant) for the P2-10.  For white replace "B" with "W"</t>
  </si>
  <si>
    <t>P3-10M-RN</t>
  </si>
  <si>
    <t>3-Way, Stage Monitor 2 x 10" LF, CDT-3 MF/HF (CoEntrant 6.5" MF, 3" VC HF) (SELF-POWERED ONLY)</t>
  </si>
  <si>
    <t>P3-10M-RD</t>
  </si>
  <si>
    <t>Self-Powered with RHAON &amp; Dante Redundant, SA2000-RD Amp Module</t>
  </si>
  <si>
    <t>P3-64-RN</t>
  </si>
  <si>
    <t>3-Way, Full Range Loudspeaker 4 x 6.5" LF/MF, 1.4" voice coil HF (SELF-POWERED ONLY)</t>
  </si>
  <si>
    <t>P3-64-RD</t>
  </si>
  <si>
    <t>P3-64-RN-WR</t>
  </si>
  <si>
    <t>WR VERSION Self-Powered with RHAON, SA1250-RN Amp Module</t>
  </si>
  <si>
    <t>P3-64-RD-WR</t>
  </si>
  <si>
    <t>WR VERSION Self-Powered with RHAON &amp; Dante Redundant, SA1250-RD Amp Module</t>
  </si>
  <si>
    <t>W-WALL-PT-BK</t>
  </si>
  <si>
    <t>Pan-Tilt wall mount bracket, Black only</t>
  </si>
  <si>
    <t>P3-12-RN</t>
  </si>
  <si>
    <t>3-Way, Full Range Loudspeaker, 12" LF, CDT-3 MF/HF (CoEntrant 6.5" MF, 3" VC HF) (SELF-POWERED ONLY)</t>
  </si>
  <si>
    <t>P3-12-RD</t>
  </si>
  <si>
    <t>P3-12-RN-WR</t>
  </si>
  <si>
    <t>P3-12-RD-WR</t>
  </si>
  <si>
    <t>Single U-Bracket (Weather Resistant) for the P3-12.  For white replace "B" with "W"</t>
  </si>
  <si>
    <t>P3-15-RN</t>
  </si>
  <si>
    <t>3-Way, Full Range Loudspeaker, 15" LF, CDT-3 MF/HF (CoEntrant 6.5" MF, 3" VC HF) (SELF-POWERED ONLY)</t>
  </si>
  <si>
    <t>P3-15-RD</t>
  </si>
  <si>
    <t>P3-15-RN-WR</t>
  </si>
  <si>
    <t>WR VERSION Self-Powered with RHAON, SA2000-RN Amp Module</t>
  </si>
  <si>
    <t>P3-15-RD-WR</t>
  </si>
  <si>
    <t>WR VERSION Self-Powered with RHAON &amp; Dante Redundant, SA2000-RD Amp Module</t>
  </si>
  <si>
    <t>Fixed length black anodized 35" (880 mm) aluminum tube for mounting full range cabinets to C-series subwoofers with pole cup</t>
  </si>
  <si>
    <t>Pan/Tilt wall mount bracket for P3-64, Black</t>
  </si>
  <si>
    <t>W-WALL-PT-CC</t>
  </si>
  <si>
    <t>Pan/Tilt wall mount bracket for P3-64 - Custom Color (add PNTSETUP)</t>
  </si>
  <si>
    <t>COVER-P3-64</t>
  </si>
  <si>
    <t>Transportation Cover for P3-64</t>
  </si>
  <si>
    <t xml:space="preserve">One time setup charge for custom color paint.  NOTE: Fee is charged per color. </t>
  </si>
  <si>
    <t>Custom Color paint (supply three color samples 3" x 3") for P2-10 cabinets. Add to the cost of each cabinet</t>
  </si>
  <si>
    <t>Custom Color paint (supply three color samples 3" x 3") for P3-64, P3-12, P3-15. Add to each cabinet</t>
  </si>
  <si>
    <t>UBX4-BK</t>
  </si>
  <si>
    <t>UBX4-BK 30° Assymetrical (+10°/-20°) with 7° average down tilt - Black color</t>
  </si>
  <si>
    <t>UBX4-WT</t>
  </si>
  <si>
    <t>UBX4-WT 30° Assymetrical (+10°/-20°) with 7° average down tilt - White color</t>
  </si>
  <si>
    <t>UBX8-BK</t>
  </si>
  <si>
    <t>UBX8-BK 20° Assymetrical (+5°/-15°) with 5° average down tilt - Black color</t>
  </si>
  <si>
    <t>UBX8-WT</t>
  </si>
  <si>
    <t>UBX8-WT 20° Assymetrical (+5°/-15°) with 5° average down tilt - White color</t>
  </si>
  <si>
    <t>UBX16-BK</t>
  </si>
  <si>
    <t>UBX16-BK 15° Assymetrical (+5°/-10°) with 4° average down tilt - Black color</t>
  </si>
  <si>
    <t>UBX16-WT</t>
  </si>
  <si>
    <t>UBX16-WT 15° Assymetrical (+5°/-10°) with 4° average down tilt - White color</t>
  </si>
  <si>
    <t>W-WALL-UBX-PT-BK</t>
  </si>
  <si>
    <t>Optional Pan and Tilt wall bracket for UBX Series loudspeakers. Black color.</t>
  </si>
  <si>
    <t>W-WALL-UBX-PT-WT</t>
  </si>
  <si>
    <t>Optional Pan and Tilt wall bracket for UBX Series loudspeakers. White color.</t>
  </si>
  <si>
    <t>DC12/2-BK</t>
  </si>
  <si>
    <t>DC12/2 Digital Directivity Control Column - Black</t>
  </si>
  <si>
    <t>DC12/2-WT</t>
  </si>
  <si>
    <t>DC12/2 Digital Directivity Control Column - White</t>
  </si>
  <si>
    <t>DC12/2-CC</t>
  </si>
  <si>
    <t>DC12/2 Digital Directivity Control Column - Custom Color (add PNTSETUP)</t>
  </si>
  <si>
    <t>Pole Mount Adapter for all CA/CX,  TA/TX, P &amp; DC fullrange loudspeakers (Except CX41 &amp; 42.)</t>
  </si>
  <si>
    <t>Extending black anodized 35" (880 mm) aluminum tube for mounting full range cabinets to subwoofers with M20 screw mount</t>
  </si>
  <si>
    <t>COVER-DC12/2</t>
  </si>
  <si>
    <t>Transportation Cover for the DC12/2</t>
  </si>
  <si>
    <t>ICC12/3-RN-BK</t>
  </si>
  <si>
    <t>ICC48/3-RN Digitally Steerable Column - Black</t>
  </si>
  <si>
    <t>ICC12/3-RN-WT</t>
  </si>
  <si>
    <t>ICC12/3-RN-CC</t>
  </si>
  <si>
    <t>ICC12/3-RD1-BK</t>
  </si>
  <si>
    <t>ICC12/3-RD1-WT</t>
  </si>
  <si>
    <t xml:space="preserve">ICC12/3-RD1-CC </t>
  </si>
  <si>
    <t>ICC24/3-RN-BK</t>
  </si>
  <si>
    <t>ICC24/3-RN-WT</t>
  </si>
  <si>
    <t>ICC24/3-RN-CC</t>
  </si>
  <si>
    <t>ICC24/3-RD1-BK</t>
  </si>
  <si>
    <t>ICC24/3-RD1-WT</t>
  </si>
  <si>
    <t>ICC24/3-RD1-CC</t>
  </si>
  <si>
    <t>ICC36/3-RN-BK</t>
  </si>
  <si>
    <t>ICC36/3-RN-WT</t>
  </si>
  <si>
    <t>ICC36/3-RN-CC</t>
  </si>
  <si>
    <t>ICC36/3-RD1-BK</t>
  </si>
  <si>
    <t>ICC36/3-RD1-WT</t>
  </si>
  <si>
    <t>ICC36/3-RD1-CC</t>
  </si>
  <si>
    <t>ICC48/3-RN-BK</t>
  </si>
  <si>
    <t>ICC48/3-RN-WT</t>
  </si>
  <si>
    <t>ICC48/3-RN Digitally Steerable Column - White</t>
  </si>
  <si>
    <t>ICC48/3-RN-CC</t>
  </si>
  <si>
    <t>ICC48/3-RN Digitally Steerable Column - Custom Color (add PNTSETUP)</t>
  </si>
  <si>
    <t>ICC48/3-RD1-BK</t>
  </si>
  <si>
    <t>ICC48/3-RD1 Digitally Steerable Column with Dante - Black</t>
  </si>
  <si>
    <t>ICC48/3-RD1-WT</t>
  </si>
  <si>
    <t>ICC48/3-RD1 Digitally Steerable Column with Dante - White</t>
  </si>
  <si>
    <t>ICC48/3-RD1-CC</t>
  </si>
  <si>
    <t>ICC48/3-RD1 Digitally Steerable Column with Dante - Custom Color (add PNTSETUP)</t>
  </si>
  <si>
    <t>ICC12/3-SHELL-BK</t>
  </si>
  <si>
    <t>ICC12/3 shell (empty ICC12/3 cabinet) includes Wall Mount Kit - Black (suffix "-BK") or White (suffix "-WT")</t>
  </si>
  <si>
    <t>ICC12/3-SHELL-CC</t>
  </si>
  <si>
    <t>ICC12/3 shell (empty ICC12/3 cabinet) includes Wall Mount Kit - Custom Color</t>
  </si>
  <si>
    <t>ICC24/3-SHELL-BK</t>
  </si>
  <si>
    <t>ICC24/3 shell (empty ICC12/3 cabinet) includes Wall Mount Kit - Black (suffix "-BK") or White (suffix "-WT")</t>
  </si>
  <si>
    <t>ICC24/3-SHELL-CC</t>
  </si>
  <si>
    <t>ICC24/3 shell (empty ICC12/3 cabinet) includes Wall Mount Kit - Custom Color</t>
  </si>
  <si>
    <t>ICC36/3-SHELL-BK</t>
  </si>
  <si>
    <t>ICC36/3 shell (empty ICC12/3 cabinet) includes Wall Mount Kit - Black (suffix "-BK") or White (suffix "-WT")</t>
  </si>
  <si>
    <t>ICC36/3-SHELL-CC</t>
  </si>
  <si>
    <t>ICC36/3 shell (empty ICC12/3 cabinet) includes Wall Mount Kit - Custom Color</t>
  </si>
  <si>
    <t>ICC48/3-SHELL-BK</t>
  </si>
  <si>
    <t>ICC48/3 shell (empty ICC12/3 cabinet) includes Wall Mount Kit - Black (suffix "-BK") or White (suffix "-WT")</t>
  </si>
  <si>
    <t>ICC48/3-SHELL-CC</t>
  </si>
  <si>
    <t>ICC48/3 shell (empty ICC12/3 cabinet) includes Wall Mount Kit - Custom Color</t>
  </si>
  <si>
    <t>IC-FCSC</t>
  </si>
  <si>
    <t>ICONYX factory certified installation setup and commissioning support, inc. exp. FIXED SERVICE CHARGE - NO ADDITIONAL DISCOUNTS.</t>
  </si>
  <si>
    <t>IC-FCSC-2</t>
  </si>
  <si>
    <t>ICONYX FCSC Additional Day, Local Day or Travel Day. Cost for each additional day or travel day. FIXED SERVICE CHARGE - NO ADDITIONAL DISCOUNTS.</t>
  </si>
  <si>
    <t>IC8-RN-BK</t>
  </si>
  <si>
    <t>IC8-RN Digitally Steerable Column - Black</t>
  </si>
  <si>
    <t>IC8-RN-WT</t>
  </si>
  <si>
    <t>IC8-RN Digitally Steerable Column - White</t>
  </si>
  <si>
    <t>IC8-RN-CC</t>
  </si>
  <si>
    <t>IC8-RN Digitally Steerable Column - Custom Color (add PNTSETUP)</t>
  </si>
  <si>
    <t>IC8-RD-BK</t>
  </si>
  <si>
    <t>IC8-RD Digitally Steerable Column with Dante - Black</t>
  </si>
  <si>
    <t>IC8-RD-WT</t>
  </si>
  <si>
    <t>IC8-RD Digitally Steerable Column with Dante - White</t>
  </si>
  <si>
    <t>IC8-RD-CC</t>
  </si>
  <si>
    <t>IC8-RD Digitally Steerable Column with Dante - Custom Color (add PNTSETUP)</t>
  </si>
  <si>
    <t>IC8-RS-BK</t>
  </si>
  <si>
    <t>IC8-RS Digitally Steerable Column AUX - Black</t>
  </si>
  <si>
    <t>IC8-RS-WT</t>
  </si>
  <si>
    <t>IC8-RS Digitally Steerable Column AUX - White</t>
  </si>
  <si>
    <t>IC8-RS-CC</t>
  </si>
  <si>
    <t>IC8-RS Digitally Steerable Column AUX- Custom Color (add PNTSETUP)</t>
  </si>
  <si>
    <t>IC16-8-RN-BK</t>
  </si>
  <si>
    <t>IC16-8-RN Digitally Steerable Column - Black</t>
  </si>
  <si>
    <t>IC16-8-RN-WT</t>
  </si>
  <si>
    <t>IC16-8-RN Digitally Steerable Column - White</t>
  </si>
  <si>
    <t>IC16-8-RN-CC</t>
  </si>
  <si>
    <t>IC16-8-RN Digitally Steerable Column - Custom Color (add PNTSETUP)</t>
  </si>
  <si>
    <t>IC16-8-RD-BK</t>
  </si>
  <si>
    <t>IC16-8-RD Digitally Steerable Column with Dante - Black</t>
  </si>
  <si>
    <t>IC16-8-RD-WT</t>
  </si>
  <si>
    <t>IC16-8-RD Digitally Steerable Column with Dante - White</t>
  </si>
  <si>
    <t>IC16-8-RD-CC</t>
  </si>
  <si>
    <t>IC16-8-RD Digitally Steerable Column with Dante - Custom Color (add PNTSETUP)</t>
  </si>
  <si>
    <t>IC16-8-RS-BK</t>
  </si>
  <si>
    <t>IC16-8-RS Digitally Steerable Column AUX - Black</t>
  </si>
  <si>
    <t>IC16-8-RS-WT</t>
  </si>
  <si>
    <t>IC16-8-RS Digitally Steerable Column AUX - White</t>
  </si>
  <si>
    <t>IC16-8-RS-CC</t>
  </si>
  <si>
    <t>IC16-8-RS Digitally Steerable Column AUX - Custom Color (add PNTSETUP)</t>
  </si>
  <si>
    <t>IC16-RN-BK</t>
  </si>
  <si>
    <t>IC16-RN Digitally Steerable Column - Black</t>
  </si>
  <si>
    <t>IC16-RN-WT</t>
  </si>
  <si>
    <t>IC16-RN Digitally Steerable Column - White</t>
  </si>
  <si>
    <t>IC16-RN-CC</t>
  </si>
  <si>
    <t>IC16-RN Digitally Steerable Column - Custom Color (add PNTSETUP)</t>
  </si>
  <si>
    <t>IC16-RD-BK</t>
  </si>
  <si>
    <t>IC16-RD Digitally Steerable Column with Dante - Black</t>
  </si>
  <si>
    <t>IC16-RD-WT</t>
  </si>
  <si>
    <t>IC16-RD Digitally Steerable Column with Dante - White</t>
  </si>
  <si>
    <t>IC16-RD-CC</t>
  </si>
  <si>
    <t>IC16-RD Digitally Steerable Column with Dante - Custom Color (add PNTSETUP)</t>
  </si>
  <si>
    <t>IC24-16-RN-BK</t>
  </si>
  <si>
    <t>IC24-16-RN Digitally Steerable Column - Black</t>
  </si>
  <si>
    <t>IC24-16-RN-WT</t>
  </si>
  <si>
    <t>IC24-16-RN Digitally Steerable Column - White</t>
  </si>
  <si>
    <t>IC24-16-RN-CC</t>
  </si>
  <si>
    <t>IC24-16-RN Digitally Steerable Column - Custom Color (add PNTSETUP)</t>
  </si>
  <si>
    <t>IC24-16-RD-BK</t>
  </si>
  <si>
    <t>IC24-16-RD Digitally Steerable Column with Dante - Black</t>
  </si>
  <si>
    <t>IC24-16-RD-WT</t>
  </si>
  <si>
    <t>IC24-16-RD Digitally Steerable Column with Dante - White</t>
  </si>
  <si>
    <t>IC24-16-RD-CC</t>
  </si>
  <si>
    <t>IC24-16-RD Digitally Steerable Column with Dante - Custom Color (add PNTSETUP)</t>
  </si>
  <si>
    <t>IC24-RN-BK</t>
  </si>
  <si>
    <t>IC24-RN Digitally Steerable Column - Black</t>
  </si>
  <si>
    <t>IC24-RN-WT</t>
  </si>
  <si>
    <t>IC24-RN Digitally Steerable Column - White</t>
  </si>
  <si>
    <t>IC24-RN-CC</t>
  </si>
  <si>
    <t>IC24-RN Digitally Steerable Column - Custom Color (add PNTSETUP)</t>
  </si>
  <si>
    <t>IC24-RD-BK</t>
  </si>
  <si>
    <t>IC24-RD Digitally Steerable Column with Dante - Black</t>
  </si>
  <si>
    <t>IC24-RD-WT</t>
  </si>
  <si>
    <t>IC24-RD Digitally Steerable Column with Dante - White</t>
  </si>
  <si>
    <t>IC24-RD-CC</t>
  </si>
  <si>
    <t>IC24-RD Digitally Steerable Column with Dante - Custom Color (add PNTSETUP)</t>
  </si>
  <si>
    <t>IC32-24-RN-BK</t>
  </si>
  <si>
    <t>IC32-24-RN Digitally Steerable Column - Black</t>
  </si>
  <si>
    <t>IC32-24-RN-WT</t>
  </si>
  <si>
    <t>IC32-24-RN Digitally Steerable Column - White</t>
  </si>
  <si>
    <t>IC32-24-RN-CC</t>
  </si>
  <si>
    <t>IC32-24-RN Digitally Steerable Column - Custom Color (add PNTSETUP)</t>
  </si>
  <si>
    <t>IC32-24-RD-BK</t>
  </si>
  <si>
    <t>IC32-24-RD Digitally Steerable Column with Dante - Black</t>
  </si>
  <si>
    <t>IC32-24-RD-WT</t>
  </si>
  <si>
    <t>IC32-24-RD Digitally Steerable Column with Dante - White</t>
  </si>
  <si>
    <t>IC32-24-RD-CC</t>
  </si>
  <si>
    <t>IC32-24-RD Digitally Steerable Column with Dante - Custom Color (add PNTSETUP)</t>
  </si>
  <si>
    <t>IC32-RN-BK</t>
  </si>
  <si>
    <t>IC32-RN Digitally Steerable Column - Black</t>
  </si>
  <si>
    <t>IC32-RN-WT</t>
  </si>
  <si>
    <t>IC32-RN Digitally Steerable Column - White</t>
  </si>
  <si>
    <t>IC32-RN-CC</t>
  </si>
  <si>
    <t>IC32-RN Digitally Steerable Column - Custom Color (add PNTSETUP)</t>
  </si>
  <si>
    <t>IC32-RD-BK</t>
  </si>
  <si>
    <t>IC32-RD Digitally Steerable Column with Dante - Black</t>
  </si>
  <si>
    <t>IC32-RD-WT</t>
  </si>
  <si>
    <t>IC32-RD Digitally Steerable Column with Dante - White</t>
  </si>
  <si>
    <t>IC32-RD-CC</t>
  </si>
  <si>
    <t>IC32-RD Digitally Steerable Column - Custom Color (add PNTSETUP)</t>
  </si>
  <si>
    <t>IC8-RN-BK-WR</t>
  </si>
  <si>
    <t>Weather Resistant IC8-RN Digitally Steerable Column - Black</t>
  </si>
  <si>
    <t>IC8-RN-WT-WR</t>
  </si>
  <si>
    <t>Weather Resistant IC8-RN Digitally Steerable Column - White</t>
  </si>
  <si>
    <t>IC8-RN-CC-WR</t>
  </si>
  <si>
    <t>Weather Resistant IC8-RN - Custom Color (add PNTSETUP)</t>
  </si>
  <si>
    <t>IC8-RD-BK-WR</t>
  </si>
  <si>
    <t>Weather Resistant IC8-RD with Dante - Black</t>
  </si>
  <si>
    <t>IC8-RD-WT-WR</t>
  </si>
  <si>
    <t>Weather Resistant IC8-RD with Dante - White</t>
  </si>
  <si>
    <t>IC8-RD-CC-WR</t>
  </si>
  <si>
    <t>Weather Resistant IC8-RD with Dante - Custom Color (add PNTSETUP)</t>
  </si>
  <si>
    <t>IC8-RS-BK-WR</t>
  </si>
  <si>
    <t>Weather Resistant IC8-RS Digitally Steerable Column AUX - Black</t>
  </si>
  <si>
    <t>IC8-RS-WT-WR</t>
  </si>
  <si>
    <t>Weather Resistant IC8-RS Digitally Steerable Column AUX - White</t>
  </si>
  <si>
    <t>IC8-RS-CC-WR</t>
  </si>
  <si>
    <t>Weather Resistant IC8-RS AUX- Custom Color (add PNTSETUP)</t>
  </si>
  <si>
    <t>IC16-8-RN-BK-WR</t>
  </si>
  <si>
    <t>Weather Resistant IC16-8-RN Digitally Steerable Column - Black</t>
  </si>
  <si>
    <t>IC16-8-RN-WT-WR</t>
  </si>
  <si>
    <t>Weather Resistant IC16-8-RN Digitally Steerable Column - White</t>
  </si>
  <si>
    <t>IC16-8-RN-CC-WR</t>
  </si>
  <si>
    <t>Weather Resistant IC16-8-RN - Custom Color (add PNTSETUP)</t>
  </si>
  <si>
    <t>IC16-8-RD-BK-WR</t>
  </si>
  <si>
    <t>Weather Resistant IC16-8-RD with Dante - Black</t>
  </si>
  <si>
    <t>IC16-8-RD-WT-WR</t>
  </si>
  <si>
    <t>Weather Resistant IC16-8-RD with Dante - White</t>
  </si>
  <si>
    <t>IC16-8-RD-CC-WR</t>
  </si>
  <si>
    <t>Weather Resistant IC16-8-RD with Dante - Custom Color (add PNTSETUP)</t>
  </si>
  <si>
    <t>IC16-8-RS-BK-WR</t>
  </si>
  <si>
    <t>Weather Resistant IC16-8-RS  AUX - Black</t>
  </si>
  <si>
    <t>IC16-8-RS-WT-WR</t>
  </si>
  <si>
    <t>Weather Resistant IC16-8-RS AUX - White</t>
  </si>
  <si>
    <t>IC16-8-RS-CC-WR</t>
  </si>
  <si>
    <t>Weather Resistant IC16-8-RS AUX - Custom Color (add PNTSETUP)</t>
  </si>
  <si>
    <t>IC16-RN-BK-WR</t>
  </si>
  <si>
    <t>Weather Resistant IC16-RN Digitally Steerable Column - Black</t>
  </si>
  <si>
    <t>IC16-RN-WT-WR</t>
  </si>
  <si>
    <t>Weather Resistant IC16-RN Digitally Steerable Column - White</t>
  </si>
  <si>
    <t>IC16-RN-CC-WR</t>
  </si>
  <si>
    <t>Weather Resistant IC16-RN - Custom Color (add PNTSETUP)</t>
  </si>
  <si>
    <t>IC16-RD-BK-WR</t>
  </si>
  <si>
    <t>Weather Resistant IC16-RD with Dante - Black</t>
  </si>
  <si>
    <t>IC16-RD-WT-WR</t>
  </si>
  <si>
    <t>Weather Resistant IC16-RD with Dante - White</t>
  </si>
  <si>
    <t>IC16-RD-CC-WR</t>
  </si>
  <si>
    <t>Weather Resistant IC16-RD with Dante - Custom Color (add PNTSETUP)</t>
  </si>
  <si>
    <t>IC24-16-RN-BK-WR</t>
  </si>
  <si>
    <t>Weather Resistant IC24-16-RN Digitally Steerable Column - Black</t>
  </si>
  <si>
    <t>IC24-16-RN-WT-WR</t>
  </si>
  <si>
    <t>Weather Resistant IC24-16-RN Digitally Steerable Column - White</t>
  </si>
  <si>
    <t>IC24-16-RN-CC-WR</t>
  </si>
  <si>
    <t>Weather Resistant IC24-16-RN - Custom Color (add PNTSETUP)</t>
  </si>
  <si>
    <t>IC24-16-RD-BK-WR</t>
  </si>
  <si>
    <t>Weather Resistant IC24-16-RD with Dante - Black</t>
  </si>
  <si>
    <t>IC24-16-RD-WT-WR</t>
  </si>
  <si>
    <t>Weather Resistant IC24-16-RD with Dante - White</t>
  </si>
  <si>
    <t>IC24-16-RD-CC-WR</t>
  </si>
  <si>
    <t>Weather Resistant IC24-16-RD with Dante - Custom Color (add PNTSETUP)</t>
  </si>
  <si>
    <t>IC24-RN-BK-WR</t>
  </si>
  <si>
    <t>Weather Resistant IC24-RN Digitally Steerable Column - Black</t>
  </si>
  <si>
    <t>IC24-RN-WT-WR</t>
  </si>
  <si>
    <t>Weather Resistant IC24-RN Digitally Steerable Column - White</t>
  </si>
  <si>
    <t>IC24-RN-CC-WR</t>
  </si>
  <si>
    <t>Weather Resistant IC24-RN - Custom Color (add PNTSETUP)</t>
  </si>
  <si>
    <t>IC24-RD-BK-WR</t>
  </si>
  <si>
    <t>Weather Resistant IC24-RD with Dante - Black</t>
  </si>
  <si>
    <t>IC24-RD-WT-WR</t>
  </si>
  <si>
    <t>Weather Resistant IC24-RD with Dante - White</t>
  </si>
  <si>
    <t>IC24-RD-CC-WR</t>
  </si>
  <si>
    <t>Weather Resistant IC24-RD with Dante - Custom Color (add PNTSETUP)</t>
  </si>
  <si>
    <t>IC32-24-RN-BK-WR</t>
  </si>
  <si>
    <t>Weather Resistant IC32-24-RN Digitally Steerable Column - Black</t>
  </si>
  <si>
    <t>IC32-24-RN-WT-WR</t>
  </si>
  <si>
    <t>Weather Resistant IC32-24-RN Digitally Steerable Column - White</t>
  </si>
  <si>
    <t>IC32-24-RN-CC-WR</t>
  </si>
  <si>
    <t>Weather Resistant IC32-24-RN - Custom Color (add PNTSETUP)</t>
  </si>
  <si>
    <t>IC32-24-RD-BK-WR</t>
  </si>
  <si>
    <t>Weather Resistant IC32-24-RD with Dante - Black</t>
  </si>
  <si>
    <t>IC32-24-RD-WT-WR</t>
  </si>
  <si>
    <t>Weather Resistant IC32-24-RD with Dante - White</t>
  </si>
  <si>
    <t>IC32-24-RD-CC-WR</t>
  </si>
  <si>
    <t>Weather Resistant IC32-24-RD with Dante - Custom Color (add PNTSETUP)</t>
  </si>
  <si>
    <t>IC32-RN-BK-WR</t>
  </si>
  <si>
    <t>Weather Resistant IC32-RN Digitally Steerable Column - Black</t>
  </si>
  <si>
    <t>IC32-RN-WT-WR</t>
  </si>
  <si>
    <t>Weather Resistant IC32-RN Digitally Steerable Column - White</t>
  </si>
  <si>
    <t>IC32-RN-CC-WR</t>
  </si>
  <si>
    <t>IC32-RD-BK-WR</t>
  </si>
  <si>
    <t>Weather Resistant IC32-RD with Dante - Black</t>
  </si>
  <si>
    <t>IC32-RD-WT-WR</t>
  </si>
  <si>
    <t>Weather Resistant IC32-RD with Dante - White</t>
  </si>
  <si>
    <t>IC32-RD-CC-WR</t>
  </si>
  <si>
    <t>Weather Resistant IC32-RD with Dante - Custom Color (add PNTSETUP)</t>
  </si>
  <si>
    <t>IC8-RN-SHELL-BK</t>
  </si>
  <si>
    <t>IC8-RN shell (empty IC8-RN cabinet) includes Hinge Kit - Black (suffix "-BK") or White (suffix "-WT")</t>
  </si>
  <si>
    <t>IC8-RN-SHELL-CC</t>
  </si>
  <si>
    <t>IC8-RN shell (empty IC8-RN cabinet) includes Hinge Kit  - Custom Color</t>
  </si>
  <si>
    <t>IC16-8-RN-SHELL-BK</t>
  </si>
  <si>
    <t>IC16-8-RN shell (empty IC16-8-RN cabinet) includes Hinge Kit - Black (suffix "-BK") or White (suffix "-WT")</t>
  </si>
  <si>
    <t>IC16-8-RN-SHELL-CC</t>
  </si>
  <si>
    <t>IC16-8-RN shell (empty IC16-8-RN cabinet) includes Hinge Kit - Custom Color</t>
  </si>
  <si>
    <t>IC16-RN-SHELL-BK</t>
  </si>
  <si>
    <t>IC16-RN shell (empty IC16-RN cabinet) includes Hinge Kit - Black (suffix "-BK") or White (suffix "-WT")</t>
  </si>
  <si>
    <t>IC16-RN-SHELL-CC</t>
  </si>
  <si>
    <t>IC16-RN shell (empty IC16-RN cabinet) includes Hinge Kit - Custom Color</t>
  </si>
  <si>
    <t>IC24-16-RN-SHELL-BK</t>
  </si>
  <si>
    <t>IC24-16-RN shell (empty IC24-16-RN cabinet) includes Hinge Kit - Black (suffix "-BK") or White (suffix "-WT")</t>
  </si>
  <si>
    <t>IC24-16-RN-SHELL-CC</t>
  </si>
  <si>
    <t>IC24-RN shell (empty IC24-RN cabinet) includes Hinge Kit - Custom Color</t>
  </si>
  <si>
    <t>IC24-RN-SHELL-BK</t>
  </si>
  <si>
    <t>IC24-RN shell (empty IC24-RN cabinet) includes Hinge Kit - Black (suffix "-BK") or White (suffix "-WT")</t>
  </si>
  <si>
    <t>IC24-RN-SHELL-CC</t>
  </si>
  <si>
    <t>IC32-24-RN-SHELL-BK</t>
  </si>
  <si>
    <t>IC32-24-RN shell (empty IC32-24-RN cabinet) includes Hinge Kit - Black (suffix "-BK") or White (suffix "-WT")</t>
  </si>
  <si>
    <t>IC32-24-RN-SHELL-CC</t>
  </si>
  <si>
    <t>IC32-24-RN shell (empty IC32-24-RN cabinet) includes Hinge Kit - Custom Color</t>
  </si>
  <si>
    <t>IC32-RN-SHELL-BK</t>
  </si>
  <si>
    <t>IC32-RN shell (empty IC32-RN cabinet) includes Hinge Kit - Black (suffix "-BK") or White (suffix "-WT")</t>
  </si>
  <si>
    <t>IC32-RN-SHELL-CC</t>
  </si>
  <si>
    <t>IC32-RN shell (empty IC32-RN cabinet) includes Hinge Kit - Custom Color</t>
  </si>
  <si>
    <t>One time setup charge for custom color paint.  NOTE: Fee is charged per color.</t>
  </si>
  <si>
    <t>SSG-IC8-RN</t>
  </si>
  <si>
    <t>Stainless Steel Outer Grill for IC8-RN. Multiply according to column - IC24 type column = 3 x SSG-IC8-RN</t>
  </si>
  <si>
    <t>SSG-IC16-8-RN</t>
  </si>
  <si>
    <t>Stainless Steel Outer Grill for IC16-8-RN</t>
  </si>
  <si>
    <t>ICTRIPODKITR</t>
  </si>
  <si>
    <t>ICONYX-R  stand mounting adapter kit; for tripod stand mounting of IC8-R  and IC16-R  columns</t>
  </si>
  <si>
    <t>48</t>
  </si>
  <si>
    <t>48 volt DC fail-over option</t>
  </si>
  <si>
    <t>RDO</t>
  </si>
  <si>
    <t>Fiberoptic input option for RD models only</t>
  </si>
  <si>
    <t>ICL-F-RN-BK</t>
  </si>
  <si>
    <t>ICL-F-RN Digitally Steerable Column - Black</t>
  </si>
  <si>
    <t>ICL-F-RN-WT</t>
  </si>
  <si>
    <t>ICL-F-RN Digitally Steerable Column - White</t>
  </si>
  <si>
    <t>ICL-F-RN-CC</t>
  </si>
  <si>
    <t>ICL-F-RN Digitally Steerable Column - Custom Color (add PNTSETUP)</t>
  </si>
  <si>
    <t>ICL-F-RD-BK</t>
  </si>
  <si>
    <t>ICL-F-RD With Dante - Black</t>
  </si>
  <si>
    <t>ICL-F-RD-WT</t>
  </si>
  <si>
    <t>ICL-F-RD With Dante - White</t>
  </si>
  <si>
    <t>ICL-F-RD-CC</t>
  </si>
  <si>
    <t>ICL-F-RD With Dante - Custom Color (add PNTSETUP)</t>
  </si>
  <si>
    <t>ICL-F-RS-BK</t>
  </si>
  <si>
    <t>ICL-F-RS Digitally Steerable Column AUX - Black</t>
  </si>
  <si>
    <t>ICL-F-RS-WT</t>
  </si>
  <si>
    <t>ICL-F-RS Digitally Steerable Column AUX - White</t>
  </si>
  <si>
    <t>ICL-F-RS-CC</t>
  </si>
  <si>
    <t>ICL-F-RS Digitally Steerable Column AUX - Custom Color (add PNTSETUP)</t>
  </si>
  <si>
    <t>ICL-LM-F-RS-BK</t>
  </si>
  <si>
    <t>ICL-LM-F-RS Digitally Steerable Column AUX - Black</t>
  </si>
  <si>
    <t>ICL-LM-F-RS-WT</t>
  </si>
  <si>
    <t>ICL-LM-F-RS Digitally Steerable Column AUX - White</t>
  </si>
  <si>
    <t>ICL-LM-F-RS-CC</t>
  </si>
  <si>
    <t>ICL-LM-F-RS Digitally Steerable Column AUX - Custom Color (add PNTSETUP)</t>
  </si>
  <si>
    <t>ICL-F-DUAL-RN-BK</t>
  </si>
  <si>
    <t>ICL-F-DUAL-RN Digitally Steerable Column - Black</t>
  </si>
  <si>
    <t>ICL-F-DUAL-RN-WT</t>
  </si>
  <si>
    <t>ICL-F-DUAL-RN Digitally Steerable Column - White</t>
  </si>
  <si>
    <t>ICL-F-DUAL-RN-CC</t>
  </si>
  <si>
    <t>ICL-F-DUAL-RN Digitally Steerable Column - Custom Color (add PNTSETUP)</t>
  </si>
  <si>
    <t>ICL-F-DUAL-RD-BK</t>
  </si>
  <si>
    <t>ICL-F-DUAL-RD With Dante - Black</t>
  </si>
  <si>
    <t>ICL-F-DUAL-RD-WT</t>
  </si>
  <si>
    <t>ICL-F-DUAL-RD With Dante - White</t>
  </si>
  <si>
    <t>ICL-F-DUAL-RD-CC</t>
  </si>
  <si>
    <t>ICL-F-DUAL-RD With Dante - Custom Color (add PNTSETUP)</t>
  </si>
  <si>
    <t>ICL-F-TRIP-RN-BK</t>
  </si>
  <si>
    <t>ICL-F-TRIP-RN Digitally Steerable Column - Black</t>
  </si>
  <si>
    <t>ICL-F-TRIP-RN-WT</t>
  </si>
  <si>
    <t>ICL-F-TRIP-RN Digitally Steerable Column - White</t>
  </si>
  <si>
    <t>ICL-F-TRIP-RN-CC</t>
  </si>
  <si>
    <t>ICL-F-TRIP-RN Digitally Steerable Column - Custom Color (add PNTSETUP)</t>
  </si>
  <si>
    <t>ICL-F-TRIP-RD-BK</t>
  </si>
  <si>
    <t>ICL-F-TRIP-RD With Dante - Black</t>
  </si>
  <si>
    <t>ICL-F-TRIP-RD-WT</t>
  </si>
  <si>
    <t>ICL-F-TRIP-RD With Dante - White</t>
  </si>
  <si>
    <t>ICL-F-TRIP-RD-CC</t>
  </si>
  <si>
    <t>ICL-F-TRIP-RD With Dante - Custom Color (add PNTSETUP)</t>
  </si>
  <si>
    <t>ICL-F-RN-BK-WR</t>
  </si>
  <si>
    <t>Weather Resistant ICL-F-RN Digitally Steerable Column - Black</t>
  </si>
  <si>
    <t>ICL-F-RN-WT-WR</t>
  </si>
  <si>
    <t>Weather Resistant ICL-F-RN Digitally Steerable Column - White</t>
  </si>
  <si>
    <t>ICL-F-RN-CC-WR</t>
  </si>
  <si>
    <t>Weather Resistant ICL-F-RN - Custom Color (add PNTSETUP)</t>
  </si>
  <si>
    <t>ICL-F-RD-BK-WR</t>
  </si>
  <si>
    <t>Weather Resistant ICL-F-RD with Dante  - Black</t>
  </si>
  <si>
    <t>ICL-F-RD-WT-WR</t>
  </si>
  <si>
    <t>Weather Resistant ICL-F-RD with Dante  - White</t>
  </si>
  <si>
    <t>ICL-F-RD-CC-WR</t>
  </si>
  <si>
    <t>Weather Resistant ICL-F-RD with Dante  - Custom Color (add PNTSETUP)</t>
  </si>
  <si>
    <t>ICL-F-RS-BK-WR</t>
  </si>
  <si>
    <t>Weather Resistant ICL-F-RS AUX - Black</t>
  </si>
  <si>
    <t>ICL-F-RS-WT-WR</t>
  </si>
  <si>
    <t>Weather Resistant ICL-F-RS AUX - White</t>
  </si>
  <si>
    <t>ICL-F-RS-CC-WR</t>
  </si>
  <si>
    <t>Weather Resistant ICL-F-RS AUX - Custom Color (add PNTSETUP)</t>
  </si>
  <si>
    <t>ICL-LM-F-RS-BK-WR</t>
  </si>
  <si>
    <t>Weather Resistant ICL-F-LM-RS AUX - Black</t>
  </si>
  <si>
    <t>ICL-LM-F-RS-WT-WR</t>
  </si>
  <si>
    <t>Weather Resistant ICL-F-LM-RS AUX - White</t>
  </si>
  <si>
    <t>ICL-LM-F-RS-CC-WR</t>
  </si>
  <si>
    <t>Weather Resistant ICL-F-LM-RS AUX - Custom Color (add PNTSETUP)</t>
  </si>
  <si>
    <t>ICL-F-DUAL-RN-BK-WR</t>
  </si>
  <si>
    <t>Weather Resistant ICL-F-DUAL-RN - Black</t>
  </si>
  <si>
    <t>ICL-F-DUAL-RN-WT-WR</t>
  </si>
  <si>
    <t>Weather Resistant ICL-F-DUAL-RN - White</t>
  </si>
  <si>
    <t>ICL-F-DUAL-RN-CC-WR</t>
  </si>
  <si>
    <t>Weather Resistant ICL-F-DUAL-RN - Custom Color (add PNTSETUP)</t>
  </si>
  <si>
    <t>ICL-F-DUAL-RD-BK-WR</t>
  </si>
  <si>
    <t>Weather Resistant ICL-F-DUAL-RD with Dante  - Black</t>
  </si>
  <si>
    <t>ICL-F-DUAL-RD-WT-WR</t>
  </si>
  <si>
    <t>Weather Resistant ICL-F-DUAL-RD with Dante  - White</t>
  </si>
  <si>
    <t>ICL-F-DUAL-RD-CC-WR</t>
  </si>
  <si>
    <t>Weather Resistant ICL-F-DUAL-RD with Dante  - Custom Color (add PNTSETUP)</t>
  </si>
  <si>
    <t>ICL-F-TRIP-RN-BK-WR</t>
  </si>
  <si>
    <t>Weather Resistant ICL-F-TRIP-RN Digitally Steerable Column - Black</t>
  </si>
  <si>
    <t>ICL-F-TRIP-RN-WT-WR</t>
  </si>
  <si>
    <t>Weather Resistant ICL-F-TRIP-RN Digitally Steerable Column - White</t>
  </si>
  <si>
    <t>ICL-F-TRIP-RN-CC-WR</t>
  </si>
  <si>
    <t>Weather Resistant ICL-F-TRIP-RN Digitally Steerable Column - Custom Color (add PNTSETUP)</t>
  </si>
  <si>
    <t>ICL-F-TRIP-RD-BK-WR</t>
  </si>
  <si>
    <t>Weather Resistant ICL-F-TRIP-RD with Dante  - Black</t>
  </si>
  <si>
    <t>ICL-F-TRIP-RD-WT-WR</t>
  </si>
  <si>
    <t>Weather Resistant ICL-F-TRIP-RD with Dante  - White</t>
  </si>
  <si>
    <t>ICL-F-TRIP-RD-CC-WR</t>
  </si>
  <si>
    <t>Weather Resistant ICL-F-TRIP-RD with Dante  - Custom Color (add PNTSETUP)</t>
  </si>
  <si>
    <t>SSG-ICL-F</t>
  </si>
  <si>
    <t>Stainless Steel Inner and Outer Grills for ICL-FR for use in harsh environments. Multiply according to column - DUAL = 2 x SSG-ICL-F</t>
  </si>
  <si>
    <t>WE0004</t>
  </si>
  <si>
    <t>Forged Eyebolt, M10 Metric threads (for hanging ICL-FR Arrays) sold singly</t>
  </si>
  <si>
    <t>ICLX-RN-BK</t>
  </si>
  <si>
    <t>Compact, High Output Steerable Array Module with RHAON, Black</t>
  </si>
  <si>
    <t>ICLX-RN-WT</t>
  </si>
  <si>
    <t>Compact, High Output Steerable Array Module with RHAON, White</t>
  </si>
  <si>
    <t>ICLX-RN-CC</t>
  </si>
  <si>
    <t>Compact, High Output Steerable Array Module with RHAON, Custom Color</t>
  </si>
  <si>
    <t>ICLX-RD-BK</t>
  </si>
  <si>
    <t>Compact, High Output Steerable Array Module w/RHAON &amp; Dante, Black</t>
  </si>
  <si>
    <t>ICLX-RD-WT</t>
  </si>
  <si>
    <t>Compact, High Output Steerable Array Module w/RHAON &amp; Dante, White</t>
  </si>
  <si>
    <t>ICLXL-RN-BK</t>
  </si>
  <si>
    <t>ICLXL-RN-WT</t>
  </si>
  <si>
    <t>ICLXL-RN-CC</t>
  </si>
  <si>
    <t>ICLXL-RD-BK</t>
  </si>
  <si>
    <t>ICLXL-RD-WT</t>
  </si>
  <si>
    <t>ICLXL-RD-CC</t>
  </si>
  <si>
    <t>Compact, High Output Steerable Array Module w/RHAON &amp; Dante, Custom Color</t>
  </si>
  <si>
    <t>ICLLX-RN-BK</t>
  </si>
  <si>
    <t>ICLLX-RN-WT</t>
  </si>
  <si>
    <t>ICLLX-RN-CC</t>
  </si>
  <si>
    <t>ICLLX-RD-BK</t>
  </si>
  <si>
    <t>ICLLX-RD-WT</t>
  </si>
  <si>
    <t>ICLLX-RD-CC</t>
  </si>
  <si>
    <t>ICLX-118S-RN-BK</t>
  </si>
  <si>
    <t>Compact, High Output LF/SUB Array Module with RHAON, Black</t>
  </si>
  <si>
    <t>ICLX-118S-RN-WT</t>
  </si>
  <si>
    <t>Compact, High Output LF/SUB Array Module with RHAON, White</t>
  </si>
  <si>
    <t>ICLX-118S-RN-CC</t>
  </si>
  <si>
    <t>Compact, High Output LF/SUB Array Module with RHAON, Custom Color</t>
  </si>
  <si>
    <t>ICLX-118S-RD-BK</t>
  </si>
  <si>
    <t>Compact, High Output LF/SUB Array Module w/RHAON &amp; Dante, Black</t>
  </si>
  <si>
    <t>ICLX-118S-RD-WT</t>
  </si>
  <si>
    <t>Compact, High Output LF/SUB Array Module w/RHAON &amp; Dante, White</t>
  </si>
  <si>
    <t>ICLX-118S-RD-CC</t>
  </si>
  <si>
    <t>Compact, High Output LF/SUB Array Module w/RHAON &amp; Dante, Custom Color</t>
  </si>
  <si>
    <t>CASTERS-ICLX118S</t>
  </si>
  <si>
    <t>Caster kit for ICLX-118S</t>
  </si>
  <si>
    <t>ICLX-QRP-KIT</t>
  </si>
  <si>
    <t xml:space="preserve">Replacement ICLive X Quick Release Pin kit for mobile use of all cabinets. 3 pins per kit. </t>
  </si>
  <si>
    <t>HK-ICLX (B or W)</t>
  </si>
  <si>
    <t>Hinge kit (pair) for ICL-X/XL/LX. Black "B" or White "W". Note: Because of close-to-wall fit, will only work with INSTALL versions (not XLR)</t>
  </si>
  <si>
    <t>HK-ICLX1 (B or W)</t>
  </si>
  <si>
    <t>Hinge kit (single) for ICL-X/XL/LX. Black "B" or White "W". Note: Because of close-to-wall fit, will only work with INSTALL versions (not XLR)</t>
  </si>
  <si>
    <t>HK-ICLX-CC</t>
  </si>
  <si>
    <t>Hinge kit (pair) for ICL-X/XL/LX. Custom Color. Note: Because of close-to-wall fit, will only work with INSTALL versions (not XLR)</t>
  </si>
  <si>
    <t>HK-ICLX1-CC</t>
  </si>
  <si>
    <t>Hinge kit (single) for ICL-X/XL/LX. Custom Color. Note: Because of close-to-wall fit, will only work with INSTALL versions (not XLR)</t>
  </si>
  <si>
    <t>RHANG-ICLX</t>
  </si>
  <si>
    <t>Flybar for ICLX, ICLXL, and ICLLX arrays</t>
  </si>
  <si>
    <t>ICLX-GSA (B or W)</t>
  </si>
  <si>
    <t>Black Ground Stack Adapter physically mates ICLive X arrays directly to most Renkus-Heinz subwoofers using magnetically attached M20 Threaded Hand-Screw, allowing simple, safe ground stacks of ICLive X systems. Add "B" for black and "W" for white.
See user manual for more details.</t>
  </si>
  <si>
    <t>ICLX-GSA-SP</t>
  </si>
  <si>
    <t xml:space="preserve">Steel and plywood stability plate for ground stacking ICLX Arrays without Renkus-Heinz subwoofers. </t>
  </si>
  <si>
    <t>DOLLY-ICLX</t>
  </si>
  <si>
    <t>Transportation dolly for 4 or 8 ICLX cabinets designed to standard truck-pack dimensions for mobile ICLive X systems. See user manual.</t>
  </si>
  <si>
    <t>CBL-XLR-L1</t>
  </si>
  <si>
    <t>Looping cable, XLR-M to XLR-F, 21.5 in. / 546 mm long, for analog and AES audio interconnection</t>
  </si>
  <si>
    <t>CBL-DLK-L1</t>
  </si>
  <si>
    <t>Looping cable, EtherCON to EtherCON, 21.5 in. / 546 mm long, for data interconnection</t>
  </si>
  <si>
    <t>CBL-PWRLK-L1</t>
  </si>
  <si>
    <t>Looping cable, PowerCON True 1 to PowerCON True 1, 21.5 in. / 546 mm long, for power interconnection</t>
  </si>
  <si>
    <t>CBL-XLR-L2</t>
  </si>
  <si>
    <t>Looping cable, XLR-M to XLR-F, 48 in. / 1220 mm long, for analog and AES audio interconnection</t>
  </si>
  <si>
    <t>CBL-DLK-L2</t>
  </si>
  <si>
    <t>Looping cable, EtherCON to EtherCON, 48 in. / 1220 mm long, for data interconnection</t>
  </si>
  <si>
    <t>CBL-PWRLK-L2</t>
  </si>
  <si>
    <t>Looping cable, PowerCON True 1 to PowerCON True 1, 48 in. / 1220 mm long, for power interconnection</t>
  </si>
  <si>
    <t>COVER-ICLX</t>
  </si>
  <si>
    <t>Transportation Cover for ICLX</t>
  </si>
  <si>
    <t>COVER-ICLXL</t>
  </si>
  <si>
    <t>Transportation Cover for ICLXL</t>
  </si>
  <si>
    <t>COVER-ICLLX</t>
  </si>
  <si>
    <t>Transportation Cover for ICLLX</t>
  </si>
  <si>
    <t>COVER-ICLX-118S</t>
  </si>
  <si>
    <t>Transportation Cover for ICLX-118S or SA/SX118S</t>
  </si>
  <si>
    <t>ICLX-RN-BK-WR</t>
  </si>
  <si>
    <t>WR-Compact, High Output Steerable Array Module with RHAON, Black</t>
  </si>
  <si>
    <t>ICLX-RN-WT-WR</t>
  </si>
  <si>
    <t>WR-Compact, High Output Steerable Array Module with RHAON, White</t>
  </si>
  <si>
    <t>ICLX-RN-CC-WR</t>
  </si>
  <si>
    <t>WR-Compact, High Output Steerable Array Module with RHAON, Custom Color</t>
  </si>
  <si>
    <t>ICLX-RD-BK-WR</t>
  </si>
  <si>
    <t>WR-Compact, High Output Steerable Array Module w/RHAON &amp; Dante, Black</t>
  </si>
  <si>
    <t>ICLX-RD-WT-WR</t>
  </si>
  <si>
    <t>WR-Compact, High Output Steerable Array Module w/RHAON &amp; Dante, White</t>
  </si>
  <si>
    <t>ICLX-RD-CC-WR</t>
  </si>
  <si>
    <t>WR-Compact, High Output Steerable Array Module w/RHAON &amp; Dante, Cust. Color</t>
  </si>
  <si>
    <t>ICLXL-RN-BK-WR</t>
  </si>
  <si>
    <t>ICLXL-RN-WT-WR</t>
  </si>
  <si>
    <t>ICLXL-RN-CC-WR</t>
  </si>
  <si>
    <t>ICLXL-RD-BK-WR</t>
  </si>
  <si>
    <t>ICLXL-RD-WT-WR</t>
  </si>
  <si>
    <t>ICLXL-RD-CC-WR</t>
  </si>
  <si>
    <t>WR-Compact, High Output Steerable Array Module w/RHAON &amp; Dante, Custom Color</t>
  </si>
  <si>
    <t>ICLLX-RN-BK-WR</t>
  </si>
  <si>
    <t>ICLLX-RN-WT-WR</t>
  </si>
  <si>
    <t>ICLLX-RN-CC-WR</t>
  </si>
  <si>
    <t>ICLLX-RD-BK-WR</t>
  </si>
  <si>
    <t>ICLLX-RD-WT-WR</t>
  </si>
  <si>
    <t>ICLLX-RD-CC-WR</t>
  </si>
  <si>
    <t>ICLX-118S-RN-BK-WR</t>
  </si>
  <si>
    <t>WR-Compact, High Output LF/SUB Array Module with RHAON, Black</t>
  </si>
  <si>
    <t>ICLX-118S-RN-WT-WR</t>
  </si>
  <si>
    <t>WR-Compact, High Output LF/SUB Array Module with RHAON, White</t>
  </si>
  <si>
    <t>ICLX-118S-RN-CC-WR</t>
  </si>
  <si>
    <t>WR-Compact, High Output LF/SUB Array Module with RHAON, Custom Color</t>
  </si>
  <si>
    <t>ICLX-118S-RD-BK-WR</t>
  </si>
  <si>
    <t>WR-Compact, High Output LF/SUB Array Module w/RHAON &amp; Dante, Black</t>
  </si>
  <si>
    <t>ICLX-118S-RD-WT-WR</t>
  </si>
  <si>
    <t>WR-Compact, High Output LF/SUB Array Module w/RHAON &amp; Dante, White</t>
  </si>
  <si>
    <t>ICLX-118S-RD-CC-WR</t>
  </si>
  <si>
    <t>WR-Compact, High Output LF/SUB Array Module w/RHAON &amp; Dante, Cust. Color</t>
  </si>
  <si>
    <t>VX101-7/6</t>
  </si>
  <si>
    <t>Non-Powered, requires bi-amplification, 60° waveguide</t>
  </si>
  <si>
    <t>VX101-7/9</t>
  </si>
  <si>
    <t>Non-Powered, requires bi-amplification, 90° waveguide</t>
  </si>
  <si>
    <t>VX101-7/12</t>
  </si>
  <si>
    <t>Non-Powered, requires bi-amplification, 120° waveguide</t>
  </si>
  <si>
    <t>VX101-7/69</t>
  </si>
  <si>
    <t>Non-Powered, requires bi-amplification, 60° to 90° waveguide</t>
  </si>
  <si>
    <t>VX101-7/912</t>
  </si>
  <si>
    <t>Non-Powered, requires bi-amplification, 90° to 120° waveguide</t>
  </si>
  <si>
    <t>VA101-7/6-RN</t>
  </si>
  <si>
    <t>Powered, SA1250-RN with RHAON, 60° waveguide</t>
  </si>
  <si>
    <t>VA101-7/9-RN</t>
  </si>
  <si>
    <t>Powered, SA1250-RN with RHAON, 90° waveguide</t>
  </si>
  <si>
    <t>VA101-7/12-RN</t>
  </si>
  <si>
    <t>Powered, SA1250-RN with RHAON, 120° waveguide</t>
  </si>
  <si>
    <t>VA101-7/69-RN</t>
  </si>
  <si>
    <t>Powered, SA1250-RN with RHAON, 60° to 90° waveguide</t>
  </si>
  <si>
    <t>VA101-7/912-RN</t>
  </si>
  <si>
    <t>Powered, SA1250-RN with RHAON, 90° to 120° waveguide</t>
  </si>
  <si>
    <t>VA101-7/6-RD</t>
  </si>
  <si>
    <t>Powered, SA1250-RD w/ RHAON &amp; Dante Redundant, 60° waveguide</t>
  </si>
  <si>
    <t>VA101-7/9-RD</t>
  </si>
  <si>
    <t>Powered, SA1250-RD w/ RHAON &amp; Dante Redundant, 90° waveguide</t>
  </si>
  <si>
    <t>VA101-7/12-RD</t>
  </si>
  <si>
    <t>Powered, SA1250-RD w/ RHAON &amp; Dante Redundant, 120° waveguide</t>
  </si>
  <si>
    <t>VA101-7/69-RD</t>
  </si>
  <si>
    <t>Powered, SA1250-RD w/ RHAON &amp; Dante Redundant, 60° to 90° waveguide</t>
  </si>
  <si>
    <t>VA101-7/912-RD</t>
  </si>
  <si>
    <t>Powered, SA1250-RD w/ RHAON &amp; Dante Redundant, 90° to 120° waveguide</t>
  </si>
  <si>
    <t>VA101-PASSX</t>
  </si>
  <si>
    <t>Fully Passive Crossover Network Option for VARIA</t>
  </si>
  <si>
    <t>VA101-CN-M1</t>
  </si>
  <si>
    <t>VA101-7 Cabinet Connector Kit for 3°, 4.5° and 6° intercabinet angles</t>
  </si>
  <si>
    <t>VA101-CN-M2</t>
  </si>
  <si>
    <t>VA101-7 Cabinet Connector Kit for 0°, 1.5° and 3° intercabinet angles</t>
  </si>
  <si>
    <t>VX101-15/6</t>
  </si>
  <si>
    <t>VX101-15/9</t>
  </si>
  <si>
    <t>VX101-15/12</t>
  </si>
  <si>
    <t>VX101-15/69</t>
  </si>
  <si>
    <t>VX101-15/912</t>
  </si>
  <si>
    <t>VA101-15/6-RN</t>
  </si>
  <si>
    <t>VA101-15/9-RN</t>
  </si>
  <si>
    <t>VA101-15/12-RN</t>
  </si>
  <si>
    <t>VA101-15/69-RN</t>
  </si>
  <si>
    <t>VA101-15/912-RN</t>
  </si>
  <si>
    <t>VA101-15/6-RD</t>
  </si>
  <si>
    <t>VA101-15/9-RD</t>
  </si>
  <si>
    <t>VA101-15/12-RD</t>
  </si>
  <si>
    <t>VA101-15/69-RD</t>
  </si>
  <si>
    <t>VA101-15/912-RD</t>
  </si>
  <si>
    <t>VX101-22/6</t>
  </si>
  <si>
    <t>VX101-22/9</t>
  </si>
  <si>
    <t>VX101-22/12</t>
  </si>
  <si>
    <t>VX101-22/69</t>
  </si>
  <si>
    <t>VX101-22/912</t>
  </si>
  <si>
    <t>VX101-22/75A</t>
  </si>
  <si>
    <t>Non-Powered, requires bi-amplification, 75° asymmetric waveguide</t>
  </si>
  <si>
    <t>VA101-22/6-RN</t>
  </si>
  <si>
    <t>VA101-22/9-RN</t>
  </si>
  <si>
    <t>VA101-22/12-RN</t>
  </si>
  <si>
    <t>VA101-22/69-RN</t>
  </si>
  <si>
    <t>VA101-22/912-RN</t>
  </si>
  <si>
    <t>VA101-22/75A-RN</t>
  </si>
  <si>
    <t>Powered, SA1250-RN with RHAON, 75° asymmetric waveguide</t>
  </si>
  <si>
    <t>VA101-22/6-RD</t>
  </si>
  <si>
    <t>VA101-22/9-RD</t>
  </si>
  <si>
    <t>VA101-22/12-RD</t>
  </si>
  <si>
    <t>VA101-22/69-RD</t>
  </si>
  <si>
    <t>VA101-22/912-RD</t>
  </si>
  <si>
    <t>VA101-22/75A-RD</t>
  </si>
  <si>
    <t>Powered, SA1250-RD w/ RHAON &amp; Dante Redundant, 75° asymmetric waveguide</t>
  </si>
  <si>
    <t>VX15S</t>
  </si>
  <si>
    <t>Non-Powered, 800 W Pgm @ 8 Ohms</t>
  </si>
  <si>
    <t>VA15S-RN</t>
  </si>
  <si>
    <t>Powered, SA1250-RN with RHAON</t>
  </si>
  <si>
    <t>VA15S-RD</t>
  </si>
  <si>
    <t>Powered, SA1250-RD w/ RHAON &amp; Dante Redundant</t>
  </si>
  <si>
    <t>VX101-7/6-WR</t>
  </si>
  <si>
    <t>VX101-7/9-WR</t>
  </si>
  <si>
    <t>VX101-7/12-WR</t>
  </si>
  <si>
    <t>VX101-7/69-WR</t>
  </si>
  <si>
    <t>VX101-7/912-WR</t>
  </si>
  <si>
    <t>VA101-7/6-RN-WR</t>
  </si>
  <si>
    <t>VA101-7/9-RN-WR</t>
  </si>
  <si>
    <t>VA101-7/12-RN-WR</t>
  </si>
  <si>
    <t>VA101-7/69-RN-WR</t>
  </si>
  <si>
    <t>VA101-7/912-RN-WR</t>
  </si>
  <si>
    <t>VA101-7/6-RD-WR</t>
  </si>
  <si>
    <t>VA101-7/9-RD-WR</t>
  </si>
  <si>
    <t>VA101-7/12-RD-WR</t>
  </si>
  <si>
    <t>VA101-7/69-RD-WR</t>
  </si>
  <si>
    <t>VA101-7/912-RD-WR</t>
  </si>
  <si>
    <t>VX101-15/6-WR</t>
  </si>
  <si>
    <t>VX101-15/9-WR</t>
  </si>
  <si>
    <t>VX101-15/12-WR</t>
  </si>
  <si>
    <t>VX101-15/69-WR</t>
  </si>
  <si>
    <t>VX101-15/912-WR</t>
  </si>
  <si>
    <t>VA101-15/6-RN-WR</t>
  </si>
  <si>
    <t>VA101-15/9-RN-WR</t>
  </si>
  <si>
    <t>VA101-15/12-RN-WR</t>
  </si>
  <si>
    <t>VA101-15/69-RN-WR</t>
  </si>
  <si>
    <t>VA101-15/912-RN-WR</t>
  </si>
  <si>
    <t>VA101-15/6-RD-WR</t>
  </si>
  <si>
    <t>VA101-15/9-RD-WR</t>
  </si>
  <si>
    <t>VA101-15/12-RD-WR</t>
  </si>
  <si>
    <t>VA101-15/69-RD-WR</t>
  </si>
  <si>
    <t>VA101-15/912-RD-WR</t>
  </si>
  <si>
    <t>VX101-22/6-WR</t>
  </si>
  <si>
    <t>VX101-22/9-WR</t>
  </si>
  <si>
    <t>VX101-22/12-WR</t>
  </si>
  <si>
    <t>VX101-22/69-WR</t>
  </si>
  <si>
    <t>VX101-22/912-WR</t>
  </si>
  <si>
    <t>VX101-22/75A-WR</t>
  </si>
  <si>
    <t>VA101-22/6-RN-WR</t>
  </si>
  <si>
    <t>VA101-22/9-RN-WR</t>
  </si>
  <si>
    <t>VA101-22/12-RN-WR</t>
  </si>
  <si>
    <t>VA101-22/69-RN-WR</t>
  </si>
  <si>
    <t>VA101-22/912-RN-WR</t>
  </si>
  <si>
    <t>VA101-22/75A-RN-WR</t>
  </si>
  <si>
    <t>VA101-22/6-RD-WR</t>
  </si>
  <si>
    <t>VA101-22/9-RD-WR</t>
  </si>
  <si>
    <t>VA101-22/12-RD-WR</t>
  </si>
  <si>
    <t>VA101-22/69-RD-WR</t>
  </si>
  <si>
    <t>VA101-22/912-RD-WR</t>
  </si>
  <si>
    <t>VA101-22/75A-RD-WR</t>
  </si>
  <si>
    <t>VX15S-WR</t>
  </si>
  <si>
    <t>VA15S-RN-WR</t>
  </si>
  <si>
    <t>VA15S-RD-WR</t>
  </si>
  <si>
    <t>RHANG-VA101B (or W)</t>
  </si>
  <si>
    <t>Flying Frame for VARIA Arrays</t>
  </si>
  <si>
    <t>RHANG-VA101HB (or W)</t>
  </si>
  <si>
    <t>Array Hardware for VARIA Horizontal Arrays - Use one kit for 2 wide array, two kits for 3,4 &amp;5 wide</t>
  </si>
  <si>
    <t>VA101-CN-MPS</t>
  </si>
  <si>
    <t>VARIA Modular Point Source Cabinet Connector Kit for tight pack - Supplied with each cabinet</t>
  </si>
  <si>
    <t>VA101-CN-RPK</t>
  </si>
  <si>
    <t>VARAI Rear Pick Bar - For applications requiring additional pull back</t>
  </si>
  <si>
    <t>M10 eyebolts</t>
  </si>
  <si>
    <t>Custom paint fee - charged per cabinet</t>
  </si>
  <si>
    <t>CUSTPNT-RHANG</t>
  </si>
  <si>
    <t>Custom color paint for RHANG hardware</t>
  </si>
  <si>
    <t>PNX102/LA</t>
  </si>
  <si>
    <t>Non-Powered, biamped, LF 400 W Pgm @ 16 Ohms, HF 100 W Pgm @ 16 Ohms</t>
  </si>
  <si>
    <t>PN102/LA-RN</t>
  </si>
  <si>
    <t>Self-Powered with RHAON,  includes SA1250-RN Amp Module</t>
  </si>
  <si>
    <t>PN102/LA-RD</t>
  </si>
  <si>
    <t>Self-Powered with RHAON &amp; DANTE,  includes SA1250-RD Amp Module</t>
  </si>
  <si>
    <t>PNX102/LA-W</t>
  </si>
  <si>
    <t>Weather Resistant PNX102/LA</t>
  </si>
  <si>
    <t>PN102/LA-RN-WR</t>
  </si>
  <si>
    <t>Powered, with DANTE,  includes SA1250-RD Amp Module</t>
  </si>
  <si>
    <t>PN102/LA-RD-WR</t>
  </si>
  <si>
    <t>Weather Resistant PN102/LA-RD</t>
  </si>
  <si>
    <t>QUIKPIN-2.5</t>
  </si>
  <si>
    <t>Quick release pin for for ST/STLA/9 and PN/PNX102LA line arrays</t>
  </si>
  <si>
    <t>IB0002</t>
  </si>
  <si>
    <t>Four point touring hardware to meet German BGV-C1 Standard</t>
  </si>
  <si>
    <t>RHANG-102LA</t>
  </si>
  <si>
    <t>Top flybar for PN / PNX102LA.  One required for each array, holds up to 12 cabinets.  Meets BGV-C1 Standard</t>
  </si>
  <si>
    <t>DOLLY-102LA</t>
  </si>
  <si>
    <t>Transport Dolly with heavy-duty casters.  Carries up to four PN/PNX102LA</t>
  </si>
  <si>
    <t>COVER-102LA</t>
  </si>
  <si>
    <t>1/2" Padded Transportation Cover for a four tall PN/PNX102LA Array on DOLLY-102LA</t>
  </si>
  <si>
    <t>Non-Powered, 300W AES @ 8 ohms, Sensitivity 99 dB, 1W/1m, half space</t>
  </si>
  <si>
    <t>SX28-WR</t>
  </si>
  <si>
    <t>Weather Resistant (WR) SX28</t>
  </si>
  <si>
    <t>SA28-RN</t>
  </si>
  <si>
    <t>Self-Powered with RHAON, SA1250-RN</t>
  </si>
  <si>
    <t>SA28-RN-WR</t>
  </si>
  <si>
    <t>Weather Resistant (WR), Self-Powered with RHAON, SA1250-RN</t>
  </si>
  <si>
    <t>SA28-RD</t>
  </si>
  <si>
    <t>Self-Powered with RHAON &amp; Dante Redundant, SA1250-RD</t>
  </si>
  <si>
    <t>SA28-RD-WR</t>
  </si>
  <si>
    <t>Weather Resistant (WR), Self-Powered with RHAON &amp; Dante Redundant, SA1250-RD</t>
  </si>
  <si>
    <t>Non-Powered, 500W AES @ 8 ohms, Sensitivity 102 dB, 1W/1m, half space</t>
  </si>
  <si>
    <t>SX112-WR</t>
  </si>
  <si>
    <t>Weather Resistant (WR) SX112</t>
  </si>
  <si>
    <t>SA112-RN</t>
  </si>
  <si>
    <t>Self-Powered with RHAON, SA2000-RN</t>
  </si>
  <si>
    <t>SA112-RN-WR</t>
  </si>
  <si>
    <t>Weather resistant (WR), Self-Powered with RHAON, SA2000-RN</t>
  </si>
  <si>
    <t>SA112-RD</t>
  </si>
  <si>
    <t>Self-Powered with RHAON &amp; Dante Redundant, SA2000-RD</t>
  </si>
  <si>
    <t>SA112-RD-WR</t>
  </si>
  <si>
    <t>Weather resistant (WR), Self-Powered with RHAON &amp; Dante Redundant, SA2000-RD</t>
  </si>
  <si>
    <t>Non-Powered, 700W AES @ 8 ohms, Sensitivity 104 dB, 1W/1m, half space</t>
  </si>
  <si>
    <t>SX118-WR</t>
  </si>
  <si>
    <t>Weather Resistant (WR) SX118</t>
  </si>
  <si>
    <t>SA118-RN</t>
  </si>
  <si>
    <t>SA118-RN-WR</t>
  </si>
  <si>
    <t>SA118-RD</t>
  </si>
  <si>
    <t>SA118-RD-WR</t>
  </si>
  <si>
    <t>IC215S-FR-RN</t>
  </si>
  <si>
    <t>ICLive Fixed Install Dual 15-inch band-pass Subwoofer with RHAON  - Specify 115V or 230V</t>
  </si>
  <si>
    <t>IC215S-FR-RD</t>
  </si>
  <si>
    <t>ICLive Install Dual 15-inch band-pass Sub with RHAON &amp; Dante Redundant  - Specify 115V or 230V</t>
  </si>
  <si>
    <t>IC215S-FR-RN-WR</t>
  </si>
  <si>
    <t>Weather Resistant IC215S-FR-RN</t>
  </si>
  <si>
    <t>IC215S-FR-RD-WR</t>
  </si>
  <si>
    <t>Weather Resistant IC215S-FR-RD</t>
  </si>
  <si>
    <t>DRS18-2B</t>
  </si>
  <si>
    <t>Non-Powered, 1600 W Pgm @ 4 Ohms</t>
  </si>
  <si>
    <t>DRS18-2B-WR</t>
  </si>
  <si>
    <t>Weather resistant (WR), Non-Powered, 1600 W Pgm @ 4 Ohms</t>
  </si>
  <si>
    <t>DR18-2B-A</t>
  </si>
  <si>
    <t>Self-powered, SA2000-A Amp - Analog Input Only</t>
  </si>
  <si>
    <t>DR18-2B-A-WR</t>
  </si>
  <si>
    <t>Weather resistant (WR)Self-powered, SA2000-A Amp - Analog Input Only</t>
  </si>
  <si>
    <t>DR18-2B-RN</t>
  </si>
  <si>
    <t>Self-powered, SA2000-RN Amp - Analog or AES/EBU - RHAON II Network &amp; DSP Control</t>
  </si>
  <si>
    <t>DR18-2B-RN-WR</t>
  </si>
  <si>
    <t>Weather resistant (WR), Self-powered, SA2000-RN Amp - Analog or AES/EBU - RHAON II Network &amp; DSP Control</t>
  </si>
  <si>
    <t>DR18-2B-RD</t>
  </si>
  <si>
    <t>Self-powered, SA2000-RD Amp, Analog or AES/EBU - RHAON II Network &amp; DSP Control,  Dante Redundant</t>
  </si>
  <si>
    <t>DR18-2B-RD-WR</t>
  </si>
  <si>
    <t>Weather resistant (WR), Self-powered, SA2000-RD Amp, Analog or AES/EBU - RHAON II Network &amp; DSP Control,  Dante Redundant</t>
  </si>
  <si>
    <t>PNX212-SUB</t>
  </si>
  <si>
    <t>Non-Powered, 800 W Pgm @ 4 Ohms</t>
  </si>
  <si>
    <t>PNX212-SUB-WR</t>
  </si>
  <si>
    <t>Weather resistant (WR), Non-Powered, 800 W Pgm @ 4 Ohms</t>
  </si>
  <si>
    <t>PN212-SUB-A</t>
  </si>
  <si>
    <t>Self-powered, SA1250-A Amp - Analog Input Only</t>
  </si>
  <si>
    <t>PN212-SUB-A-WR</t>
  </si>
  <si>
    <t>Weather resistant (WR)Self-powered, SA1250-A Amp - Analog Input Only</t>
  </si>
  <si>
    <t>PN212-SUB-RN</t>
  </si>
  <si>
    <t>Self-powered, SA1250-RN Amp - Analog or AES/EBU - RHAON II Network &amp; DSP Control</t>
  </si>
  <si>
    <t>PN212-SUB-RN-WR</t>
  </si>
  <si>
    <t>Weather resistant (WR), Self-powered, SA1250-RN Amp - Analog or AES/EBU - RHAON II Network &amp; DSP Control</t>
  </si>
  <si>
    <t>PN212-SUB-RD</t>
  </si>
  <si>
    <t>Self-powered, SA1250-RD Amp - Analog or AES/EBU -RHAON II Network &amp; DSP Control,  Dante Redundant</t>
  </si>
  <si>
    <t>PN212-SUB-RD-WR</t>
  </si>
  <si>
    <t>Weather resistant (WR), Self-powered, SA1250-RD Amp - Analog or AES/EBU - RHAON II Network &amp; DSP Control,  Dante Redundant</t>
  </si>
  <si>
    <t>CASTERS</t>
  </si>
  <si>
    <t>Kit of 4x Casters for subwoofer except S112 &amp; S28</t>
  </si>
  <si>
    <t>COVER-DR18-2</t>
  </si>
  <si>
    <t>Padded transportation cover for the DR18-2R</t>
  </si>
  <si>
    <t>Stainless Steel Grill upgrade option for all dual 8", single 12", 15" and 18" WR option subwoofers</t>
  </si>
  <si>
    <t>SSG003</t>
  </si>
  <si>
    <t>Stainless Steel Grill upgrade option for all dual 12", 15" and 18" WR option subwoofers</t>
  </si>
  <si>
    <t>Custom Color paint (supply 2 color samples) for SA/SX28 &amp; SA/SX112: Add to cost of each loudspeaker</t>
  </si>
  <si>
    <t>Custom Color paint (supply 2 color samples) for PN/PNX212-SUB: Add to cost of loudspeaker</t>
  </si>
  <si>
    <t>CUSTPNT4</t>
  </si>
  <si>
    <t>Custom Color paint (supply 2 color samples) for SA/SX118, IC215S-FR, and DR/DRS18-2: Add to cost of each loudspeaker</t>
  </si>
  <si>
    <t>SA625-A</t>
  </si>
  <si>
    <t>Bi-amp 625W (500Wx125W) Class D - Analog Input Only</t>
  </si>
  <si>
    <t>SA625-RN</t>
  </si>
  <si>
    <t>Bi-amp 625W (500Wx125W) Class D - Analog or AES/EBU - RHAON II Network &amp; DSP Control</t>
  </si>
  <si>
    <t xml:space="preserve">SA625-RD </t>
  </si>
  <si>
    <t>Bi-amp 625W (500Wx125W) Class D - Analog or AES/EBU - RHAON II Network &amp; DSP Control,  Dante Redundant</t>
  </si>
  <si>
    <t>SA1250-A</t>
  </si>
  <si>
    <t>Bi-amp 1250W (1000Wx250W) Class D - Analog Input Only</t>
  </si>
  <si>
    <t>SA1250-RN</t>
  </si>
  <si>
    <t>Bi-amp 1250W (1000Wx250W) Class D - Analog or AES/EBU - RHAON II Network &amp; DSP Control</t>
  </si>
  <si>
    <t xml:space="preserve">SA1250-RD </t>
  </si>
  <si>
    <t>Bi-amp 1250W (1000Wx250W) Class D - Analog or AES/EBU - RHAON II Network &amp; DSP Control,  Dante Redundant</t>
  </si>
  <si>
    <t>SA2000-A</t>
  </si>
  <si>
    <t>Bi-amp 2000W (1 x 2000W or 2 x 1000W) Class D - Analog Input Only</t>
  </si>
  <si>
    <t>SA2000-RN</t>
  </si>
  <si>
    <t>Bi-amp 2000W (1 x 2000W or 2 x 1000W) Class D - Analog or AES/EBU - RHAON II Network &amp; DSP Control</t>
  </si>
  <si>
    <t>SA2000-RD</t>
  </si>
  <si>
    <t>Bi-amp 2000W (1 x 2000W or 2 x 1000W) Class D - Analog or AES/EBU - RHAON II Network &amp; DSP Control,  Dante Redundant</t>
  </si>
  <si>
    <t>WR-AMP</t>
  </si>
  <si>
    <t>Additional charge for weather-resistant option for any SA amplifier</t>
  </si>
  <si>
    <t>WE0003</t>
  </si>
  <si>
    <t>Forged Eyebolt: M6x25 Metric threads: CA/TA &amp; CX/TX61, 62, 81, 82</t>
  </si>
  <si>
    <t>Forged Eyebolt; M10x35 Metric threads: , CA/TA &amp; CX/TX 121, 151, 12S, 18S</t>
  </si>
  <si>
    <t>TCH004</t>
  </si>
  <si>
    <t>4-pin chassis connector, Neutrik NL4MPR.</t>
  </si>
  <si>
    <t>TCA004</t>
  </si>
  <si>
    <t>4-pin cable connector, Neutrik NL4FC.</t>
  </si>
  <si>
    <t>TCMPR008</t>
  </si>
  <si>
    <t>8-pin chassis connector, Neutrik NL8MPR.</t>
  </si>
  <si>
    <t>TCA008</t>
  </si>
  <si>
    <t>8-pin cable connector, Neutrik NL8FC.</t>
  </si>
  <si>
    <t>WASTE</t>
  </si>
  <si>
    <t>35mm Pole Socket with 4 Fixing holes</t>
  </si>
  <si>
    <t>WHA003</t>
  </si>
  <si>
    <t>RH Logo Handles (Pair)</t>
  </si>
  <si>
    <t>SSD103-8</t>
  </si>
  <si>
    <t>1" HF driver used in the TRX81,  SG/SGX42, SG/SGX61 and SG/SGX81 loudspeakers.</t>
  </si>
  <si>
    <t>SSD140-8F</t>
  </si>
  <si>
    <t>Replacement driver for the CF/CFX61 and CF/CFX81 loudspeakers.</t>
  </si>
  <si>
    <t>SSD200-16</t>
  </si>
  <si>
    <t>1" HF driver, 80W Pgm , 16 Ohms; used in the CM81 &amp; MC  series, TRAP40A &amp; TRC82.</t>
  </si>
  <si>
    <t>SSD200-8-B</t>
  </si>
  <si>
    <t>1" HF driver, 80W Pgm, 8 Ohms; used in the CDT-1G.</t>
  </si>
  <si>
    <t>SSD202-8</t>
  </si>
  <si>
    <t>1" HF driver, 80W Pgm, 8 Ohms; used in TRC K , TRX82, TRX121, TRX121T, TRX151 &amp; TRX151T AND SG/SGX121 &amp; SG/SGX151 loudspeakers.</t>
  </si>
  <si>
    <t>SSD203-8F</t>
  </si>
  <si>
    <t>Replacement driver for the CF/CFX121, CF/CFX121M &amp; CF/CFX151 loudspeakers.</t>
  </si>
  <si>
    <t>SSD1445-16</t>
  </si>
  <si>
    <t>Replacement driver for  CA/CX, TA/TX 61 &amp; 62, 81 &amp; 82</t>
  </si>
  <si>
    <t>SSD1730-8</t>
  </si>
  <si>
    <t>Replacement compression driver for CF/CFX101LA, VARIAi, VARIA-RN, VARIA-RD &amp; P3-64</t>
  </si>
  <si>
    <t>SSD1747-8</t>
  </si>
  <si>
    <t>Replacement driver for CA/CX 121, 121M &amp; 151, TA/TX 121 &amp; 151</t>
  </si>
  <si>
    <t>SSD1750TN-8</t>
  </si>
  <si>
    <t>1" 100 W Pgm Titanium Nitride coated HF driver, 8 Ohm used in ICL and IC2 and 1st. Gen VARIA</t>
  </si>
  <si>
    <t>SSD1775-8</t>
  </si>
  <si>
    <t>0.75 inch/19 mm replacement HF driver for ICLX and ICLXL</t>
  </si>
  <si>
    <t>SSD1802-8</t>
  </si>
  <si>
    <t>1" HF driver, 80W Pgm, 8 Ohms, used in "K" version loudspeakers &amp; PN121.</t>
  </si>
  <si>
    <t>SSD1802S-8B</t>
  </si>
  <si>
    <t>For HF Section of CDT-1L.</t>
  </si>
  <si>
    <t>SSD1803-8</t>
  </si>
  <si>
    <t>1" HF driver, 80W Pgm, used in PN81, PN82 &amp; PN102LA.</t>
  </si>
  <si>
    <t>SSD2500-8</t>
  </si>
  <si>
    <t>Replacement driver for STLA/9 and STXLA/9 Line Array loudspeakers.</t>
  </si>
  <si>
    <t>SSD3001-8</t>
  </si>
  <si>
    <t>2" HF Driver, Replacement HF driver for the SSD3302-8 and HF section of CDT2B</t>
  </si>
  <si>
    <t>SSD3302-8</t>
  </si>
  <si>
    <t>Discontinued:  2" HF driver, 160W Pgm, 8 Ohms; used in "DK" version loudspeakers. NOTE:  Use SSD3001-8.</t>
  </si>
  <si>
    <t>SSD4001-8</t>
  </si>
  <si>
    <t>2" HF driver, 250W Pgm, 8 Ohms; used in CT10 &amp; CT9215 series, CDT-2HA &amp; CDT-2HB.</t>
  </si>
  <si>
    <t>CD102-8</t>
  </si>
  <si>
    <t>For SSD102-8</t>
  </si>
  <si>
    <t>CD-200-8</t>
  </si>
  <si>
    <t>For SSD200-8 &amp; SSD200-8-B</t>
  </si>
  <si>
    <t>CD-200-16</t>
  </si>
  <si>
    <t>For SSD200-16</t>
  </si>
  <si>
    <t>CD-200-8-A</t>
  </si>
  <si>
    <t>For SSD200-8-A (CDT-1 HF driver)</t>
  </si>
  <si>
    <t>CD202-8</t>
  </si>
  <si>
    <t>For SSD202-8</t>
  </si>
  <si>
    <t>CD202-16</t>
  </si>
  <si>
    <t>For SSD202-16</t>
  </si>
  <si>
    <t>CD1730-8</t>
  </si>
  <si>
    <t>Replacement diaphragm for SSD1730-8F</t>
  </si>
  <si>
    <t>CD1747-8</t>
  </si>
  <si>
    <t>Replacement diaphragm for SSD1747-8 &amp; HF of SSC12-1</t>
  </si>
  <si>
    <t>CD1750TN-8</t>
  </si>
  <si>
    <t>Replacement Diapragm for SSD1750TN-8</t>
  </si>
  <si>
    <t>CD1775-8</t>
  </si>
  <si>
    <t>Replacement Diaphragm for SSD1775-8</t>
  </si>
  <si>
    <t>CD18XX-8</t>
  </si>
  <si>
    <t>For SSD1802-8, SSD 1802S-8  &amp; SSD1803-8 (diaphragm fits all three drivers)</t>
  </si>
  <si>
    <t>CD18XX-16</t>
  </si>
  <si>
    <t>For SSD1802-16 &amp; SSD1803-16 (diaphragm fits both drivers)</t>
  </si>
  <si>
    <t>CD1802S-8B</t>
  </si>
  <si>
    <t>For SSD1802S-8B</t>
  </si>
  <si>
    <t>CD2500-8</t>
  </si>
  <si>
    <t>For SSD2500-8</t>
  </si>
  <si>
    <t>CD3001-8</t>
  </si>
  <si>
    <t>For SSD3001-8 and CDT2B</t>
  </si>
  <si>
    <t>CD3302-8</t>
  </si>
  <si>
    <t>For SSD3302-8</t>
  </si>
  <si>
    <t>CD3302-8A</t>
  </si>
  <si>
    <t>For SSD3302-8A</t>
  </si>
  <si>
    <t>CD4001-8</t>
  </si>
  <si>
    <t>For SSD4001</t>
  </si>
  <si>
    <t>CDT-3-TN</t>
  </si>
  <si>
    <t>For the CDT-3 and CDT-3-4 High Frequency Driver</t>
  </si>
  <si>
    <t>CDT-1L-REP</t>
  </si>
  <si>
    <t>CoEntrant Mid/High driver; 2" throat;  350 Hz to 17 kHz; HF 80W Pgm @ 8 Ohms, MF 300W Pgm @ 8 Ohms. Crossover and phase plug not included. Use exisiting.</t>
  </si>
  <si>
    <t>CDT-1.5</t>
  </si>
  <si>
    <t>CoEntrant Mid/High driver used in STLA/9 &amp; STXLA/9, 8 Ohms, crossover not included.</t>
  </si>
  <si>
    <t>CDT-1.5TN</t>
  </si>
  <si>
    <t>Coentrant Mid/High driver; 2" throat</t>
  </si>
  <si>
    <t>CDT-2A</t>
  </si>
  <si>
    <t>CoEntrant Mid/High driver, 4 ohms MF, 8 ohms HF, crossover not included.  Replacement part for CT &amp; ST/STX, series for use only on CCH520 series horns.</t>
  </si>
  <si>
    <t>CDT-2B</t>
  </si>
  <si>
    <t>CoEntrant Mid/High driver, 8 ohms MF, 8 ohms HF, crossover not included.  Replacement part for CT &amp; ST/STX, series for use only on CCH520 series horns.</t>
  </si>
  <si>
    <t>CDT-3-4</t>
  </si>
  <si>
    <t>CoEntrant Mid/High driver, 2" throat; 350Hz TO 18kHz; HF 150W Pgm @ 8 Ohms; MF 300W Pgm @ 4 Ohms; crossover not included. Used in P Series</t>
  </si>
  <si>
    <t>CDT-3</t>
  </si>
  <si>
    <t>CoEntrant Mid/High driver, 2" throat; 350Hz TO 18kHz; HF 120 W Pgm @ 8 Ohms; MF 500 W Pgm @ 8 Ohms; crossover not included.</t>
  </si>
  <si>
    <t>SSC12-1</t>
  </si>
  <si>
    <t>Coaxial LF/HF woofer and integrated HF driver used in CX/CA121M</t>
  </si>
  <si>
    <t>SSD80-6</t>
  </si>
  <si>
    <t>3.5" 8 Ohms loudspeaker used in the TRC32.</t>
  </si>
  <si>
    <t>SSL2-1</t>
  </si>
  <si>
    <t>2" 8 Ohms loudspeaker used in the DC series</t>
  </si>
  <si>
    <t>SSL3-1</t>
  </si>
  <si>
    <t>3" 8 Ohms loudspeaker used in the ICC series</t>
  </si>
  <si>
    <t>SSL4-1</t>
  </si>
  <si>
    <t>100W Pgm, 4", 8 Ohms loudspeaker used in the TRX42 and SG/SGX42.</t>
  </si>
  <si>
    <t>SSL4-2</t>
  </si>
  <si>
    <t>50W Pgm, 4"/1", 8 Ohms coax loudspeaker used in IC/ICX7, IC8, IC16, IC24, IC32 and SGX41.</t>
  </si>
  <si>
    <t>SSL4-3</t>
  </si>
  <si>
    <t>50W Pgm, 4"/1", 8 Ohms coax loudspeaker used in IC8-R, IC16-R, IC24-R and IC32-R</t>
  </si>
  <si>
    <t>SSL4-5</t>
  </si>
  <si>
    <t>50W Pgm, 4"/1", 8 Ohms coax loudspeaker for CFX41</t>
  </si>
  <si>
    <t>SSL4-6</t>
  </si>
  <si>
    <t>Discontinued: replaced by the SSL4-1</t>
  </si>
  <si>
    <t>SSL4-7</t>
  </si>
  <si>
    <t>50W Pgm, 4"/3HF, 8 Ohms coax loudspeaker used in IC8-R-II, IC16-R-II, IC24-R-II and IC32-R-II</t>
  </si>
  <si>
    <t>SSL4-8</t>
  </si>
  <si>
    <t>Replacement woofer for IC7-II and IC16-8</t>
  </si>
  <si>
    <t>SSL4-12</t>
  </si>
  <si>
    <t>Replacement woofer for CX41</t>
  </si>
  <si>
    <t>SSL4-13-HT</t>
  </si>
  <si>
    <t>50W Pgm, 4"/3HF, 8 Ohms coax, high temperature, loudspeaker used in Gen5 IC8-RN &amp; RD, IC16-RN &amp; RD, IC24-RN &amp; RD and IC32-RN &amp; RD</t>
  </si>
  <si>
    <t>SSL6.5-3</t>
  </si>
  <si>
    <t>260W Pgm, 6.5", 16 Ohms loudspeaker (MF) used in the CE-3 &amp; CE-3 M/H series, TRAP40 &amp; TRAP42 series loudspeakers.</t>
  </si>
  <si>
    <t>SSL6.5-4</t>
  </si>
  <si>
    <t>Discontinued: 200W Pgm, 6.5", 8 Ohms loudspeaker used in the CEFR64-1/95-1/125-1, MICROTRAP &amp; SR61 loudspeakers.</t>
  </si>
  <si>
    <t>SSL6.5-5</t>
  </si>
  <si>
    <t>200W Pgm, 6.5",  4 Ohms loudspeaker used in the PN61 &amp; SR62H Complex Conic loudspeaker system.</t>
  </si>
  <si>
    <t>SSL6.5-8</t>
  </si>
  <si>
    <t>150W Pgm, 6.5", 8 Ohms coax used in CDT1.5 .</t>
  </si>
  <si>
    <t>SSL6.5-9F</t>
  </si>
  <si>
    <t>Replacement woofer for CF/CFX61.</t>
  </si>
  <si>
    <t>AR001</t>
  </si>
  <si>
    <t>Adapter ring for SSL6.5-15 when replacing SSL6.5-10 in TRX61 models.</t>
  </si>
  <si>
    <t>SSL6.5-12</t>
  </si>
  <si>
    <t>6.5" woofer used in  SG/SGX61.</t>
  </si>
  <si>
    <t>SSL6.5-14</t>
  </si>
  <si>
    <t>100 W Pgm, 6.5" "Neodymium" loudspeaker, 8 Ohm. Used in IC-Live and ICL-F</t>
  </si>
  <si>
    <t>SSL6.5-15</t>
  </si>
  <si>
    <t>Replacement for  SSL6.5-6 woofer used in TRX61 Complex Conic loudspeakers.</t>
  </si>
  <si>
    <t>SSL6.5-18</t>
  </si>
  <si>
    <t>Replacement woofer for CA/CX, TA/TX 61 &amp; 62</t>
  </si>
  <si>
    <t>SSL8-2</t>
  </si>
  <si>
    <t>200W Pgm, 8", 8 Ohms loudspeaker (LF) used in the MC-82, MC-82H, QUBE-STK ,TRC81HO, &amp; TRX81.</t>
  </si>
  <si>
    <t>SSL8-3</t>
  </si>
  <si>
    <t xml:space="preserve">200W Pgm,  8", 8 Ohms loudspeaker (MF) used in the MC-153 &amp; QUBE-3 loudspeakers. </t>
  </si>
  <si>
    <t>SSL8-5</t>
  </si>
  <si>
    <t>140W Pgm, 8", 8 Ohms loudspeaker (LF) used in TRC81 Complex Conic loudspeakers.</t>
  </si>
  <si>
    <t>SSL8-6</t>
  </si>
  <si>
    <t>200W Pgm, 8", 16 Ohms loudspeaker (LF) used in CM-81, CM-81V, TRC82 and TRX82 loudspeakers.</t>
  </si>
  <si>
    <t>SSL8-12</t>
  </si>
  <si>
    <t>350W Pgm, 8", 4 Ohms loudspeaker (LF) used in the ST/STX4 &amp; P2-8 loudspeakers.</t>
  </si>
  <si>
    <t>SSL8-13F</t>
  </si>
  <si>
    <t>Replacement woofer for CF/CFX81.</t>
  </si>
  <si>
    <t>SSL8-14</t>
  </si>
  <si>
    <t>8" woofer used in SG/SGX81.</t>
  </si>
  <si>
    <t>SSL8-20</t>
  </si>
  <si>
    <t>Replacement woofer for CA/CX, TA/TX 81 &amp; 82</t>
  </si>
  <si>
    <t>SSL8-22</t>
  </si>
  <si>
    <t>Replacement woofer for ICLX, ICLXL &amp; ICLLX</t>
  </si>
  <si>
    <t>SSL8-23</t>
  </si>
  <si>
    <t>Replacement woofer for SX/SA28</t>
  </si>
  <si>
    <t>SSL10-2</t>
  </si>
  <si>
    <t>300W Pgm, 10", 8 Ohms MF loudspeaker used in C-2 &amp; C-3 TSC Series loudspeakers.</t>
  </si>
  <si>
    <t>SSL10-5</t>
  </si>
  <si>
    <t>600W Pgm, 10", 4 Ohms MF loudspeaker for in CDT-2A used in the ST/STX 5,7 &amp; 9 series.</t>
  </si>
  <si>
    <t>SSL10-5-8</t>
  </si>
  <si>
    <t>600W Pgm, 10", 8 Ohms MF loudspeaker for in CDT-2B used in the ST/STX 5,7 &amp; 9 series.</t>
  </si>
  <si>
    <t>SSL10-7</t>
  </si>
  <si>
    <t>300W Pgm, 10", 8 Ohms LF loudspeaker used in PN/PNX102/LA, CFX101LA-8-WR, VARIA SERIES &amp; P2-10</t>
  </si>
  <si>
    <t>SSL10-7-4</t>
  </si>
  <si>
    <t>300W Pgm, 10", 4 Ohms LF loudspeaker used in P3-10M</t>
  </si>
  <si>
    <t>SSL10-8F</t>
  </si>
  <si>
    <t>Replacement woofer for CFX101LA-8 (for models manufactured AFTER July, 2013. 10-1/4" / 260 mm frame dia. Older models use SSL10-12)</t>
  </si>
  <si>
    <t>SSL10-10</t>
  </si>
  <si>
    <t>Replacement woofer for CF101LA Self-Powered 4 ohm (for models manufactured AFTER July, 2013. 10-1/4" / 260 mm frame dia. Older models use SSL10-11)</t>
  </si>
  <si>
    <t>SSL10-11</t>
  </si>
  <si>
    <t>Replacement woofer for CF101LA Self-Powered 4 ohm  (for models manufactured BEFORE July, 2013. 10-3/8" / 263.5 mm frame dia. Newer models use SSL10-10)</t>
  </si>
  <si>
    <t>SSL10-12</t>
  </si>
  <si>
    <t>Replacement woofer for CFX101LA-8 (for models manufactured BEFORE July, 2013. 10-3/8" / 263.5 mm frame dia. Newer models use SSL10-8F)</t>
  </si>
  <si>
    <t>SSL12-9</t>
  </si>
  <si>
    <t>250W Pgm, 12", 4 Ohms woofer used in PN121, PNX121 &amp; PN121M.</t>
  </si>
  <si>
    <t>SSL12-10</t>
  </si>
  <si>
    <t>400W Pgm, 12", 4 Ohms woofer used in CT9LOSVB, PN112-SUB, PNX112-SUB, ST8 &amp; ST9.</t>
  </si>
  <si>
    <t>SSL12-11</t>
  </si>
  <si>
    <t>400W Pgm, 12" , 8 Ohms woofer used in CT9LO, PN212-SUB, PNX212-SUB, ST4L, ST6 &amp; STX6.</t>
  </si>
  <si>
    <t>SSL12-12</t>
  </si>
  <si>
    <t>500W Pgm, 12" , 8 Ohm woofer used in TRX121 &amp; TRX121T.</t>
  </si>
  <si>
    <t>SSL12-13</t>
  </si>
  <si>
    <t>700W Pgm, 12", 8 Ohms woofer used in "L" revision of the TRC121, SR5, SR6, CE3T, CE3TLO, CT10, CT5212, BPS12-1, BPS12-2, STX2, ST5, STX5, ST5L, STX7,  ST7 &amp; ST/STXLA9.</t>
  </si>
  <si>
    <t>SSL12-14F</t>
  </si>
  <si>
    <t>Replacement woofer for the CF/CFX121 and CF/CFX121M.</t>
  </si>
  <si>
    <t>SSL12-15</t>
  </si>
  <si>
    <t>12" woofer used in the SG/SGX121.</t>
  </si>
  <si>
    <t xml:space="preserve">SSL12-17 </t>
  </si>
  <si>
    <t>1000 W Pgm 12", 8 Ohm woofer with Neodymium magnet for the VLX3, IC212S &amp; P3-12</t>
  </si>
  <si>
    <t>SSL12-16</t>
  </si>
  <si>
    <t>12" woofer used in the SG/SGX12S.</t>
  </si>
  <si>
    <t>SSL12-22</t>
  </si>
  <si>
    <t>Replacement woofer for CF/CFX121 &amp; CF/CFX121M 8 ohm</t>
  </si>
  <si>
    <t>SSL12-21</t>
  </si>
  <si>
    <t>Replacement woofer for CF/CFX12S 4 ohm</t>
  </si>
  <si>
    <t>SSL12-23</t>
  </si>
  <si>
    <t>Replacement woofer for CF/CFX12S, CX/CA &amp; TX TA 112S, 8 ohm</t>
  </si>
  <si>
    <t>SSL12-26</t>
  </si>
  <si>
    <t>Replacement woofer for CA/CX, TA/TX 121, 8 ohm</t>
  </si>
  <si>
    <t>SSL15-7</t>
  </si>
  <si>
    <t>1000W Pgm, 15", 8 Ohms loudspeaker (LF) used in the CT7 &amp; CT8.</t>
  </si>
  <si>
    <t>SSL15-11</t>
  </si>
  <si>
    <t>500W Pgm, 15", 4 Ohms woofer used in PN151, PNX151 &amp; PNX151T/4.</t>
  </si>
  <si>
    <t>SSL15-13</t>
  </si>
  <si>
    <t>700W Pgm, 15", 8 Ohms woofer used in CE153, CELF15-2K, TRAP-SVBK, TRAP40, TRX151 &amp; TRX151T.</t>
  </si>
  <si>
    <t>SSL15-14</t>
  </si>
  <si>
    <t>800W Pgm, 15", 4 Ohms woofer used in BP15-2 and IC215S-R</t>
  </si>
  <si>
    <t>SSL15-14-8</t>
  </si>
  <si>
    <t xml:space="preserve">800W Pgm, 15", 8 Ohms woofer used in BPS15-1K and BPS15-2K </t>
  </si>
  <si>
    <t>SSL15-15F</t>
  </si>
  <si>
    <t>Replacement woofer for CF/CFX151.</t>
  </si>
  <si>
    <t>SSL15-16</t>
  </si>
  <si>
    <t>15" woofer used in SG/SGX151.</t>
  </si>
  <si>
    <t>SSL15-17</t>
  </si>
  <si>
    <t>Replacement woofer for the CFX15S-8 and VARIA SERIES</t>
  </si>
  <si>
    <t>SSL15-19</t>
  </si>
  <si>
    <t>Replacement woofer for CF/CFX151 8 ohm</t>
  </si>
  <si>
    <t>SSL15-20</t>
  </si>
  <si>
    <t>Replacement woofer for CF15S Self-Powered 4 ohm</t>
  </si>
  <si>
    <t>SSL15-23</t>
  </si>
  <si>
    <t>Replacement woofer for P3-15</t>
  </si>
  <si>
    <t>SSL15-24</t>
  </si>
  <si>
    <t>Replacement woofer for CA/CX, TA/TX 151</t>
  </si>
  <si>
    <t>SSL18-7</t>
  </si>
  <si>
    <t>1400W Pgm, 18", 8 Ohms woofer used in CT5-SUB, CT6-SUB, DRS18-1, DRS18-2 &amp; LR2A.</t>
  </si>
  <si>
    <t>SSL18-8</t>
  </si>
  <si>
    <t>1400W Pgm, 18", 4 Ohms woofer used in DR18-1 &amp; DR 18-2.</t>
  </si>
  <si>
    <t>SSL18-9F</t>
  </si>
  <si>
    <t>18" woofer used in CF/CFX18S CX/CA &amp; TX/TA 118S subwoofers, 4 ohm</t>
  </si>
  <si>
    <t>SSL18-10F</t>
  </si>
  <si>
    <t>18" woofer used in CF/CFX18S CX/CA &amp; TX/TA 118S subwoofers, 8 ohm</t>
  </si>
  <si>
    <t>REC8-4</t>
  </si>
  <si>
    <t>Woofer recone kit for SSL8-4.</t>
  </si>
  <si>
    <t>REC10-2</t>
  </si>
  <si>
    <t>Woofer recone kit for  SSL10-2.</t>
  </si>
  <si>
    <t>REC10-5-8</t>
  </si>
  <si>
    <t>Woofer recone kit for SSL10-5-8.</t>
  </si>
  <si>
    <t>REC12-5</t>
  </si>
  <si>
    <t>Woofer recone kit for SSL12-5.</t>
  </si>
  <si>
    <t>REC12-6</t>
  </si>
  <si>
    <t>Woofer recone kit for SSL12-6.</t>
  </si>
  <si>
    <t>REC12-9</t>
  </si>
  <si>
    <t>Woofer recone kit for SSL12-9.</t>
  </si>
  <si>
    <t>REC12-10</t>
  </si>
  <si>
    <t>Woofer recone kit for SSL12-10.</t>
  </si>
  <si>
    <t>REC12-12</t>
  </si>
  <si>
    <t>Woofer recone kit for SSL12-12.</t>
  </si>
  <si>
    <t>REC12-13</t>
  </si>
  <si>
    <t>Woofer recone kit for SSL12-13.</t>
  </si>
  <si>
    <t>REC15-3</t>
  </si>
  <si>
    <t xml:space="preserve">Woofer recone kit for coaxial SSL15-3 woofer. </t>
  </si>
  <si>
    <t>REC15-5</t>
  </si>
  <si>
    <t>Woofer recone kit for coaxial SSL15-5 woofer.</t>
  </si>
  <si>
    <t>REC15-7</t>
  </si>
  <si>
    <t>Woofer recone kit for  SSL15-7.</t>
  </si>
  <si>
    <t>REC15-10</t>
  </si>
  <si>
    <t>Woofer recone kit for SSL15-10.</t>
  </si>
  <si>
    <t>REC15-11</t>
  </si>
  <si>
    <t>Woofer recone kit for SSL15-11.</t>
  </si>
  <si>
    <t>REC15-13</t>
  </si>
  <si>
    <t>Woofer recone kit for SSL15-13.</t>
  </si>
  <si>
    <t>REC18-3</t>
  </si>
  <si>
    <t>Woofer recone kit for SSL18-3.</t>
  </si>
  <si>
    <t>REC18-4</t>
  </si>
  <si>
    <t>Recone kit for SSL18-4.</t>
  </si>
  <si>
    <t>REC18-7</t>
  </si>
  <si>
    <t>Woofer recone kit for SSL18-7.</t>
  </si>
  <si>
    <t>REC18-8</t>
  </si>
  <si>
    <t>Woofer recone kit for SSL18-8.</t>
  </si>
  <si>
    <t>CCH1000/64-1</t>
  </si>
  <si>
    <t>1" throat non-rotatable, Complex Conic horn, 60° x 40°. Used in CX/CA151 &amp; TX/TA151</t>
  </si>
  <si>
    <t>1" throat non-rotatable, Complex Conic horn, 90° x 40°. Optional in CX/CA151 (not installed) &amp; TX/TA151</t>
  </si>
  <si>
    <t>CCH1000/44</t>
  </si>
  <si>
    <t>2" throat Complex Conic horn used in the PN151, ST/STX4 &amp; P3-15; 40° x 40°.</t>
  </si>
  <si>
    <t>CCH1000/64</t>
  </si>
  <si>
    <t>2" throat Complex Conic horn used in the PN151, ST/STX4 &amp; P3-15; 60° x 40°.</t>
  </si>
  <si>
    <t>CCH1000/94</t>
  </si>
  <si>
    <t>2" throat Complex Conic horn used in the PN151, ST/STX4 &amp; P3-15; 90° x 40°.</t>
  </si>
  <si>
    <t>1" throat Complex Conic horn used in the TRX81/9, TRX121/9, PN/PNX81 &amp;82, SR81/9, TRX81, 82 &amp; 121, optional in CX/CA81 &amp; 82 (not installed), TX/TA81 &amp; 82, 90° x 60°.</t>
  </si>
  <si>
    <t>CCH1200-12</t>
  </si>
  <si>
    <t>Same as CCH1200-9, only 120° x 60° coverage. Std. in CX/CA81 &amp; 82, TX/TA81 &amp; 82.</t>
  </si>
  <si>
    <t>CCH1200-15</t>
  </si>
  <si>
    <t>1" throat Complex Conic horn used in the CX/CA61 &amp; 62, TX/TA61 &amp; 62, PN/PNX61, SR62H and TRX62H: 150° x 60° .</t>
  </si>
  <si>
    <t xml:space="preserve">1" Throat, Complex Conic horn used in the TX/TA121, STX2, PN/PNX121, TRX121T and TRAP Jr., optional in CX/CA121 (not installed), controlled 60° x 40° coverage. </t>
  </si>
  <si>
    <t>CCH1500-9</t>
  </si>
  <si>
    <t>Same as CCH1500-6, only 90° x 40° coverage.</t>
  </si>
  <si>
    <t>ICAMP-IC2-FR</t>
  </si>
  <si>
    <t>Spare 8-channel Amplifier Module for IC2-FR, RHAON empowered. (Refurbished)</t>
  </si>
  <si>
    <t>ICAMP-RN</t>
  </si>
  <si>
    <t>Spare 8-channel Amplifier Module for the IC8-RN</t>
  </si>
  <si>
    <t>ICAMP-RN-WR</t>
  </si>
  <si>
    <t>Spare 8-channel Amplifier Module for the IC8-RN-WR</t>
  </si>
  <si>
    <t>ICAMP-RS</t>
  </si>
  <si>
    <t>Spare 8-channel Amplifier Module for the IC8-RS</t>
  </si>
  <si>
    <t>ICAMP-RS-WR</t>
  </si>
  <si>
    <t>Spare 8-channel Amplifier Module for the IC8-RS-WR</t>
  </si>
  <si>
    <t>ICAMP-RD</t>
  </si>
  <si>
    <t>Spare 8-channel Amplifier Module for the IC8-RD</t>
  </si>
  <si>
    <t>ICAMP-RD-WR</t>
  </si>
  <si>
    <t>Spare 8-channel Amplifier Module for the IC8-RD-WR</t>
  </si>
  <si>
    <t>ICAMP-LF-RN</t>
  </si>
  <si>
    <t>Spare 8-channel Amplifier Module for the ICL-F-RN</t>
  </si>
  <si>
    <t>ICAMP-LF-RN-WR</t>
  </si>
  <si>
    <t>Spare 8-channel Amplifier Module for the ICL-F-RN-WR</t>
  </si>
  <si>
    <t>ICAMP-LF-RS</t>
  </si>
  <si>
    <t>Spare 8-channel Amplifier Module for the ICL-F-RS</t>
  </si>
  <si>
    <t>ICAMP-LF-RS-WR</t>
  </si>
  <si>
    <t>Spare 8-channel Amplifier Module for the ICL-F-RS-WR</t>
  </si>
  <si>
    <t>ICAMP-LF-RD</t>
  </si>
  <si>
    <t>Spare 8-channel Amplifier Module for the ICL-F-RD</t>
  </si>
  <si>
    <t>ICAMP-LF-RD-WR</t>
  </si>
  <si>
    <t>Spare 8-channel Amplifier Module for the ICL-F-RD-WR</t>
  </si>
  <si>
    <t>ICAMP-X-RN</t>
  </si>
  <si>
    <t>Spare 8-channel Amplifier Module for the ICLX-RN series. Specify model, X, XL or LX; Fixed or Mobile; Black or White</t>
  </si>
  <si>
    <t>ICAMP-X-RN-CC</t>
  </si>
  <si>
    <t>Spare 8-channel Amplifier Module for the ICLX-RN series. Specify model, X, XL or LX; Fixed or Mobile; Custom Color (CC Setup fee applies.)</t>
  </si>
  <si>
    <t>ICAMP-X-RD</t>
  </si>
  <si>
    <t>Spare 8-channel Amplifier Module for the ICLX-RD series. Specify model, X, XL or LX; Fixed or Mobile; Black or White</t>
  </si>
  <si>
    <t>ICAMP-X-RD-CC</t>
  </si>
  <si>
    <t>Spare 8-channel Amplifier Module for the ICLX-RD series. Specify model, X, XL or LX; Fixed or Mobile; Custom Color (CC Setup fee applies.)</t>
  </si>
  <si>
    <t>ICAMP-X-RN-WR</t>
  </si>
  <si>
    <t>Spare 8-channel Amplifier Module for the ICLX-RN-WR series . Specify model, X, XL or LX; Fixed or Mobile; Black or White</t>
  </si>
  <si>
    <t>ICAMP-X-RN-WR-CC</t>
  </si>
  <si>
    <t>Spare 8-channel Amplifier Module for the ICLX-RN-WR-CCseries. Specify model, X, XL or LX; Fixed or Mobile; Custom Color (CC Setup fee applies.)</t>
  </si>
  <si>
    <t>ICAMP-X-RD-WR</t>
  </si>
  <si>
    <t>Spare 8-channel Amplifier Module for the ICLX-RD-WR series . Specify model, X, XL or LX; Fixed or Mobile; Black or White</t>
  </si>
  <si>
    <t>ICAMP-X-RD-WR-CC</t>
  </si>
  <si>
    <t>Spare 8-channel Amplifier Module for the ICLX-RD-WR-CCseries. Specify model, X, XL or LX; Fixed or Mobile; Custom Color (CC Setup fee applies.)</t>
  </si>
  <si>
    <t>RPWM-16B-BZL-125*1</t>
  </si>
  <si>
    <t>Wallmate 16B deep Trim - 1.25"</t>
  </si>
  <si>
    <t>RPWM-16B-BZL-25*1</t>
  </si>
  <si>
    <t>Wallmate 16B deep Trim - 2.5"</t>
  </si>
  <si>
    <t>RPWM-16B-CVR*1</t>
  </si>
  <si>
    <t>Blank back box cover plate for Wallmate 16B series</t>
  </si>
  <si>
    <t>RPWM-16B-CVR-BULK*1</t>
  </si>
  <si>
    <t>RPWM-16BF/S-PM</t>
  </si>
  <si>
    <t>Wallmate 16B F &amp; S series   Peripheral Plate</t>
  </si>
  <si>
    <t>RPWM-16BF-ADA*1,*2</t>
  </si>
  <si>
    <t>Thin ADA plate for Wallmate 16BF systems</t>
  </si>
  <si>
    <t>RPWM-16BF-BOX-KIT</t>
  </si>
  <si>
    <t>Wallmate 16 standard depth flush close back box</t>
  </si>
  <si>
    <t>RPWM-16BF-XMS-ADA*1,*2</t>
  </si>
  <si>
    <t>Flush close, thin offset plate - Pull out Wallmate 16BF kit</t>
  </si>
  <si>
    <t>RPWM-16BF-XMS-ADA-NB*1,*2</t>
  </si>
  <si>
    <t>No Box - Flush close, thin offset plate - Pull out Wallmate 16BF kit</t>
  </si>
  <si>
    <t>RPWM-16BF-XMS-OFFSET*1,*2</t>
  </si>
  <si>
    <t>Thin offset plate - Pull out Wallmate 16BF kit</t>
  </si>
  <si>
    <t>RPWM-16BF-XMS-OFFSET-NB*1,*2</t>
  </si>
  <si>
    <t>No Box, Thin offset plate - Pull out Wallmate 16BF kit</t>
  </si>
  <si>
    <t>RPWM-16BF-XMS-UNV</t>
  </si>
  <si>
    <t>Universal Mount - Pull out Wallmate 16BF kit</t>
  </si>
  <si>
    <t>RPWM-16BF-XMS-UNV-NB</t>
  </si>
  <si>
    <t>No Box - Universal Mount - Pull out Wallmate 16BF kit</t>
  </si>
  <si>
    <t>RPWM-16B-OFFSET*1,*2</t>
  </si>
  <si>
    <t>RPWM-16BS-BOX-KIT</t>
  </si>
  <si>
    <t>Wallmate 16 back box kit for 2.5" wall studs</t>
  </si>
  <si>
    <t>RPWM-16BS-XMS-OFFSET*1,*2</t>
  </si>
  <si>
    <t>2.5" wall stud, offset plate - Pull out Wallmate 16BS kit</t>
  </si>
  <si>
    <t>RPWM-16BS-XMS-OFFSET-NB*1,*2</t>
  </si>
  <si>
    <t>No Box -2.5" wall stud, offset plate - Pull out Wallmate 16BS kit</t>
  </si>
  <si>
    <t>RPWM-16BS-XMS-TNV</t>
  </si>
  <si>
    <t>Thin-Pull out Wallmate 16BS kit</t>
  </si>
  <si>
    <t>RPWM-16BS-XMS-TNV-NB</t>
  </si>
  <si>
    <t>No Box - Thin-Pull out Wallmate 16BS kit</t>
  </si>
  <si>
    <t>RPWM-16BS-XMS-UNV</t>
  </si>
  <si>
    <t>2.5" wall studs Universal Mount - Pull out Wallmate 16BS kit</t>
  </si>
  <si>
    <t>RPWM-16BS-XMS-UNV-NB</t>
  </si>
  <si>
    <t>No Box - 2.5" wall studs Universal Mount - Pull out Wallmate 16BS kit</t>
  </si>
  <si>
    <t>RPWM-16B-XMS</t>
  </si>
  <si>
    <t>Wallmate 16 Slim X-ARM</t>
  </si>
  <si>
    <t>RPWM-32B-BZL-125*1</t>
  </si>
  <si>
    <t>Wallmate 32B deep Trim - 1.25"</t>
  </si>
  <si>
    <t>RPWM-32B-BZL-25*1</t>
  </si>
  <si>
    <t>Wallmate 32B deep Trim - 2.5"</t>
  </si>
  <si>
    <t>RPWM-32B-CVR*1</t>
  </si>
  <si>
    <t>Blank back box cover plate for Wallmate 32B, BF, or BS series</t>
  </si>
  <si>
    <t>RPWM-32B-CVR-BULK*1</t>
  </si>
  <si>
    <t>RPWM-32BF-ADA*1,*2</t>
  </si>
  <si>
    <t>Thin ADA plate for Wallmate 32BF systems</t>
  </si>
  <si>
    <t>RPWM-32BF-BOX-KIT</t>
  </si>
  <si>
    <t>Wallmate 32 standard depth flush close back box kit</t>
  </si>
  <si>
    <t>RPWM-32BF-PM2*1</t>
  </si>
  <si>
    <t>Dual layer Peripheral Plate for Wallmate 32BF &amp; 32BS</t>
  </si>
  <si>
    <t>RPWM-32BF-PMFLX-1*1</t>
  </si>
  <si>
    <t>Wallmate 32BF Peripheral Plate for  Crestron Flex Systems</t>
  </si>
  <si>
    <t>RPWM-32BF-PMFLXS-1*1</t>
  </si>
  <si>
    <t>Dual Layer Wallmate 32BF Peripheral Plate for  Crestron Flex Systems</t>
  </si>
  <si>
    <t>RPWM-32BF-XMS-ADA*1,*2</t>
  </si>
  <si>
    <t>Flush close, thin offset plate - Pull out Wallmate 32BF kit</t>
  </si>
  <si>
    <t>RPWM-32BF-XMS-ADA-HVSB*1,*2</t>
  </si>
  <si>
    <t>Flush close, thin ADA shift mounting plate - Pull out Wallmate 32BF kit</t>
  </si>
  <si>
    <t>RPWM-32BF-XMS-ADA-HVSB-NB*1,*2</t>
  </si>
  <si>
    <t>No box - Flush close, thin ADA shift mounting plate - Pull out Wallmate 32BF kit</t>
  </si>
  <si>
    <t>RPWM-32BF-XMS-ADA-NB*1,*2</t>
  </si>
  <si>
    <t>No Box - Flush close, thin offset plate - Pull out Wallmate 32BF kit</t>
  </si>
  <si>
    <t>RPWM-32BF-XMS-UNV</t>
  </si>
  <si>
    <t>Universal Mount - Pull out Wallmate 32BF kit</t>
  </si>
  <si>
    <t>RPWM-32BF-XMS-UNV-NB</t>
  </si>
  <si>
    <t>No Box - Universal Mount - Pull out Wallmate 32BF kit</t>
  </si>
  <si>
    <t>RPWM-32BM-BOX-KIT*1</t>
  </si>
  <si>
    <t>Wallmate 32BM back box kit</t>
  </si>
  <si>
    <t>RPWM-32BM-CVR*1</t>
  </si>
  <si>
    <t>Blank back box cover for Wallmate 32BM series back box</t>
  </si>
  <si>
    <t>RPWM-32BM-XM-OFFSET*1,*2</t>
  </si>
  <si>
    <t>Thin offset plate - Pull out Wallmate 32BM kit</t>
  </si>
  <si>
    <t>RPWM-32BM-XM-OFFSET-NB*1,*2</t>
  </si>
  <si>
    <t>No Box -Thin offset plate - Pull out Wallmate 32BM kit</t>
  </si>
  <si>
    <t>RPWM-32BM-XM-UNVM*1</t>
  </si>
  <si>
    <t>Universal-Pull out Wallmate 32BM kit</t>
  </si>
  <si>
    <t>RPWM-32BM-XM-UNVM-NB*1</t>
  </si>
  <si>
    <t>No Box - Universal-Pull out Wallmate 32BM Kit</t>
  </si>
  <si>
    <t>RPWM-32BS/F-PM</t>
  </si>
  <si>
    <t>Wallmate 32BF and BS series Large Peripheral Plate</t>
  </si>
  <si>
    <t>RPWM-32BS-BOX-KIT</t>
  </si>
  <si>
    <t>Wallmate 32 back box for 2.5" wall stud kit</t>
  </si>
  <si>
    <t>RPWM-32BS-XMS-ADA-HVSB*1,*2</t>
  </si>
  <si>
    <t>Shallow close, thin ADA shift mounting plate - Pull out Wallmate 32BS kit</t>
  </si>
  <si>
    <t>RPWM-32BS-XMS-ADA-HVSB-NB*1,*2</t>
  </si>
  <si>
    <t>No Box - Shallow close, thin ADA shift mounting plate - Pull out Wallmate 32BS kit</t>
  </si>
  <si>
    <t>RPWM-32BS-XMS-OFFSET*1,*2</t>
  </si>
  <si>
    <t>2.5" wall stud, offset plate- Pull out Wallmate 32BS kit</t>
  </si>
  <si>
    <t>RPWM-32BS-XMS-OFFSET-NB*1,*2</t>
  </si>
  <si>
    <t>No Box - 2.5" wall stud, offset plate - Pull out Wallmate 32BS kit</t>
  </si>
  <si>
    <t>RPWM-32BS-XMS-TNV</t>
  </si>
  <si>
    <t>Thin-Pull out Wallmate 32BS kit</t>
  </si>
  <si>
    <t>RPWM-32BS-XMS-TNV-NB</t>
  </si>
  <si>
    <t>No Box - Thin-Pull out Wallmate 32BS kit</t>
  </si>
  <si>
    <t>RPWM-32BS-XMS-UNV</t>
  </si>
  <si>
    <t>2.5"wall stud, Universal Mount - Pull out Wallmate 32BS kit</t>
  </si>
  <si>
    <t>RPWM-32BS-XMS-UNV-NB</t>
  </si>
  <si>
    <t>No Box - 2.5" wall stud, Universal Mount - Pull out Wallmate 32BS kit</t>
  </si>
  <si>
    <t>RPWM-32B-XARM</t>
  </si>
  <si>
    <t xml:space="preserve">Wallmate 32B X-ARM </t>
  </si>
  <si>
    <t>RPWM-32B-XMS</t>
  </si>
  <si>
    <t xml:space="preserve">Wallmate 32B Slim X-ARM </t>
  </si>
  <si>
    <t>RPWM-32MAXB6-BOX-KIT</t>
  </si>
  <si>
    <t>Wallmate 32MAXB6 back box kit</t>
  </si>
  <si>
    <t>RPWM-32MAXB6-HSB-OFFSET*1,*4</t>
  </si>
  <si>
    <t>Offset Horizontal Shift plate for Wallmate 32MAXB6 system</t>
  </si>
  <si>
    <t>RPWM-32MAXB6-LED-AIO*1</t>
  </si>
  <si>
    <t>Interface plate for All-in-one LED systems</t>
  </si>
  <si>
    <t>RPWM-32MAXB6-LED-TILE*1</t>
  </si>
  <si>
    <t>Interface plate for Tile based LED systems</t>
  </si>
  <si>
    <t>RPWM-32MAXB6-OFFSET*1,*4</t>
  </si>
  <si>
    <t>Offset plate for Wallmate 32MAXB6</t>
  </si>
  <si>
    <t>RPWM-32MAXB6-PM</t>
  </si>
  <si>
    <t>Peripheral Plate for Wallmate 32MAXB6</t>
  </si>
  <si>
    <t>RPWM-32MAXB6-XMR</t>
  </si>
  <si>
    <t>Heavy Duty Roller X-ARM for Wallmate 32MAXB6</t>
  </si>
  <si>
    <t>RPWM-32MAXB6-XMR-HSB-OFFSET*1,*4</t>
  </si>
  <si>
    <t>Horizontal Shift Offset Plate - Pull out Wallmate 32MAXB6 kit</t>
  </si>
  <si>
    <t>RPWM-32MAXB6-XMR-HSB-OFFSET-NB*1,*4</t>
  </si>
  <si>
    <t>No Box - Horizontal Shift Offset Plate - Pull out Wallmate 32MAXB6 kit</t>
  </si>
  <si>
    <t xml:space="preserve">RPWM-32MAXB6-XMR-LED-A*1
</t>
  </si>
  <si>
    <t>Made to order All-in-one LED Wallmate mounting system up to 137" dia.</t>
  </si>
  <si>
    <t xml:space="preserve">RPWM-32MAXB6-XMR-LED-A-NB*1
</t>
  </si>
  <si>
    <t>No box - Made to order All-in-one LED Wallmate mounting system up to 137" dia.</t>
  </si>
  <si>
    <t>RPWM-32MAXB6-XMR-LED-T*1</t>
  </si>
  <si>
    <t>Made to order Tile based LED Wallmate mounting system up to 137" dia.</t>
  </si>
  <si>
    <t>RPWM-32MAXB6-XMR-LED-T-NB*1</t>
  </si>
  <si>
    <t>No box - Made to order Tile based LED Wallmate mounting system up to 137" dia.</t>
  </si>
  <si>
    <t>RPWM-32MAXB6-XMR-OFFSET*1,*4</t>
  </si>
  <si>
    <t>Large display OFFSET plate - Pull out Wallmate 32MAXB6 kit</t>
  </si>
  <si>
    <t>RPWM-32MAXB6-XMR-OFFSET-NB*1,*4</t>
  </si>
  <si>
    <t>No box - Large display OFFSET plate - Pull out Wallmate 32MAXB6 kit</t>
  </si>
  <si>
    <t>RPWM-32MAXB-BZL-125*1</t>
  </si>
  <si>
    <t>Wallmate 32MAXB deep Trim - 1.25"</t>
  </si>
  <si>
    <t>RPWM-32MAXB-BZL-25*1</t>
  </si>
  <si>
    <t>Wallmate 32MAXB deep Trim - 2.5"</t>
  </si>
  <si>
    <t>RPWM-32MAXB-CVR*1</t>
  </si>
  <si>
    <t xml:space="preserve">Blank back box cover plate for Wallmate 32MAXB series </t>
  </si>
  <si>
    <t>RPWM-32MAXB-CVR-BULK*1</t>
  </si>
  <si>
    <t>Blank back box cover plate for Wallmate 32MAXB series</t>
  </si>
  <si>
    <t>RPWM-32MAXBF-ADA*1,*2</t>
  </si>
  <si>
    <t>Thin ADA plate for Wallmate 32MAXBF systems</t>
  </si>
  <si>
    <t>RPWM-32MAXBF-ADA-HVSB*1,*2</t>
  </si>
  <si>
    <t>Thin shift plate for Wallmate 32/32MAX systems</t>
  </si>
  <si>
    <t>RPWM-32MAXBF-BOX-KIT</t>
  </si>
  <si>
    <t>Wallmate 32MAX standard depth flush close back box</t>
  </si>
  <si>
    <t>RPWM-32MAXBF-PM</t>
  </si>
  <si>
    <t>Peripheral Plate for Wallmate 32MAX BF &amp; BS Series</t>
  </si>
  <si>
    <t>RPWM-32MAXBF-PMFLX-1</t>
  </si>
  <si>
    <t>Peripheral Plate, Wallmate 32MAXBF for Crestron Flex Systems</t>
  </si>
  <si>
    <t>RPWM-32MAXBF-PMFLXS-1*1</t>
  </si>
  <si>
    <t>RPWM-32MAXBF-XMS-ADA*1,*2</t>
  </si>
  <si>
    <t>Flush close, thin ADA mounting plate - Pull out Wallmate 32MAXBF kit</t>
  </si>
  <si>
    <t>RPWM-32MAXBF-XMS-ADA-HVSB*1,*2</t>
  </si>
  <si>
    <t>Flush close, thin ADA shift mounting plate - Pull out Wallmate 32MAXBF kit</t>
  </si>
  <si>
    <t>RPWM-32MAXBF-XMS-ADA-HVSB-NB*1,*2</t>
  </si>
  <si>
    <t>No Box - Flush close, thin ADA shift mounting plate - Pull out Wallmate 32MAXBF kit</t>
  </si>
  <si>
    <t>RPWM-32MAXBF-XMS-ADA-LG110*1</t>
  </si>
  <si>
    <t>Flush close kit for LG 110UM5J-B - Pull out Wallmate 32MAXBF</t>
  </si>
  <si>
    <t>RPWM-32MAXBF-XMS-ADA-LG110-NB*1</t>
  </si>
  <si>
    <t>No Box - Flush close kit for LG 110UM5J-B - Pull out Wallmate 32MAXBF</t>
  </si>
  <si>
    <t>RPWM-32MAXBF-XMS-ADA-NB*1,*2</t>
  </si>
  <si>
    <t>No Box - Flush close, thin ADA mounting plate - Pull out Wallmate 32MAXBF kit</t>
  </si>
  <si>
    <t>RPWM-32MAXBF-XMS-OFFSET*1,*2</t>
  </si>
  <si>
    <t>Thin offset plate - Pull out Wallmate 32MAXBF kit</t>
  </si>
  <si>
    <t>RPWM-32MAXBF-XMS-OFFSET-NB</t>
  </si>
  <si>
    <t>No Box - Thin offset plate - Pull out Wallmate 32MAXBF kit</t>
  </si>
  <si>
    <t>RPWM-32MAXBF-XMS-UNV</t>
  </si>
  <si>
    <t>Universal Mount - Pull out Wallmate 32MAXBF kit</t>
  </si>
  <si>
    <t>RPWM-32MAXBF-XMS-UNV-NB</t>
  </si>
  <si>
    <t>No Box - Universal Mount - Pull out Wallmate 32MAXBF kit</t>
  </si>
  <si>
    <t>RPWM-32MAXB-XMS</t>
  </si>
  <si>
    <t>Wallmate 32MAXB Slim X-ARM</t>
  </si>
  <si>
    <t>RPWM-AUXBOX-F*1</t>
  </si>
  <si>
    <t>Fiber access AUXBOX</t>
  </si>
  <si>
    <t>RPWM-LOCK-S</t>
  </si>
  <si>
    <t>Wallmate 16/32/32MAX Standard B and SLIM X-ARM Lock Kit</t>
  </si>
  <si>
    <t>RPWM-SPCR-200</t>
  </si>
  <si>
    <t>2" spacer</t>
  </si>
  <si>
    <t>RPWM-SURF*1</t>
  </si>
  <si>
    <t>Wallmate Surface Kit</t>
  </si>
  <si>
    <t>RPWM-SURF-PM*1</t>
  </si>
  <si>
    <t>Wallmate Surface Peripheral Mount plate</t>
  </si>
  <si>
    <t>RPWM-TOUCH-S</t>
  </si>
  <si>
    <t>Wallmate B Slim Series Touch  Kit</t>
  </si>
  <si>
    <t>RPWM-TUP*1</t>
  </si>
  <si>
    <t>RPWM-TUPL*1</t>
  </si>
  <si>
    <t>RPWM-TUP-PM*1</t>
  </si>
  <si>
    <t>Wallmate T-UP peripheral mounting plate</t>
  </si>
  <si>
    <t>RPWM-UC-BRKT*1</t>
  </si>
  <si>
    <t>RPWM-UC-SPK-B*1</t>
  </si>
  <si>
    <t>Wallmate Below display loudspeaker mount kit for Universal mount</t>
  </si>
  <si>
    <t>RPWM-UC-SPK-LR*1</t>
  </si>
  <si>
    <t>Wallmate Left/Right loudspeaker mount kit for Universal mount</t>
  </si>
  <si>
    <t>RPWM-UC-TNV-KCAM*1</t>
  </si>
  <si>
    <t>TNV plate mounting kit for Wallmate 32/32MAX systems</t>
  </si>
  <si>
    <t>RPWM-UC-UNV*1</t>
  </si>
  <si>
    <t xml:space="preserve">Cost based on camera model. Contact us for a quote </t>
  </si>
  <si>
    <t>RPWM-UC-UNV-KCAM*1</t>
  </si>
  <si>
    <t>Universal mount Camera kit</t>
  </si>
  <si>
    <t>RPWM-UC-UTC*1</t>
  </si>
  <si>
    <t>Univerasal to Camera adapter</t>
  </si>
  <si>
    <t>RPWM-UNV-33 *3</t>
  </si>
  <si>
    <t>Universal Mount Assembly for small displays</t>
  </si>
  <si>
    <t>RPWM-UNV-44-P *3</t>
  </si>
  <si>
    <t>Portrait orientationsmall display Universal Mount systems</t>
  </si>
  <si>
    <t>RPWM-UNV-64 *3</t>
  </si>
  <si>
    <t>RPWM-UNV64-C6496</t>
  </si>
  <si>
    <t>RPWM-UNV-M*3</t>
  </si>
  <si>
    <t>Universal Mount Assembly for Wallmate 32 Mini</t>
  </si>
  <si>
    <t>RPWM-W32B-WB-KIT*1</t>
  </si>
  <si>
    <t>Wall attach kit for Wallmate 32B Systems</t>
  </si>
  <si>
    <t>RPWM-W32B-XMS-OFFSET*1*2</t>
  </si>
  <si>
    <t>RPWM-W32MAXB-WB-KIT*1</t>
  </si>
  <si>
    <t>Wall attach kit for Wallmate 32MAXB Systems</t>
  </si>
  <si>
    <t>RPWM-W32MAXB-XMS-OFFSET*1,*2</t>
  </si>
  <si>
    <t xml:space="preserve">Wallmate 32MAXB Surface mount  system </t>
  </si>
  <si>
    <t>RPWM-W32MAXB-XMS-UNV*1</t>
  </si>
  <si>
    <t>Wallmate 32MAXB Surface mount SLIM X-ARM system with Universal Mount</t>
  </si>
  <si>
    <t>WA65C</t>
  </si>
  <si>
    <t>65" interactive display with Android</t>
  </si>
  <si>
    <t>WA75C</t>
  </si>
  <si>
    <t>75" interactive display with Android</t>
  </si>
  <si>
    <t>BE43C-H</t>
  </si>
  <si>
    <t>NEW 43" 250 nits, 16/7, prosumer TV with tuner</t>
  </si>
  <si>
    <t>BE50C-H</t>
  </si>
  <si>
    <t>NEW 50" 250 nits, 16/7, prosumer TV with tuner</t>
  </si>
  <si>
    <t>BE55C-H</t>
  </si>
  <si>
    <t>NEW 55" 250 nits, 16/7, prosumer TV with tuner</t>
  </si>
  <si>
    <t>BE65C-H</t>
  </si>
  <si>
    <t>NEW 65" 250 nits, 16/7, prosumer TV with tuner</t>
  </si>
  <si>
    <t>BE70C-H</t>
  </si>
  <si>
    <t>NEW 70" 250 nits, 16/7, prosumer TV with tuner</t>
  </si>
  <si>
    <t>BE75C-H</t>
  </si>
  <si>
    <t>NEW 75" 250 nits, 16/7, prosumer TV with tuner</t>
  </si>
  <si>
    <t>BE85C-H</t>
  </si>
  <si>
    <t>NEW 85" 250 nits, 16/7, prosumer TV with tuner</t>
  </si>
  <si>
    <t>QB13R</t>
  </si>
  <si>
    <t>13" 300 nits, 16/7 - FHD</t>
  </si>
  <si>
    <t>QB13R-T</t>
  </si>
  <si>
    <t xml:space="preserve">13" touch enabled </t>
  </si>
  <si>
    <t>QB24R</t>
  </si>
  <si>
    <t>24" 300 nits, 16/7 - FHD</t>
  </si>
  <si>
    <t>QB24R-TB</t>
  </si>
  <si>
    <t>24" touch enabled</t>
  </si>
  <si>
    <t>QB55B-N</t>
  </si>
  <si>
    <t>55" 350 nits, 16/7 - NO Wifi/BT</t>
  </si>
  <si>
    <t>QB65B-N</t>
  </si>
  <si>
    <t>65" 350 nits, 16/7 - NO Wifi/BT</t>
  </si>
  <si>
    <t>QB75B-N</t>
  </si>
  <si>
    <t>75" 350 nits, 16/7 - NO Wifi/BT</t>
  </si>
  <si>
    <t>QB85R-N</t>
  </si>
  <si>
    <t>85" 350 nits, 16/7 - NO Wifi/BT</t>
  </si>
  <si>
    <t>QB43B</t>
  </si>
  <si>
    <t>43" 350 nits, 16/7</t>
  </si>
  <si>
    <t>QB50B</t>
  </si>
  <si>
    <t>50" 350 nits, 16/7</t>
  </si>
  <si>
    <t>QB55B</t>
  </si>
  <si>
    <t>55" 350 nits, 16/7</t>
  </si>
  <si>
    <t>QB65B</t>
  </si>
  <si>
    <t>65" 350 nits, 16/7</t>
  </si>
  <si>
    <t>QB75B</t>
  </si>
  <si>
    <t>75" 350 nits, 16/7</t>
  </si>
  <si>
    <t>QB98T-B</t>
  </si>
  <si>
    <t>98" 350 nits, 24/7</t>
  </si>
  <si>
    <t>QM32R-B</t>
  </si>
  <si>
    <t>32" 400 nits, 24/7 - FHD</t>
  </si>
  <si>
    <t>QM85R-B</t>
  </si>
  <si>
    <t>85" 500 nits, 24/7</t>
  </si>
  <si>
    <t>QM43B</t>
  </si>
  <si>
    <t>43" 500 nits, 24/7</t>
  </si>
  <si>
    <t>QM50B</t>
  </si>
  <si>
    <t>50" 500 nits, 24/7</t>
  </si>
  <si>
    <t>QM55B</t>
  </si>
  <si>
    <t>55" 500 nits, 24/7</t>
  </si>
  <si>
    <t>QM65B</t>
  </si>
  <si>
    <t>65" 500 nits, 24/7</t>
  </si>
  <si>
    <t>QM75B</t>
  </si>
  <si>
    <t>75" 500 nits, 24/7</t>
  </si>
  <si>
    <t>QM98T-B</t>
  </si>
  <si>
    <t>98" 500 nits, 24/7</t>
  </si>
  <si>
    <t>QM32R-T</t>
  </si>
  <si>
    <t>32" CAP touch enabled</t>
  </si>
  <si>
    <t>QM43B-T</t>
  </si>
  <si>
    <t>43" CAP touch enabled</t>
  </si>
  <si>
    <t>QM55B-T</t>
  </si>
  <si>
    <t>55" CAP touch enabled</t>
  </si>
  <si>
    <t>QH43B</t>
  </si>
  <si>
    <t>43" 700 nits, 24/7</t>
  </si>
  <si>
    <t>QH50B</t>
  </si>
  <si>
    <t>50" 700 nits, 24/7</t>
  </si>
  <si>
    <t>QH55B</t>
  </si>
  <si>
    <t>55" 700 nits, 24/7</t>
  </si>
  <si>
    <t>QH65B</t>
  </si>
  <si>
    <t>65" 700 nits, 24/7</t>
  </si>
  <si>
    <t>QH75B</t>
  </si>
  <si>
    <t>75" 700 nits, 24/7</t>
  </si>
  <si>
    <t>QP65A-8K</t>
  </si>
  <si>
    <t>65" 500 nits, 16/7 - QLED</t>
  </si>
  <si>
    <t>QP75A-8K</t>
  </si>
  <si>
    <t>75" 500 nits, 16/7 - QLED</t>
  </si>
  <si>
    <t>QP85A-8K</t>
  </si>
  <si>
    <t>85" 500 nits, 16/7 - QLED</t>
  </si>
  <si>
    <t>BH55T</t>
  </si>
  <si>
    <t>55" 1500 nits, 16/7, tuner, prosumer outdoor</t>
  </si>
  <si>
    <t>BH65T</t>
  </si>
  <si>
    <t>65" 1500 nits, 16/7, tuner, prosumer outdoor</t>
  </si>
  <si>
    <t>BH75T</t>
  </si>
  <si>
    <t>75" 1500 nits, 16/7, tuner, prosumer outdoor</t>
  </si>
  <si>
    <t>VM46B-U</t>
  </si>
  <si>
    <t>46" 3.5mm B2B bezel, 500 nits, 24/7</t>
  </si>
  <si>
    <t>VM55B-U</t>
  </si>
  <si>
    <t>55" 3.5mm B2B bezel, 500 nits, 24/7</t>
  </si>
  <si>
    <t>VH55B-E</t>
  </si>
  <si>
    <t>55" 1.8mm B2B bezel, 700 nits, 24/7</t>
  </si>
  <si>
    <t>VH55R-R</t>
  </si>
  <si>
    <t>55" 0.8mm B2B bezel, 700 nits, 24/7</t>
  </si>
  <si>
    <t>OH24B</t>
  </si>
  <si>
    <t>24" 1500 nits, 24/7 - full outdoor FHD</t>
  </si>
  <si>
    <t>OH46B</t>
  </si>
  <si>
    <t>46" 3500 nits, 24/7 - full outdoor IP56</t>
  </si>
  <si>
    <t>OH55A-S</t>
  </si>
  <si>
    <t>55" 3500 nits, 24/7 - full outdoor IP56</t>
  </si>
  <si>
    <t>OH75A</t>
  </si>
  <si>
    <t>75" 3500 nits, 24/7 - full outdoor IP56</t>
  </si>
  <si>
    <t>OM75A</t>
  </si>
  <si>
    <t>75" 4000 nits, 24/7 - window facing</t>
  </si>
  <si>
    <t>OM46B</t>
  </si>
  <si>
    <t>46" 4000 nits, 24/7 - window facing FHD</t>
  </si>
  <si>
    <t>OM55B</t>
  </si>
  <si>
    <t>55" 3000 nits, 24/7 - window facing</t>
  </si>
  <si>
    <t>OM55N-DS</t>
  </si>
  <si>
    <t>55" 3000/1000 nits, 24/7 - dual sided window facing</t>
  </si>
  <si>
    <t>OH85N-S</t>
  </si>
  <si>
    <t>85" 3000 nits, 24/7 - full outdoor IP56</t>
  </si>
  <si>
    <t>OH85N-DK</t>
  </si>
  <si>
    <t>85" 3300 nits, 24/7 - dual sided full outdoor IP56</t>
  </si>
  <si>
    <t>SH37R-B</t>
  </si>
  <si>
    <t>37" 700 nits, 24/7 - stretch display</t>
  </si>
  <si>
    <t>WM55B</t>
  </si>
  <si>
    <t>55" interactive, USB-C, AirPlay</t>
  </si>
  <si>
    <t>WM65B</t>
  </si>
  <si>
    <t>65" interactive, USB-C, AirPlay</t>
  </si>
  <si>
    <t>WM75B</t>
  </si>
  <si>
    <t>75" interactive, USB-C, AirPlay</t>
  </si>
  <si>
    <t>WM85B</t>
  </si>
  <si>
    <t>85" interactive, USB-C, AirPlay</t>
  </si>
  <si>
    <t>CY-TF65BRC</t>
  </si>
  <si>
    <t>Optional tray for interactive W series</t>
  </si>
  <si>
    <t>CY-PENR</t>
  </si>
  <si>
    <t>Pen accessory</t>
  </si>
  <si>
    <t>KM24A</t>
  </si>
  <si>
    <t>24" All-In-One kiosk</t>
  </si>
  <si>
    <t>CY-KM24AP</t>
  </si>
  <si>
    <t>Kiosk connector box - printer, scanner</t>
  </si>
  <si>
    <t>STN-KM24A</t>
  </si>
  <si>
    <t>Kiosk optional stand</t>
  </si>
  <si>
    <t>IW006B</t>
  </si>
  <si>
    <t>0.63mm, CoB, 120Hz, EMC Class B, 55"</t>
  </si>
  <si>
    <t>IW009B</t>
  </si>
  <si>
    <t>0.94mm, CoB, 120Hz, EMC Class B, 55"</t>
  </si>
  <si>
    <t>IW008A</t>
  </si>
  <si>
    <t>0.84mm, CoB, 120Hz, EMC Class B, 55"</t>
  </si>
  <si>
    <t>IW008A-R</t>
  </si>
  <si>
    <t>0.84mm, Remote Power Option</t>
  </si>
  <si>
    <t>IW012A</t>
  </si>
  <si>
    <t>1.26mm, CoB, 120Hz, EMC Class B</t>
  </si>
  <si>
    <t>IW012A-R</t>
  </si>
  <si>
    <t>1.26mm, Remote Power Option</t>
  </si>
  <si>
    <t>2,000nits</t>
  </si>
  <si>
    <t>IW016A</t>
  </si>
  <si>
    <t>1.68mm, CoB, 120Hz, EMC Class B</t>
  </si>
  <si>
    <t>1,200nits</t>
  </si>
  <si>
    <t>IW016A-R</t>
  </si>
  <si>
    <t>1.68mm, Remote Power Option</t>
  </si>
  <si>
    <t>1,600 nits</t>
  </si>
  <si>
    <t>IF012J-N</t>
  </si>
  <si>
    <t>1.2mm, 640 x 360 pixels (cabinet)</t>
  </si>
  <si>
    <t>IE015A</t>
  </si>
  <si>
    <t>1.5mm, 640 x 360 pixels, Cabinet Rotation</t>
  </si>
  <si>
    <t>IE015A-F</t>
  </si>
  <si>
    <t>1.5mm Cabinet Rotation, Curve, L</t>
  </si>
  <si>
    <t>IF015R</t>
  </si>
  <si>
    <t>1.5mm, 640 x 360 pixels, Concave</t>
  </si>
  <si>
    <t>1,400 nits</t>
  </si>
  <si>
    <t>IF015R-F</t>
  </si>
  <si>
    <t>IE020A</t>
  </si>
  <si>
    <t>2.0mm 480 x 270 pixels, Cabinet Rotation</t>
  </si>
  <si>
    <t>1,200 nits</t>
  </si>
  <si>
    <t>IE020A-F</t>
  </si>
  <si>
    <t>2.0mm Cabinet Rotation, Curve, L</t>
  </si>
  <si>
    <t>1,000 nits</t>
  </si>
  <si>
    <t>IF020R-E</t>
  </si>
  <si>
    <t>2.0mmCeiling/Incline, Rotation, Curve, L</t>
  </si>
  <si>
    <t>IF020R-F</t>
  </si>
  <si>
    <t>2.0mm, Ceiling/Incline, Rotation, Curve, L</t>
  </si>
  <si>
    <t>IE025A</t>
  </si>
  <si>
    <t>2.5mm, 384 x 216 pixels (cabinet)</t>
  </si>
  <si>
    <t>IE025A-F</t>
  </si>
  <si>
    <t>2.5mm, Cabinet Rotation, Curve, L</t>
  </si>
  <si>
    <t>1,100 nits</t>
  </si>
  <si>
    <t>IF025R</t>
  </si>
  <si>
    <t>2.5mm, Cabinet Rotation, Concave</t>
  </si>
  <si>
    <t>IF025R-F</t>
  </si>
  <si>
    <t>2.5mm, Ceiling/Incline, Rotation, Curve, L</t>
  </si>
  <si>
    <t>IF040R-E</t>
  </si>
  <si>
    <t>4.0mm, Ceiling/Incling, Rotation, Curve, L</t>
  </si>
  <si>
    <t>IF040R-F</t>
  </si>
  <si>
    <t>IE040A</t>
  </si>
  <si>
    <t>4.0mm, 240 x 135 pixels (cabinet)</t>
  </si>
  <si>
    <t>IE040A-F</t>
  </si>
  <si>
    <t>4.0mm, Cabinet Rotation, Curve, L</t>
  </si>
  <si>
    <t>2,400 nits</t>
  </si>
  <si>
    <t>VG-WR00PKIT</t>
  </si>
  <si>
    <t>Primary power cable - IWA</t>
  </si>
  <si>
    <t>SNOW-AAE</t>
  </si>
  <si>
    <t>8K S-Box media player- optical 120Hz</t>
  </si>
  <si>
    <t>1,500 nits</t>
  </si>
  <si>
    <t>SNOW-JMU</t>
  </si>
  <si>
    <t>UHD S-Box medial player - 60Hz</t>
  </si>
  <si>
    <t>SNOW-RAF</t>
  </si>
  <si>
    <t>FHD S-Box medial player - 60Hz</t>
  </si>
  <si>
    <t>CY-WJBPBP</t>
  </si>
  <si>
    <t>Magnetic module jig - IWB</t>
  </si>
  <si>
    <t>CY-LJRNAS</t>
  </si>
  <si>
    <t>Magnetic module jig - IEA</t>
  </si>
  <si>
    <t>CY-LJJNWS</t>
  </si>
  <si>
    <t>Magnetic module jig - IFJ</t>
  </si>
  <si>
    <t>CY-WJAPWP</t>
  </si>
  <si>
    <t>Magnetic module jig - IWA</t>
  </si>
  <si>
    <t>CY-WJJPWP</t>
  </si>
  <si>
    <t>Magnetic module jig - The Wall Pro</t>
  </si>
  <si>
    <t>IAB 146 4K</t>
  </si>
  <si>
    <t>0.8mm All In One 146" 4K - microLED</t>
  </si>
  <si>
    <t>IAB 110 2K</t>
  </si>
  <si>
    <t>1.2mm All In One 110" 2K - microLED</t>
  </si>
  <si>
    <t>IAB 146 2K</t>
  </si>
  <si>
    <t>1.6mm All In One 146" 2K - microLED</t>
  </si>
  <si>
    <t>IAB-N 146 4K</t>
  </si>
  <si>
    <t>0.8mm All In One 146" 4K - Remote Power Option</t>
  </si>
  <si>
    <t>IAB-N 110 2K</t>
  </si>
  <si>
    <t>1.2mm All In One 110" 2K - Remote Power Option</t>
  </si>
  <si>
    <t>IAB-N 146 2K</t>
  </si>
  <si>
    <t>1.6mm All In One 146" 2K - Remote Power Option</t>
  </si>
  <si>
    <t>4P-B43EJ2U</t>
  </si>
  <si>
    <t>43" Class (42.5" diagonal) Commercial LCD Display - Brilliant Ultra High Definition (3840 x 2160) resolution with 300 cd/m2 Brightness and 1,000:1 Contrast Ratio. Built-in USB Media Player, Digital Tuner, HTML5 Web Browser, and 8W per Channel Stereo Audio System. 3-Year Limited Warranty</t>
  </si>
  <si>
    <t>4P-B50EJ2U</t>
  </si>
  <si>
    <t>50" Class (49.5" diagonal) Commercial LCD Display - Brilliant Ultra High Definition (3840 x 2160) resolution with 300 cd/m2 Brightness and 5,000:1 Contrast Ratio. Built-in USB Media Player, Digital Tuner, HTML5 Web Browser, and 8W per Channel Stereo Audio System. 3-Year Limited Warranty</t>
  </si>
  <si>
    <t>4P-B55EJ2U</t>
  </si>
  <si>
    <t>55" Class (54.6" diagonal) Commercial LCD Display - Brilliant Ultra High Definition (3840 x 2160) resolution with 300 cd/m2 Brightness and 1,300:1 Contrast Ratio. Built-in USB Media Player, Digital Tuner, HTML5 Web Browser, and 8W per Channel Stereo Audio System. 3-Year Limited Warranty</t>
  </si>
  <si>
    <t>4P-B65EJ2U</t>
  </si>
  <si>
    <t>65" Class (64.5" diagonal) Commercial LCD Display - Brilliant Ultra High Definition (3840 x 2160) resolution with 330 cd/m2 Brightness and 1,300:1 Contrast Ratio. Built-in USB Media Player, Digital Tuner, HTML5 Web Browser, and 8W per Channel Stereo Audio System. 3-Year Limited Warranty</t>
  </si>
  <si>
    <t>4P-B75EJ2U</t>
  </si>
  <si>
    <t>75" Class (75.0" diagonal) Commercial LCD Display - Brilliant Ultra High Definition (3840 x 2160) resolution with 380 cd/m2 Brightness and 1,200:1 Contrast Ratio. Built-in USB Media Player, Digital Tuner, HTML5 Web Browser, and 8W per Channel Stereo Audio System. 3-Year Limited Warranty</t>
  </si>
  <si>
    <t>4P-B86EJ2U</t>
  </si>
  <si>
    <t>86" Class (85.6" diagonal) Commercial LCD Display - Brilliant Ultra High Definition (3840 x 2160) resolution with 380 cd/m2 Brightness and 1,200:1 Contrast Ratio. Built-in USB Media Player, Digital Tuner, HTML5 Web Browser, and 8W per Channel Stereo Audio System. 3-Year Limited Warranty - EXPECTED DELIVER MAY 2023</t>
  </si>
  <si>
    <t>E758</t>
  </si>
  <si>
    <t xml:space="preserve">75” LED LCD Public Display Monitor, 3840 x 2160 (UHD), 18/7, High Haze, 350 cd/m2, Even Bezel Design, Landscape/Portrait, Metal Chassis, HDMI In x3, VGA in, RS-232C, LAN (Control), USB-A (Media Player), USB-C (5V/3A Power), No tuner,  Audio Mini-Jack in, Integrated 10W x 2 Speakers, Input Detect Functionality (Limited - Custom/First), Integrated Ambient Light Sensor, 3 Year Commercial Warranty, Stand not included (ST-801) </t>
  </si>
  <si>
    <t>E868</t>
  </si>
  <si>
    <t xml:space="preserve">86” LED LCD Public Display Monitor, 3840 x 2160 (UHD), 18/7, High Haze, 350 cd/m2, Even Bezel Design, Landscape/Portrait, Metal Chassis, HDMI In x3, VGA in, RS-232C, LAN (Control), USB-A (Media Player), USB-C (5V/3A Power), No tuner,  Audio Mini-Jack in, Integrated 10W x 2 Speakers, Input Detect Functionality (Limited - Custom/First), Integrated Ambient Light Sensor, 3 Year Commercial Warranty, Stand not included (ST-801) </t>
  </si>
  <si>
    <t>E989</t>
  </si>
  <si>
    <t xml:space="preserve">98” LED LCD Public Display Monitor, 3840 x 2160 (UHD), 18/7, High Haze, 350 cd/m2, Even Bezel Design, Landscape/Portrait, Metal Chassis, HDMI In x3, VGA in, RS-232C, LAN (Control), USB-A (Media Player), USB-C (5V/3A Power), No tuner,  Audio Mini-Jack in, Integrated 10W x 2 Speakers, Input Detect Functionality (Limited - Custom/First), Integrated Ambient Light Sensor, 3 Year Commercial Warranty, Stand not included (ST-801) </t>
  </si>
  <si>
    <t>Avaiable in August</t>
  </si>
  <si>
    <t>M321</t>
  </si>
  <si>
    <t>MultiSync M321 - 32” LED LCD Public Display Monitor, 1920 x 1080, 24/7, High Haze Anti-Reflective Panel, 450 cd/m2, Landscape/Portrait, HDMI In x2, DisplayPort In, VGA, Audio Mini-Jack Out, Full bidirectional control through RS232C and LAN, Integrated 5W x 2 Speakers, Full Input Detect Functionality, Metal Chassis, 3 Year Commercial Warranty, Stand not included (ST-32M)</t>
  </si>
  <si>
    <t>M751</t>
  </si>
  <si>
    <t>MultiSync® M751 - 75” LED LCD Public Display Monitor, 3840 x 2160, 24/7, High Haze Anti-Reflective Panel, 500 cd/m2, Landscape/Portrait, HDMI In x2/Out, DisplayPort In x2/Out, Audio Mini-Jack Out, Full bidirectional control through RS-232C and LAN Daisy Chain, Integrated 10W x 2 Speakers,Integrated Audio Amplifier, Spectraview Engine, USB Hub, Integrated Ambient Light Sensor, Full Input Detect Functionality, SDM-S or L, MPi4E/W Compatibility, Metal Chassis, 3 Year Commercial Warranty, Stand not included (ST-801)</t>
  </si>
  <si>
    <t>M861</t>
  </si>
  <si>
    <t>MultiSync® M861 - 86” LED LCD Public Display Monitor, 3840 x 2160, 24/7, High Haze Anti-Reflective Panel, 500 cd/m2, Landscape/Portrait, HDMI In x2/Out, DisplayPort In x2/Out, Audio Mini-Jack Out, Full bidirectional control through RS-232C and LAN Daisy Chain, Integrated 10W x 2 Speakers,Integrated Audio Amplifier, Spectraview Engine, USB Hub, Integrated Ambient Light Sensor, Full Input Detect Functionality, SDM-S or L, MPi4E/W Compatibility, Metal Chassis, 3 Year Commercial Warranty, Stand not included (ST-801)</t>
  </si>
  <si>
    <t xml:space="preserve">available in July </t>
  </si>
  <si>
    <t>M981</t>
  </si>
  <si>
    <t>MultiSync® M981 - 98” LED LCD Public Display Monitor, 3840 x 2160, 24/7, High Haze Anti-Reflective Panel, 500 cd/m2, Landscape/Portrait, HDMI In x2/Out, DisplayPort In x2/Out, Audio Mini-Jack Out, Full bidirectional control through RS-232C and LAN Daisy Chain, Integrated 10W x 2 Speakers,Integrated Audio Amplifier, Spectraview Engine, USB Hub, Integrated Ambient Light Sensor, Full Input Detect Functionality, SDM-S or L, MPi4E/W Compatibility, Metal Chassis, 3 Year Commercial Warranty, Stand not included (ST-801)</t>
  </si>
  <si>
    <t>Available in August</t>
  </si>
  <si>
    <t>P435</t>
  </si>
  <si>
    <t>MultiSync P435 - 43” LED LCD Public Display Monitor, 3840 x 2160 (UHD), Wide Color Gamut, 24/7, 700 cd/m2, Landscape/Portrait, HDMI In x2/Out, DisplayPort In x2/Out (SST/MST), Audio Mini-Jack Out, Full Bidirectional Control through RS232C and LAN In/Out, Accepts Intel® Smart Display Module Small, Large or Raspberry Pi Compute Module 4 (requires separate MPi4E accessory), Integrated Audio Amplifier, Full Input Detect Functionality, USB Hub, Metal Chassis, 5 Year Commercial Warranty, Stand not included (ST-43M or ST-401)</t>
  </si>
  <si>
    <t>P495</t>
  </si>
  <si>
    <t>MultiSync P495 - 49” LED LCD Public Display Monitor, 3840 x 2160 (UHD), Wide Color Gamut, 24/7, 700 cd/m2, Landscape/Portrait, HDMI In x2/Out, DisplayPort In x2/Out (SST/MST), Audio Mini-Jack Out, Full Bidirectional Control through RS232C and LAN In/Out, Accepts Intel® Smart Display Module Small, Large or Raspberry Pi Compute Module 4 (requires separate MPi4E accessory), Integrated Audio Amplifier, Full Input Detect Functionality, USB Hub, Metal Chassis, 5 Year Commercial Warranty, Stand not included (ST-43M or ST-401)</t>
  </si>
  <si>
    <t>P555</t>
  </si>
  <si>
    <t>MultiSync P555 - 55” LED LCD Public Display Monitor, 3840 x 2160 (UHD), Wide Color Gamut, 24/7, 700 cd/m2, Landscape/Portrait, HDMI In x2/Out, DisplayPort In x2/Out (SST/MST), Audio Mini-Jack Out, Full Bidirectional Control through RS232C and LAN In/Out, Accepts Intel® Smart Display Module Small, Large or Raspberry Pi Compute Module 4 (requires separate MPi4E accessory), Integrated Audio Amplifier, Full Input Detect Functionality, USB Hub, Metal Chassis, 5 Year Commercial Warranty, Stand not included (ST-43M or ST-401)</t>
  </si>
  <si>
    <t>Use E988 or M981for new projects</t>
  </si>
  <si>
    <t>Use M861 for new project</t>
  </si>
  <si>
    <t>use M981 for new projects</t>
  </si>
  <si>
    <t>8M-B120C</t>
  </si>
  <si>
    <t>120" Class (120” diagonal) Commercial LCD Display - Stunning 8K Ultra High Definition (7680 x 4320) resolution with up to 600 cd/m2 Brightness (1500 peak) and 3,500:1 Contrast Ratio. Built-in USB Media Player and 70W 5.1 Channel Stereo Audio System.  3-Year  Limited Warranty. Special Order Only - Limited Availability</t>
  </si>
  <si>
    <t>6 month lead time</t>
  </si>
  <si>
    <t>UN552</t>
  </si>
  <si>
    <t xml:space="preserve">UN552,55" LED LCD, S-IPS, 28% Haze, Ultra Narrow Bezel (3.5mm bezel to bezel) Public Display Monitor, 1920x1080 (FHD), Direct LED backlit unit, 700 cd/m2 brightness, HDMI 2.0 x2/Daisy Chain, DisplayPort 1.2 x2/Daisy Chain, UHD Capable through Daisy Chain, SpectraView Engine Color Control, Local Dimming, USB Media Player, Full External Control through LAN Daisy Chain/RS232, RPi Compute Module Compatible, OPS Slot Support, 3 Year Warranty </t>
  </si>
  <si>
    <t>UN552V</t>
  </si>
  <si>
    <t xml:space="preserve">UN552V,55" LED LCD, S-IPS, 28% Haze, Ultra Narrow Bezel (3.5mm bezel to bezel) Public Display Monitor, 1920x1080 (FHD), Direct LED backlit unit, 500 cd/m2 brightness, HDMI 2.0 x2/Daisy Chain, DisplayPort 1.2 x2/Daisy Chain, UHD Capable through Daisy Chain, SpectraView Engine Color Control, Local Dimming, USB Media Player, Full External Control through LAN Daisy Chain/RS232, RPi Compute Module Compatible, OPS Slot Support, 3 Year Warranty (Suggested Replacement for X555UNV) </t>
  </si>
  <si>
    <t>UN552S</t>
  </si>
  <si>
    <t xml:space="preserve">UN552S, 55" Direct-Lit LCD, S-IPS, 28% Haze, 0.44mm Even Inactive Area around all sides (0.88mm total between displays), Factory Calibration for Out-of-the-Box Usage, Localized Dimming for higher Dynamic Contrast Ratio, 1920x1080 (FHD), Direct LED backlit unit, 700 cd/m2 brightness, HDMI x2/Daisy Chain, DisplayPort 1.2 x2/Daisy Chain, UHD Capable through Daisy Chain, SpectraView Engine Color Control, USB Media Player, Full External Control through LAN Daisy Chain/RS232, RPi Compute Module Compatible, OPS Slot Support, 3 Year Warranty (Suggested replacement for UN551S) </t>
  </si>
  <si>
    <t>UN552VS</t>
  </si>
  <si>
    <t>UN552VS, 55" Direct-Lit LCD, S-IPS, 28% Haze, 0.44mm Even Inactive Area around all sides (0.88mm total between displays), Factory Calibration for Out-of-the-Box Usage, Localized Dimming for higher Dynamic Contrast Ratio, 1920x1080 (FHD), Direct LED backlit unit, 500 cd/m2 brightness, HDMI x2/Daisy Chain, DisplayPort 1.2 x2/Daisy Chain, UHD Capable through Daisy Chain, SpectraView Engine Color Control, USB Media Player, Full External Control through LAN Daisy Chain/RS232, RPi Compute Module Compatible, OPS Slot Support, 3 Year Warranty (Suggested replacement for UN551VS)</t>
  </si>
  <si>
    <t>UN552V-TMX4P</t>
  </si>
  <si>
    <t>Qty 4 - UN552V bundled with four ONSTEMN-3Y-15 warranties, 25ft cat5e patch cable,  2 x 2 pull-out fully adjustable mounting system, Qty 2 - SurgeX four port power conditioners, Overframe Bezel Kit, Color Calibration Kit, IR/Remote Kit, FREE Standard Ground Freight.</t>
  </si>
  <si>
    <t>UN552V-TMX9P</t>
  </si>
  <si>
    <t>Qty 9 - UN552V bundled with nine ONSTEMN-3Y-15 warranties, 25ft cat5e patch cable,  3 x 3 pull-out fully adjustable mounting system, Qty 3 - SurgeX four port power conditioners, Overframe Bezel Kit, Color Calibration Kit, IR/Remote Kit, FREE Standard Ground Freight.</t>
  </si>
  <si>
    <t>UN552-TMX4P</t>
  </si>
  <si>
    <t>Qty 4 - UN552 bundled with four ONSTEMN-3Y-16 warranties, 25ft cat5e patch cable,  2 x 2 pull-out fully adjustable mounting system, Qty 2 - SurgeX four port power conditioners, Overframe Bezel Kit, Color Calibration Kit, IR/Remote Kit, FREE Standard Ground Freight.</t>
  </si>
  <si>
    <t>UN552-TMX9P</t>
  </si>
  <si>
    <t>Qty 9 - UN552 bundled with nine ONSTEMN-3Y-16 warranties, 25ft cat5e patch cable,  3 x 3 pull-out fully adjustable mounting system, Qty 3 - SurgeX four port power conditioners, Overframe Bezel Kit, Color Calibration Kit, IR/Remote Kit, FREE Standard Ground Freight.</t>
  </si>
  <si>
    <t>UN552S-TMX4P</t>
  </si>
  <si>
    <t xml:space="preserve">Qty 4 - UN552S bundled with four ONSTEMN-3Y-16 warranties, 25ft cat5e patch cable,  2 x 2 pull-out fully adjustable mounting system, Qty 2 - SurgeX four port power conditioners, IR/Remote Kit, Drop Ship Only, FREE Standard Ground Freight. </t>
  </si>
  <si>
    <t>UN552S-TMX9P</t>
  </si>
  <si>
    <t xml:space="preserve">Qty 9 - UN552S bundled with nine ONSTEMN-3Y-16 warranties, 25ft cat5e patch cable,  3 x 3 pull-out fully adjustable mounting system, Qty 3 - SurgeX four port power conditioners, IR/Remote Kit, Drop Ship Only, FREE Standard Ground Freight. </t>
  </si>
  <si>
    <t>UN552VS-TMX4P</t>
  </si>
  <si>
    <t>Qty 4 - UN552VS bundled with four ONSTEMN-3Y-15 warranties, 25ft cat5e patch cable,  2 x 2 pull-out fully adjustable mounting system, Qty 2 - SurgeX four port power conditioners, IR/Remote Kit, Drop Ship Only, FREE Standard Ground Freight.</t>
  </si>
  <si>
    <t>UN552VS-TMX9P</t>
  </si>
  <si>
    <t xml:space="preserve">Qty 9 - UN552VS bundled with nine ONSTEMN-3Y-15 warranties, 25ft cat5e patch cable,  3 x 3 pull-out fully adjustable mounting system, Qty 3 - SurgeX four port power conditioners, IR/Remote Kit, Drop Ship Only, FREE Standard Ground Freight. </t>
  </si>
  <si>
    <t>BT421</t>
  </si>
  <si>
    <t>BT421, 42” 16:4 aspect ratio stretch type LCD display, VA glass, 700 cd/m2, 44% haze, 1920 x 480 native resolution, DVI-D x2 / Out, LAN or RS232C Control, Landscape/Portrait, 3 year warranty</t>
  </si>
  <si>
    <t>4W-B55FT5U</t>
  </si>
  <si>
    <t>Value priced 55" Class (54.6" diagonal) AQUOS BOARD interactive display with 20-point multi-touch screen. Brilliant Ultra High Definition (3840 x 2160) resolution with 270 cd/m2 Brightness and 1,300:1 Contrast Ratio. Built-in USB Media Player, Digital Tuner, HTML5 Web Browser, Wireless Casting, and 8W per Channel Stereo Audio System. 3-Year Limited Warranty</t>
  </si>
  <si>
    <t>4W-B65FT5U</t>
  </si>
  <si>
    <t>Value priced 65" Class (64.5" diagonal) AQUOS BOARD interactive display with 20-point multi-touch screen. Brilliant Ultra High Definition (3840 x 2160) resolution with 300 cd/m2 Brightness and 1,300:1 Contrast Ratio. Built-in USB Media Player, Digital Tuner, HTML5 Web Browser, Wireless Casting, and 8W per Channel Stereo Audio System. 3-Year Limited Warranty</t>
  </si>
  <si>
    <t>4W-B75FT5U</t>
  </si>
  <si>
    <t>Value priced 75" Class (75.0" diagonal) AQUOS BOARD interactive display with 20-point multi-touch screen. Brilliant Ultra High Definition (3840 x 2160) resolution with 350 cd/m2 Brightness and 1,200:1 Contrast Ratio. Built-in USB Media Player, Digital Tuner, HTML5 Web Browser, Wireless Casting, and 8W per Channel Stereo Audio System. 3-Year Limited Warranty</t>
  </si>
  <si>
    <t>4W-B86FT5U</t>
  </si>
  <si>
    <t>Value priced 86" Class (85.6" diagonal)  AQUOS Board interactive display with 20-point multi-touch screen. Brilliant Ultra High Definition (3840 x 2160) resolution with 350 cd/m2 Brightness and 1,200:1 Contrast Ratio. Built-in USB Media Player, Digital Tuner, HTML5 Web Browser, Wireless Casting, and 8W per Channel Stereo Audio System. 3-Year Limited Warranty</t>
  </si>
  <si>
    <t>PN-L652B</t>
  </si>
  <si>
    <t>Spectacular 4K Ultra-HD 65" class (64 - 1/2" diagonal) AQUOS BOARD interactive display system with 20-point PrecisionTouch screen, built-in SoC controller, wireless connectivity, and OPS Expansion slot. PN-SPCi5W10C8GB PC and PN-ZCMS1 AV Soundbar sold separately. - Limited Availability</t>
  </si>
  <si>
    <t>PN-L752B</t>
  </si>
  <si>
    <t>Spectacular 4K Ultra-HD 75" class (74 - 1/2" diagonal) AQUOS BOARD interactive display system with 20-point PrecisionTouch screen, built-in SoC controller, wireless connectivity, and OPS Expansion slot. PN-SPCi5W10C8GB PC and PN-ZCMS1 AV Soundbar sold separately. - Limited Availability</t>
  </si>
  <si>
    <t>PN-L862B</t>
  </si>
  <si>
    <t>Spectacular 4K Ultra-HD 86" class (85 - 9/16" diagonal) AQUOS BOARD interactive display system with 20-point PrecisionTouch screen, built-in SoC controller, wireless connectivity, and OPS Expansion slot. PN-SPCi5W10C8GB PC and PN-ZCMS1 AV Soundbar sold separately. - Limited Availability</t>
  </si>
  <si>
    <t>PN-LC652</t>
  </si>
  <si>
    <t>Next generation 4K Ultra-HD 65" class (64 - 1/2" diagonal) AQUOS BOARD interactive display system with 20-point PrecisionTouch screen, built-in SoC controller, wireless connectivity, and OPS Expansion slot. PN-SPCi5W10C8GB PC and PN-ZCMS1 AV Soundbar sold separately. 5 Year limited warranty.</t>
  </si>
  <si>
    <t>PN-LC752</t>
  </si>
  <si>
    <t>Next generation 4K Ultra-HD 75" class (74 - 1/2" diagonal) AQUOS BOARD interactive display system with 20-point PrecisionTouch screen, built-in SoC controller, wireless connectivity, and OPS Expansion slot. PN-SPCi5W10C8GB PC and PN-ZCMS1 AV Soundbar sold separately. 5 Year limited warranty.</t>
  </si>
  <si>
    <t>PN-LC862</t>
  </si>
  <si>
    <t>Next generation 4K Ultra-HD 86" class (85 - 9/16" diagonal) AQUOS BOARD interactive display system with 20-point PrecisionTouch screen, built-in SoC controller, wireless connectivity, and OPS Expansion slot. PN-SPCi5W10C8GB PC and PN-ZCMS1 AV Soundbar sold separately. 5 Year limited warranty.</t>
  </si>
  <si>
    <t>PN-CD701</t>
  </si>
  <si>
    <t>Next-generation 70" Class (69.5" diagonal) 4K Ultra HD display, built-in microphone arrays, integrated high-quality video conference camera with 4K resolution and IoT sensor hub, Wireless and USB Type-C connectivity that works seamlessly with Microsoft 365 collaboration tools. It’s all backed by the cloud to deliver outstanding ease of use and enable the continual analysis of meeting room conditions and usage.</t>
  </si>
  <si>
    <t>LED-FE009i2-165IN</t>
  </si>
  <si>
    <t>dvLED 0.9mm pitch Video Wall - 165" diagonal 4K UHD (3840 x 2160) native resolution. Includes wall LED modules, controller, wall mount, frame and spare parts kit. Price includes complete installation services with non-union labor (US ONLY). Standard 3yr warranty. DROP SHIP ONLY</t>
  </si>
  <si>
    <t>Standard option
Installation Included</t>
  </si>
  <si>
    <t>LED-FE009i2-104IN</t>
  </si>
  <si>
    <t>dvLED 0.9mm pitch Video Wall - 104" diagonal 21:9 UW-FHD LED kit (2560 x 1080) native resolution.  Includes wall LED modules, redundant controllers and power supplies, wall mount, frame and spare parts kit. Price includes complete installation services with non-union labor (US ONLY). Standard 3yr warranty. BUILD TO ORDER</t>
  </si>
  <si>
    <t>LED-FE019i2-110IN</t>
  </si>
  <si>
    <t>dvLED 1.9mm pitch Video Wall - 110" diagonal HD (1280 x 720) native resolution.  Includes wall LED modules, controller, wall mount, frame and spare parts kit.  Price includes complete installation services with non-union labor (US  ONLY). Standard 3yr warranty. DROP SHIP ONLY</t>
  </si>
  <si>
    <t>LED-FE012i2-110IN</t>
  </si>
  <si>
    <t>dvLED 1.2mm pitch Video Wall - 110" diagonal FHD (1920 x 1080) native resolution.  Includes wall LED modules, controller, wall mount, frame and spare parts kit. Price includes complete installation services with non-union labor (US ONLY). Standard 3yr warranty. DROP SHIP ONLY</t>
  </si>
  <si>
    <t>LED-FE015i2-137IN</t>
  </si>
  <si>
    <t>dvLED 1.5mm pitch Video Wall - 137" diagonal FHD (1920 x 1080) native resolution.  Includes wall LED modules, controller, wall mount, frame and spare parts kit. Price includes complete installation services with non-union labor (US ONLY). Standard 3yr warranty. DROP SHIP ONLY</t>
  </si>
  <si>
    <t>LED-FE019i2-165IN</t>
  </si>
  <si>
    <t>dvLED 1.9mm pitch Video Wall - 165" diagonal FHD (1920 x 1080) native resolution.  Includes wall LED modules, controller, wall mount, frame and spare parts kit. Price includes complete installation services with non-union labor (US ONLY). Standard 3yr warranty. DROP SHIP ONLY</t>
  </si>
  <si>
    <t>LED-FE012i2-220IN</t>
  </si>
  <si>
    <t>dvLED 1.2mm pitch Video Wall - 220" diagonal 4K UHD (3840 x 2160) native resolution.  Includes wall LED modules, controller, wall mount, frame and spare parts kit. Price includes complete installation services with non-union labor (US ONLY).  Standard 3yr warranty. DROP SHIP ONLY, BUILD TO ORDER</t>
  </si>
  <si>
    <t>LED-FE025i2-220IN</t>
  </si>
  <si>
    <t>dvLED 2.5mm pitch Video Wall - 220" diagonal Full HD (1920 x 1080) native resolution.  Includes wall LED modules, controller, wall mount, frame and spare parts kit. Price includes complete installation services with non-union labor (US ONLY).  Standard 3yr warranty. DROP SHIP ONLY, BUILD TO ORDER</t>
  </si>
  <si>
    <t>LED-E012i-108IN</t>
  </si>
  <si>
    <t>dvLED 1.2mm pitch Video Wall - 108" diagonal FHD (1920 x 1080) native resolution.  Includes wall LED modules, controller, wall mount, frame and spare parts kit. Price includes complete installation services with non-union labor (US ONLY). Standard 2yr warranty. DROP SHIP ONLY</t>
  </si>
  <si>
    <t>Lower cost option
Installation Included</t>
  </si>
  <si>
    <t>LED-E015i-135IN</t>
  </si>
  <si>
    <t>dvLED 1.5mm pitch Video Wall - 135" diagonal FHD (1920 x 1080) native resolution.  Includes wall LED modules, controller, wall mount, frame and spare parts kit. Price includes complete installation services with non-union labor (US ONLY). Standard 2yr warranty. DROP SHIP ONLY</t>
  </si>
  <si>
    <t>LED-E018i-162IN</t>
  </si>
  <si>
    <t>dvLED 1.8mm pitch Video Wall - 162" diagonal FHD (1920 x 1080) native resolution.  Includes wall LED modules, controller, wall mount, frame and spare parts kit. Price includes complete installation services with non-union labor (US ONLY). Standard 2yr warranty. DROP SHIP ONLY</t>
  </si>
  <si>
    <t>LED-E012i-217IN</t>
  </si>
  <si>
    <t>dvLED 1.2mm pitch Video Wall - 217" diagonal 4K UHD (3840 x 2160) native resolution.  Includes wall LED modules, controller, wall mount, frame and spare parts kit. Price includes complete installation services with non-union labor (US ONLY). Standard 2yr warranty. DROP SHIP ONLY</t>
  </si>
  <si>
    <t>LED-E025i-217IN</t>
  </si>
  <si>
    <t>dvLED 2.5mm pitch Video Wall - 217" diagonal FHD (1920 x 1080) native resolution.  Includes wall LED modules, controller, wall mount, frame and spare parts kit. Price includes complete installation services with non-union labor (US ONLY). Standard 2yr warranty. DROP SHIP ONLY</t>
  </si>
  <si>
    <t>LED-FC009i-165IN</t>
  </si>
  <si>
    <t>COB Flip Chip dvLED 0.9mm pitch Video Wall - 165" diagonal 4K UHD (3840 x 2160) native resolution. Includes wall LED modules, controller, wall mount, frame and spare parts kit. Price includes complete installation services with non-union labor (US ONLY). Standard 3yr warranty. DROP SHIP ONLY</t>
  </si>
  <si>
    <t>Low Power, Durable
Installation Included</t>
  </si>
  <si>
    <t>LED-FC012i-110IN</t>
  </si>
  <si>
    <t>COB Flip Chip dvLED 1.2mm pitch Video Wall - 110" diagonal FHD (1920 x 1080) native resolution.  Includes wall LED modules, controller, wall mount, frame and spare parts kit. Price includes complete installation services with non-union labor (US ONLY). Standard 3yr warranty. DROP SHIP ONLY</t>
  </si>
  <si>
    <t>LED-FC012i-220IN</t>
  </si>
  <si>
    <t>COB Flip Chip dvLED 1.2mm pitch Video Wall - 220" diagonal 4K UHD (3840 x 2160) native resolution.  Includes wall LED modules, controller, wall mount, frame and spare parts kit. Price includes complete installation services with non-union labor (US ONLY).  Standard 3yr warranty. DROP SHIP ONLY, BUILD TO ORDER</t>
  </si>
  <si>
    <t>LED-FC015i-137IN</t>
  </si>
  <si>
    <t>COB Flip Chip dvLED 1.5mm pitch Video Wall - 137" diagonal FHD (1920 x 1080) native resolution.  Includes wall LED modules, controller, wall mount, frame and spare parts kit. Price includes complete installation services with non-union labor (US ONLY). Standard 3yr warranty. DROP SHIP ONLY</t>
  </si>
  <si>
    <t>LED-FA009i2-165IN</t>
  </si>
  <si>
    <t>dvLED 0.9mm pitch Video Wall - 165" diagonal 4K UHD (3840 x 2160) native resolution.  Includes wall LED modules, redundant controllers and power supplies, wall mount, frame and spare parts kit. Price includes complete installation services with non-union labor (US ONLY). Standard 3yr warranty. BUILD TO ORDER</t>
  </si>
  <si>
    <t>FA = Full Redunant system 
Installation Included</t>
  </si>
  <si>
    <t>LED-FA019i2-110IN</t>
  </si>
  <si>
    <t>dvLED 1.9mm pitch Video Wall - 110" diagonal HD (1280 x 720) native resolution.  Includes wall LED modules, redundant controllers and power supplies, wall mount, frame and spare parts kit. Price includes complete installation services with non-union labor (US ONLY). Standard 3yr warranty. BUILD TO ORDER</t>
  </si>
  <si>
    <t>LED-FA012i2-110IN</t>
  </si>
  <si>
    <t>dvLED 1.2mm pitch Video Wall - 110" diagonal FHD (1920 x 1080) native resolution.  Includes wall LED modules, redundant controllers and power supplies, wall mount, frame and spare parts kit. Price includes complete installation services with non-union labor (US ONLY). Standard 3yr warranty. BUILD TO ORDER</t>
  </si>
  <si>
    <t>LED-FA015i2-137IN</t>
  </si>
  <si>
    <t>dvLED 1.5mm pitch Video Wall - 137" diagonal FHD (1920 x 1080) native resolution.  Includes wall LED modules, redundant controllers and power supplies, wall mount, frame and spare parts kit. Price includes complete installation services with non-union labor (US ONLY). Standard 3yr warranty. BUILD TO ORDER</t>
  </si>
  <si>
    <t>LED-FA019i2-165IN</t>
  </si>
  <si>
    <t>dvLED 1.9mm pitch Video Wall - 165" diagonal FHD (1920 x 1080) native resolution.  Includes wall LED modules, redundant controllers and power supplies, wall mount, frame and spare parts kit. Price includes complete installation services with non-union labor (US ONLY). Standard 3yr warranty. BUILD TO ORDER</t>
  </si>
  <si>
    <t>LED-FA012i2-220IN</t>
  </si>
  <si>
    <t>dvLED 1.2mm pitch Video Wall - 220" diagonal 4K UHD (3840 x 2160) native resolution.  Includes wall LED modules, redundant controllers and power supplies, wall mount, frame and spare parts kit. Price includes complete installation services with non-union labor (US ONLY).  Standard 3yr warranty. BUILD TO ORDER</t>
  </si>
  <si>
    <t>LED-FA025i2-220IN</t>
  </si>
  <si>
    <t>dvLED 2.5mm pitch Video Wall - 220" diagonal FHD (1920 x 1080) native resolution.  Includes wall LED modules, redundant controllers and power supplies, wall mount, frame and spare parts kit. Price includes complete installation services with non-union labor (US ONLY).  Standard 3yr warranty. BUILD TO ORDER</t>
  </si>
  <si>
    <t>NP-PE456USL</t>
  </si>
  <si>
    <t>WUXGA LCD, Laser Light Source, 20,000 hours light source life, 4500 Lumen, Short Throw Entry Installation Projector - Dual HDMI, VGA, 17.9 lbs., 5 Year Warranty</t>
  </si>
  <si>
    <t>NP-PE506WL</t>
  </si>
  <si>
    <t>WXGA LCD, Laser Light Source, 20,000 hours light source life, 5200 Lumen Entry Installation Projector - Lens Shift, Dual HDMI, VGA, 17.3 lbs., 5 Year Warranty</t>
  </si>
  <si>
    <t>NP-PE506UL</t>
  </si>
  <si>
    <t>WUXGA LCD, Laser Light Source, 20,000 hours light source life, 5200 Lumen Entry Installation Projector - Lens Shift, Dual HDMI, VGA, 17.5 lbs., 5 Year Warranty</t>
  </si>
  <si>
    <t>NP-P547UL</t>
  </si>
  <si>
    <t>WUXGA LCD, 5400 Lumen, Entry Installation Laser Projector - Laser Phosphor Light Source, Filter-Free, Whisper Quiet, Manual H&amp;V Lens Shift, HDBaseT, Dual HDMI, MultiPresenter, 20.7 lbs., 5 Year Warranty (Suggested Replacement Model for the NP-P525UL)</t>
  </si>
  <si>
    <t>NP-P627UL</t>
  </si>
  <si>
    <t>WUXGA LCD, 6200 Lumen, Entry Installation Laser Projector - Laser Phosphor Light Source, Filter-Free, Whisper Quiet, Manual H&amp;V Lens Shift, HDBaseT, Dual HDMI, MultiPresenter, 20.7 lbs., 5 Year Warranty (Suggested Replacement Model for the NP-P605UL)</t>
  </si>
  <si>
    <t>NP-PV710UL-B1-13ZL</t>
  </si>
  <si>
    <t>WUXGA LCD, 7100 Lumen Advanced Professional Laser Installation Projector (THIS PRODUCT SHIPS WITH THE NP13ZL LENS) - 3,000,000:1 Contrast (with Light Adjust), Laser Light Source, 4K Ready, Center lens design, HDBaseT Input, Dual HDMI, Manual Lens, ProAssist Software with Geometric Correction, BLACK CABINET, 24.7 lbs, 5yr Warranty (Can only be sold to authorized integrators and cannot be sold on the internet)</t>
  </si>
  <si>
    <t>NP-PV710UL-W1-13ZL</t>
  </si>
  <si>
    <t>NP-PV800UL-B1</t>
  </si>
  <si>
    <t>WUXGA LCD, 8000 Lumen Advanced Professional Laser Installation Projector (THIS PRODUCT SHIPS WITHOUT A LENS) - 3,000,000:1 Contrast (with Light Adjust), Laser Light Source, 4K Ready, Center lens design, HDBaseT Input, Dual HDMI, VGA, Motorized Lenses, ProAssist Software with Geometric Correction, BLACK CABINET, 24.7 lbs, 5yr Warranty (Can only be sold to authorized integrators and cannot be sold on the internet)</t>
  </si>
  <si>
    <t>NP-PV800UL-B1-41ZL</t>
  </si>
  <si>
    <t>NP-PV800UL-B1 with NP41ZL lens.  Bundle includes PV800UL-B1 projector and NP41ZL lens, BLACK CABINET, 5 Year Warranty (Can only be sold to authorized integrators and cannot be sold on the internet)</t>
  </si>
  <si>
    <t>NP-PV800UL-W1</t>
  </si>
  <si>
    <t>WUXGA LCD, 8000 Lumen Advanced Professional Laser Installation Projector (THIS PRODUCT SHIPS WITHOUT A LENS) - 3,000,000:1 Contrast (with Light Adjust), Laser Light Source, 4K Ready, Center lens design, HDBaseT Input, Dual HDMI, VGA, Motorized Lenses, ProAssist Software with Geometric Correction, WHITE CABINET, 24.7 lbs, 5yr Warranty (Can only be sold to authorized integrators and cannot be sold on the internet)</t>
  </si>
  <si>
    <t>NP-PV800UL-W1-41ZL</t>
  </si>
  <si>
    <t>NP-PV800UL-W1 with NP41ZL lens.  Bundle includes PV800UL-W1 projector and NP41ZL lens, WHITE CABINET, 5 Year Warranty (Can only be sold to authorized integrators and cannot be sold on the internet)</t>
  </si>
  <si>
    <t>NP-PX1004UL-WH</t>
  </si>
  <si>
    <t>WUXGA 1-Chip DLP, Laser Light Source, 20,000 hours light source life, 10,000 Lumen Advanced Professional Installation Projector (THIS PRODUCT SHIPS WITHOUT A LENS) - 10,000:1 Contrast (with iris), Center lens design, HDBaseT, HDMI, 2 analog RGB, DisplayPort, 3D Sync, Closed Captioning, Full Geometric Correction Including Edge Blending and Stacking, WHITE CABINET, 63.9 lbs., 5 Year Warranty (Can only be sold to authorized integrators and cannot be sold on the internet)</t>
  </si>
  <si>
    <t>DLP</t>
  </si>
  <si>
    <t>NP-PX1004UL-BK</t>
  </si>
  <si>
    <t>WUXGA 1-Chip DLP, Laser Light Source, 20,000 hours light source life, 10,000 Lumen Advanced Professional Installation Projector (THIS PRODUCT SHIPS WITHOUT A LENS) - 10,000:1 Contrast (with iris), Center lens design, HDBaseT, HDMI, 2 analog RGB, DisplayPort, 3D Sync, Closed Captioning, Full Geometric Correction Including Edge Blending and Stacking, BLACK CABINET, 63.9 lbs., 5 Year Warranty (Can only be sold to authorized integrators and cannot be sold on the internet) (Can only be sold to authorized integrators and cannot be sold on the internet)</t>
  </si>
  <si>
    <t>NP-PX1004UL-W-18</t>
  </si>
  <si>
    <t>NP-PX1004UL-WH with NP18ZL lens.  Bundle includes PX1004UL-WH projector and NP18ZL lens, 5 Year Warranty (Can only be sold to authorized integrators and cannot be sold on the internet)</t>
  </si>
  <si>
    <t>NP-PX1004UL-B-18</t>
  </si>
  <si>
    <t>NP-PX1004UL-BK with NP18ZL lens.  Bundle includes PX1004UL-BK projector and NP18ZL lens, 5 Year Warranty (Can only be sold to authorized integrators and cannot be sold on the internet)</t>
  </si>
  <si>
    <t>NP-PX2201UL</t>
  </si>
  <si>
    <t>WUXGA 1-Chip DLP, RB Laser (Red Assist) Light Source, 20,000 hours light source life, 21,500 Lumen Advanced Professional Installation Projector (THIS PRODUCT SHIPS WITHOUT A LENS) - 10,000:1 Contrast (with Dynamic Black), Center lens design, HDBaseT, Dual HDMI, DVI-D, DisplayPort, RGBHV, VGA, 3D Sync, Full Geometric Correction Including Edge Blending, BLACK CABINET, 119 lbs., 5 Year Warranty (Can only be sold to authorized integrators and cannot be sold on the internet) (Can only be sold to authorized integrators and cannot be sold on the internet)</t>
  </si>
  <si>
    <t>NP-PX2201UL-48ZL</t>
  </si>
  <si>
    <t>NP-PX2201UL with NP48ZL lens.  Bundle includes PX2201UL projector and NP48ZL lens, 5 Year Warranty (Can only be sold to authorized integrators and cannot be sold on the internet)</t>
  </si>
  <si>
    <t>NP-PH3501QL</t>
  </si>
  <si>
    <t>4K 3-Chip DLP, RB Laser Light Source, 20,000 hours light source life, 40,000 Lumen Integration Projector (THIS PRODUCT SHIPS WITHOUT A LENS), (Includes NP-LV01BD) - 2000:1 Contrast (with iris), Liquid Cooled, Portrait &amp; Tilt Free, 3D Sync, Full Geometric Correction Including Edge Blending, 372.6 lbs., 5 Year Warranty. (Can only be sold to authorized integrators and cannot be sold on the internet)</t>
  </si>
  <si>
    <t>4K
3 CHIP DLP</t>
  </si>
  <si>
    <t>Not a Shure part</t>
  </si>
  <si>
    <t>Discontinued</t>
  </si>
  <si>
    <t>MXA920W-60CM</t>
  </si>
  <si>
    <t>CEILING ARRAY,White,60CM (Replaces MXA910W-60CM)</t>
  </si>
  <si>
    <t>MXA920W-S</t>
  </si>
  <si>
    <t>Ceiling Mic Array, 2x2 Dante (replaces MXA910W-US)</t>
  </si>
  <si>
    <t>SRH440A</t>
  </si>
  <si>
    <t>Professional Studio Headphones</t>
  </si>
  <si>
    <t>ULXD1</t>
  </si>
  <si>
    <t>ULXD2/B58</t>
  </si>
  <si>
    <t>ZRK-BH12D/F</t>
  </si>
  <si>
    <t>110" 1.2mm Full HD Direct View LED Bundle BH Series</t>
  </si>
  <si>
    <t>ZRK-BH15D/F</t>
  </si>
  <si>
    <t xml:space="preserve">137" 1.5mm Full HD Direct View LED Bundle BH Series </t>
  </si>
  <si>
    <t>ZRK-CH12D/F</t>
  </si>
  <si>
    <t>110" 1.2mm Full HD Direct View LED Bundle CH Series</t>
  </si>
  <si>
    <t>ZRK-CH15D/F</t>
  </si>
  <si>
    <t>137" 1.5mm Full HD Direct View LED Bundle CH Series</t>
  </si>
  <si>
    <t>ZRK-BH12D/U</t>
  </si>
  <si>
    <t>220" 1.2mm 4K Direct View LED Bundle BHSeries</t>
  </si>
  <si>
    <t>ZRK-BH15D/U</t>
  </si>
  <si>
    <t>275" 1.5mm 4K Direct View LED Bundle BH Series</t>
  </si>
  <si>
    <t>ZRK-CH12D/U</t>
  </si>
  <si>
    <t>220" 1.2mm 4K Direct View LED Bundle CH Series</t>
  </si>
  <si>
    <t>ZRK-CH15D/U</t>
  </si>
  <si>
    <t>275" 1.5mm 4K Direct View LED Bundle CH Series</t>
  </si>
  <si>
    <t>FW-43BZ30L</t>
  </si>
  <si>
    <t>43" Bravia 4K HDR Professional Display (Complete Line)</t>
  </si>
  <si>
    <t>New Model</t>
  </si>
  <si>
    <t>FW-50BZ30L</t>
  </si>
  <si>
    <t>50" Bravia 4K HDR Professional Display (Complete line)</t>
  </si>
  <si>
    <t>FW-55BZ30L</t>
  </si>
  <si>
    <t>55" Bravia 4K HDR Professional Display (Complete line)</t>
  </si>
  <si>
    <t>FW-65BZ30L</t>
  </si>
  <si>
    <t>65" Bravia 4K HDR Professional Display (Complete line)</t>
  </si>
  <si>
    <t>FW-75BZ30L</t>
  </si>
  <si>
    <t>75" Bravia 4K HDR Professional Display (Complete line)</t>
  </si>
  <si>
    <t>FW-85BZ30L</t>
  </si>
  <si>
    <t>85" Bravia 4K HDR Professional Display (Complete line)</t>
  </si>
  <si>
    <t>FW-98BZ30L</t>
  </si>
  <si>
    <t>98" Bravia 4K HDR Professional Display (Complete line)</t>
  </si>
  <si>
    <t>32" Bravia 4K HDR Professional Display (Standard Line)</t>
  </si>
  <si>
    <t>43" Bravia 4K HDR Professional Display  (Standard line)</t>
  </si>
  <si>
    <t>55" Bravia 4K HDR Professional Display (Standard line)</t>
  </si>
  <si>
    <t>65" Bravia 4K HDR Professional Display (Standard line)</t>
  </si>
  <si>
    <t>75" Bravia 4K HDR Professional Dsiplay (Standard line)</t>
  </si>
  <si>
    <t>FW-55BZ40L</t>
  </si>
  <si>
    <t>55" Bravia 4K HDR Professional Display (High Bright / non-glare)</t>
  </si>
  <si>
    <t>FW-65BZ40L</t>
  </si>
  <si>
    <t>65" Bravia 4K HDR Professional Display (High Bright / non-glare)</t>
  </si>
  <si>
    <t>FW-75BZ40L</t>
  </si>
  <si>
    <t>75" Bravia 4K HDR Professional Display (High Bright / non-glare)</t>
  </si>
  <si>
    <t>FW-85BZ40L</t>
  </si>
  <si>
    <t>43" Bravia 4K HDR Professional Display (High End Line)</t>
  </si>
  <si>
    <t>55" Bravia 4K HDR Professional Display (High End Line)</t>
  </si>
  <si>
    <t>65" Bravia 4K HDR Professional Display (High End Line)</t>
  </si>
  <si>
    <t>75" Bravia 4K HDR Professional Display (High End Line)</t>
  </si>
  <si>
    <t>85" Bravia 4K HDR Professional Display (High End Line)</t>
  </si>
  <si>
    <t>100" Bravia 4K HDR Professional Display (High End Line)</t>
  </si>
  <si>
    <t>To be replaced by FW98BZ50L</t>
  </si>
  <si>
    <t>FW-98BZ50L</t>
  </si>
  <si>
    <t xml:space="preserve">98" Bravia 4K HDR Professional Display (Flagship Line) </t>
  </si>
  <si>
    <t>FWD-55X75K</t>
  </si>
  <si>
    <t>FWD-65X75K</t>
  </si>
  <si>
    <t>FWD-75X80K</t>
  </si>
  <si>
    <t>FWD-85X80K</t>
  </si>
  <si>
    <t>Sound Control Technologies</t>
  </si>
  <si>
    <t>RC-EDA</t>
  </si>
  <si>
    <t>Adapter: Dual Output HDMI DA with CEC to RS-232 and Ethernet Conversion</t>
  </si>
  <si>
    <t>RC-SCLR</t>
  </si>
  <si>
    <t>Adapter: Poly EagleEye I, II, III Scaler and DA</t>
  </si>
  <si>
    <t>RC-SDA</t>
  </si>
  <si>
    <t>Adapter: RC-SDA Poly HDCI to dual output HDMI</t>
  </si>
  <si>
    <t>RC-SDA+</t>
  </si>
  <si>
    <t>Adapter: RC-SDA + Poly EagleEye IV USB3 Camera Bridge</t>
  </si>
  <si>
    <t>RC-SDA-PE4</t>
  </si>
  <si>
    <t>RM-C303</t>
  </si>
  <si>
    <t>Adapter: Clock Audio C303 ceiling microphone to Cisco Codec Plus/PRO mic input Interface</t>
  </si>
  <si>
    <t>RM-P20</t>
  </si>
  <si>
    <t>Adapter: Cisco Mic Adapter : 3.5mm TRRS to 4Pin Phoenix</t>
  </si>
  <si>
    <t>RM-PRO</t>
  </si>
  <si>
    <t>Adapter: Cisco Audio: RTK : 3.5mm TRRS to 4pin Phoenix, pair (RTK kit only)</t>
  </si>
  <si>
    <t>RM-PRO-M</t>
  </si>
  <si>
    <t>Adapter: Cisco Audio: RTK : 3.5mm TRRS Male to 4pin Phoenix Male, 4 Pack</t>
  </si>
  <si>
    <t>RC4-5Y</t>
  </si>
  <si>
    <t>&lt;&lt; Additional 2 Year Warranty&gt;&gt; RemoteCam4™</t>
  </si>
  <si>
    <t>RC5-5Y</t>
  </si>
  <si>
    <t>&lt;&lt; Additional 2 Year Warranty&gt;&gt;RemoteCam5™</t>
  </si>
  <si>
    <t>RC6-5Y</t>
  </si>
  <si>
    <t>&lt;&lt; Additional 2 Year Warranty&gt;&gt;RemoteCam6™</t>
  </si>
  <si>
    <t>RC7-5Y</t>
  </si>
  <si>
    <t>&lt;&lt; Additional 2 Year Warranty&gt;&gt;RemoteCam7™</t>
  </si>
  <si>
    <t>RC8-5Y</t>
  </si>
  <si>
    <t>&lt;&lt; Additional 2 Year Warranty&gt;&gt;RemoteCam8™</t>
  </si>
  <si>
    <t>RCF1-5Y</t>
  </si>
  <si>
    <t>&lt;&lt; Additional 2 Year Warranty&gt;&gt;RemoteCamFiber1™</t>
  </si>
  <si>
    <t>RCF2-5Y</t>
  </si>
  <si>
    <t>&lt;&lt; Additional 2 Year Warranty&gt;&gt;RemoteCamFiber2™</t>
  </si>
  <si>
    <t>RC-PSE-5Y</t>
  </si>
  <si>
    <t>&lt;&lt; Additional 2 Year Warranty&gt;&gt;RemoteCamPSE™</t>
  </si>
  <si>
    <t>RC-SDA+-5Y</t>
  </si>
  <si>
    <t>&lt;&lt; Additional 2 Year Warranty&gt;&gt;RC-SDA+™</t>
  </si>
  <si>
    <t>RC-SDA-5Y</t>
  </si>
  <si>
    <t>&lt;&lt; Additional 2 Year Warranty&gt;&gt;RC-SDA™</t>
  </si>
  <si>
    <t>RCU2S-5Y</t>
  </si>
  <si>
    <t>&lt;&lt; Additional 2 Year Warranty&gt;&gt;RemoteCamRCU2S™</t>
  </si>
  <si>
    <t>RTK-8CP-5Y</t>
  </si>
  <si>
    <t>&lt;&lt; Additional 2 Year Warranty&gt;&gt;RTK-8CP™</t>
  </si>
  <si>
    <t>RTK-MINI-5Y</t>
  </si>
  <si>
    <t>&lt;&lt; Additional 2 Year Warranty&gt;&gt;RTK-MINI™</t>
  </si>
  <si>
    <t>RTK-PLUS-5Y</t>
  </si>
  <si>
    <t>&lt;&lt; Additional 2 Year Warranty&gt;&gt;RTK-PLUS™</t>
  </si>
  <si>
    <t>RTK-X57-5Y</t>
  </si>
  <si>
    <t>&lt;&lt; Additional 2 Year Warranty&gt;&gt;RTK-X57™</t>
  </si>
  <si>
    <t>USB3-1x2-NPS-5Y</t>
  </si>
  <si>
    <t>&lt;&lt; Additional 2 Year Warranty&gt;&gt;USB3-1x2-NPS™</t>
  </si>
  <si>
    <t>USB3-1x2-xxx-5Y</t>
  </si>
  <si>
    <t>&lt;&lt; Additional 2 Year Warranty&gt;&gt;USB3-1x2-xxx™</t>
  </si>
  <si>
    <t>RCF1-CW4</t>
  </si>
  <si>
    <t>Fiber Transport of HDMI Video + Ethernet Control + Serial Visca Loop + 12V Output + ARC/Analog Audio I/O + HDMI Distribution Amp, 300 meters</t>
  </si>
  <si>
    <t>RCF1-E4P</t>
  </si>
  <si>
    <t>RCF1-P60</t>
  </si>
  <si>
    <t>RCF1-UNI</t>
  </si>
  <si>
    <t>RCF2-CQC</t>
  </si>
  <si>
    <t>Fiber Transport of Dual HDMI Video + Ethernet Control + Serial Visca Loop + 12V Output + ARC/Analog Audio I/O + Dual HDMI Distribution Amp, 300 meters</t>
  </si>
  <si>
    <t>RCF2-CST</t>
  </si>
  <si>
    <t>RC5-1BC</t>
  </si>
  <si>
    <t>RemoteCam5™ [HDMI + IP Control + 12V Camera Power]</t>
  </si>
  <si>
    <t>RC5-APA</t>
  </si>
  <si>
    <t>RC5-BCS</t>
  </si>
  <si>
    <t>RC5-BRC</t>
  </si>
  <si>
    <t>RC5-CW4</t>
  </si>
  <si>
    <t>RC5-HHV</t>
  </si>
  <si>
    <t>RC5-HST</t>
  </si>
  <si>
    <t>RC5-P13</t>
  </si>
  <si>
    <t>RC5-P40</t>
  </si>
  <si>
    <t>RC5-UNI</t>
  </si>
  <si>
    <t>RC5-URM</t>
  </si>
  <si>
    <t>RC5-USM</t>
  </si>
  <si>
    <t>RC6-CST</t>
  </si>
  <si>
    <t>RemoteCam6™ [Dual HDMI + IP Control + 12V Camera Power + HDMI DA + RC-RKM Rack Shelf]</t>
  </si>
  <si>
    <t>RC8-CQC</t>
  </si>
  <si>
    <t>RemoteCam8™ [Dual HDMI + IP Control + Bi-Direction Audio/ARC(HDMI) + 12V Power + HDMI DA + RC-RKM Rack Shelf]</t>
  </si>
  <si>
    <t>RC4-1BC</t>
  </si>
  <si>
    <t>RemoteCam4™ [HDMI + Serial Control + 12V Camera Power]</t>
  </si>
  <si>
    <t>RC4-APA</t>
  </si>
  <si>
    <t>RC4-AS6</t>
  </si>
  <si>
    <t>RC4-CC6</t>
  </si>
  <si>
    <t>RC4-E4C</t>
  </si>
  <si>
    <t>RC4-E4P</t>
  </si>
  <si>
    <t>RC4-HHV</t>
  </si>
  <si>
    <t>RC4-HST</t>
  </si>
  <si>
    <t>RC4-P13</t>
  </si>
  <si>
    <t>RC4-P40</t>
  </si>
  <si>
    <t>RC4-PHD</t>
  </si>
  <si>
    <t>RC4-Producer</t>
  </si>
  <si>
    <t>RC4-PSA</t>
  </si>
  <si>
    <t>RC4-PSB</t>
  </si>
  <si>
    <t>RC4-PSX</t>
  </si>
  <si>
    <t>RC4-R5X</t>
  </si>
  <si>
    <t>RC4-RHD</t>
  </si>
  <si>
    <t>RC4-SL1</t>
  </si>
  <si>
    <t>RC4-UNI</t>
  </si>
  <si>
    <t>RC4-URM</t>
  </si>
  <si>
    <t>RC4-USM</t>
  </si>
  <si>
    <t>RC-PSE-BRE</t>
  </si>
  <si>
    <t>RemoteCamPSE™ [Serial Visca Loop + Ethernet Control + 12V Power ]</t>
  </si>
  <si>
    <t>RC-PSE-P40</t>
  </si>
  <si>
    <t>RC-PSE-P60</t>
  </si>
  <si>
    <t>RTK-8CP</t>
  </si>
  <si>
    <t>Table Kit:Transports up to (8) Table E Mics. Includes the RM-PRO-M (4 pack) TRRS to 4Pin Phoenix adapters. Pair with the RTK-MINI for Codec Pro installation.</t>
  </si>
  <si>
    <t>RTK-MINI</t>
  </si>
  <si>
    <t>TableKit:Extends 1080P HDMI Content + Touch 10 Ethernet w/POE + USB2.0 Device Mode + 100 meters</t>
  </si>
  <si>
    <t>RTK-MINI-USB</t>
  </si>
  <si>
    <t>TableKit: Extends 1080P HDMI Content + Touch 10 Ethernet w/POE + USB2.0 Device Mode + 100 meters</t>
  </si>
  <si>
    <t>RTK-MINI-X30</t>
  </si>
  <si>
    <t>RTK-PLUS</t>
  </si>
  <si>
    <t>TableKit: Extends 1080P HDMI Content + (3) Mic20/J + Touch 10 Ethernet w/POE + Audio I/O + USB2.0 Device Mode + 100 meters.</t>
  </si>
  <si>
    <t>RTK-PRO</t>
  </si>
  <si>
    <t>TableKit: Extends 1080P HDMI Content + (3) Mic60/E + Touch 10 Ethernet w/POE + Audio I/O + USB2.0 Device Mode + 100 meters</t>
  </si>
  <si>
    <t>RTK-X57</t>
  </si>
  <si>
    <t>TableKit: Extends 1080P HDMI Content + Poly Expansion Mic Interface + TC8 Support + Audio I/O + USB2.0 Device Mode + 100 meters</t>
  </si>
  <si>
    <t>RTK-X57-PSU</t>
  </si>
  <si>
    <t>RCU2S-A10</t>
  </si>
  <si>
    <t>RemoteCamUSB2s™ [USB2.0/UVC + 5/12V Camera Power+Bi-Directional Audio]</t>
  </si>
  <si>
    <t>RCU2S-AA8</t>
  </si>
  <si>
    <t>RemoteCamUSB2s™ [USB2.0/UVC + Serial Control Loop + 5/12V Camera Power+Bi-Directional Audio]</t>
  </si>
  <si>
    <t>RCU2S-B00</t>
  </si>
  <si>
    <t>RCU2S-B10</t>
  </si>
  <si>
    <t>RCU2S-B1B6</t>
  </si>
  <si>
    <t>RCU2S-B20</t>
  </si>
  <si>
    <t>RCU2S-B2A8</t>
  </si>
  <si>
    <t>RCU2S-BA8</t>
  </si>
  <si>
    <t>RCU2S-BPC</t>
  </si>
  <si>
    <t>RCU2S-C00</t>
  </si>
  <si>
    <t>RCU2S-C10</t>
  </si>
  <si>
    <t>RCU2S-C20</t>
  </si>
  <si>
    <t>RCU2S-C2B6</t>
  </si>
  <si>
    <t>RCU2S-C30</t>
  </si>
  <si>
    <t>RCU2S-CA8</t>
  </si>
  <si>
    <t>RCU2S-CC8</t>
  </si>
  <si>
    <t>RCU2S-E10</t>
  </si>
  <si>
    <t>RCU2S-E1B6</t>
  </si>
  <si>
    <t>RCU2S-E4C</t>
  </si>
  <si>
    <t>RCU2S-E4U</t>
  </si>
  <si>
    <t>RCU2S-E70</t>
  </si>
  <si>
    <t>RCU2S-EA8</t>
  </si>
  <si>
    <t>RCU2S-G30</t>
  </si>
  <si>
    <t>RCU2S-GC8</t>
  </si>
  <si>
    <t>RCU2S-H00</t>
  </si>
  <si>
    <t>RCU2S-J50</t>
  </si>
  <si>
    <t>RCU2S-LMU</t>
  </si>
  <si>
    <t>RCU2S-LRC</t>
  </si>
  <si>
    <t>RCU2S-PD2</t>
  </si>
  <si>
    <t>RCU2S-PRO</t>
  </si>
  <si>
    <t>RCU2S-PSU</t>
  </si>
  <si>
    <t>RCT-EE4</t>
  </si>
  <si>
    <t>RCT™ Ceiling Mount - Drop Tile : Poly EagleEye IV</t>
  </si>
  <si>
    <t>RCT-PH1</t>
  </si>
  <si>
    <t>RCT™ Ceiling Mount - Drop Tile : Cisco PrecisionHD 12x/4x</t>
  </si>
  <si>
    <t>RCT-UNI</t>
  </si>
  <si>
    <t>RCT™ Ceiling Mount - Drop Tile : Universal Round Camera Base</t>
  </si>
  <si>
    <t>RCS-EE4</t>
  </si>
  <si>
    <t>RCS™ Ceiling Mount - Dry Wall : Poly EagleEye IV</t>
  </si>
  <si>
    <t>RCS-PH1</t>
  </si>
  <si>
    <t>RCS™ Ceiling Mount - Dry Wall : Cisco PrecisionHD 12x/4x</t>
  </si>
  <si>
    <t>RCS-UNI</t>
  </si>
  <si>
    <t>RCS™ Ceiling Mount - Dry Wall : Universal Round Camera Base</t>
  </si>
  <si>
    <t>RCWV2-CP6</t>
  </si>
  <si>
    <t>RCWV2™ On Wall Mount Channel : Cisco Precision60</t>
  </si>
  <si>
    <t>RCWV2-EE4</t>
  </si>
  <si>
    <t>RCWV2™ On Wall Mount Channel : Poly EagleEye IV</t>
  </si>
  <si>
    <t>RCWV2-LRC</t>
  </si>
  <si>
    <t>RCWV2™ On Wall Mount Channel : Logitech Rally</t>
  </si>
  <si>
    <t>RCWV2-UNI</t>
  </si>
  <si>
    <t>RCWV2™ On Wall Mount Channel : Universal Round Camera Base</t>
  </si>
  <si>
    <t>RC-CUBBY-BRC</t>
  </si>
  <si>
    <t>RC-CUBBY™ In Wall Mount : Sony BRC/SRG + Panasonic AW-HE130/150</t>
  </si>
  <si>
    <t>RC-CUBBY-CP6</t>
  </si>
  <si>
    <t>RC-CUBBY™ In Wall Mount : Cisco P60</t>
  </si>
  <si>
    <t>RC-CUBBY-CQC</t>
  </si>
  <si>
    <t>RC-CUBBY™ In Wall Mount : Cisco Quadcam</t>
  </si>
  <si>
    <t>RC-CUBBY-E70</t>
  </si>
  <si>
    <t>RC-CUBBY™ In Wall Mount : Poly Studio E70</t>
  </si>
  <si>
    <t>RC-CUBBY-EE4</t>
  </si>
  <si>
    <t>RC-CUBBY™ In Wall Mount : Poly EagleEye IV</t>
  </si>
  <si>
    <t>RC-CUBBY-MINI</t>
  </si>
  <si>
    <t>RC-CUBBY™ In Wall Mount : Cisco RoomKit Mini</t>
  </si>
  <si>
    <t>RC-CUBBY-PD2</t>
  </si>
  <si>
    <t>RC-CUBBY™ In Wall Mount : Poly Director 2</t>
  </si>
  <si>
    <t>RC-CUBBY-RK</t>
  </si>
  <si>
    <t>RC-CUBBY™ In Wall Mount : Cisco RoomKit</t>
  </si>
  <si>
    <t>RC-CUBBY-ST6</t>
  </si>
  <si>
    <t>RC-CUBBY™ In Wall Mount : Cisco SpeakerTrack 60</t>
  </si>
  <si>
    <t>RCM™ On Wall Mount : Cisco Precision60</t>
  </si>
  <si>
    <t>RCM-E70</t>
  </si>
  <si>
    <t>RCM™ On Wall Mount : Poly Studio E70</t>
  </si>
  <si>
    <t>RCM-EE1</t>
  </si>
  <si>
    <t>RCM™ On Wall Mount : Poly EagleEye I, II, III</t>
  </si>
  <si>
    <t>RCM-EE4</t>
  </si>
  <si>
    <t>RCM™ On Wall Mount : Poly EagleEye IV</t>
  </si>
  <si>
    <t>RCM-EED</t>
  </si>
  <si>
    <t>RCM™ On Wall Mount : Poly Director (Version 1 only)</t>
  </si>
  <si>
    <t>RCM-EEP</t>
  </si>
  <si>
    <t>RCM™ On Wall Mount : Poly Producer</t>
  </si>
  <si>
    <t>RCM-L10</t>
  </si>
  <si>
    <t>RCM™ On Wall Mount : Lifesize 10X</t>
  </si>
  <si>
    <t>RCM-LCM</t>
  </si>
  <si>
    <t>RCM™ On Wall Mount : Large Camera Mount</t>
  </si>
  <si>
    <t>RCM-LRC</t>
  </si>
  <si>
    <t>RCM™ On Wall Mount : Logitech RallyCam</t>
  </si>
  <si>
    <t>RCM-LS4</t>
  </si>
  <si>
    <t>RCM™ On Wall Mount : Lifesize Icon 400/450</t>
  </si>
  <si>
    <t>RCM-LS7</t>
  </si>
  <si>
    <t>RCM™ On Wall Mount : Lifesize Icon 500</t>
  </si>
  <si>
    <t>RCM-PH1</t>
  </si>
  <si>
    <t>RCM™ On Wall Mount : Cisco PrecisionHD 12x/4x</t>
  </si>
  <si>
    <t>RCM-SD3</t>
  </si>
  <si>
    <t>RCM™ On Wall Mount : Avaya Deluxe/Flex</t>
  </si>
  <si>
    <t>RCM-UNI</t>
  </si>
  <si>
    <t>RCM™ On Wall Mount : Universal Round Camera Base</t>
  </si>
  <si>
    <t>RCM-URM</t>
  </si>
  <si>
    <t>RCM™ On Wall Mount : Universal Rectangular Camera Base</t>
  </si>
  <si>
    <t>RCM-USM</t>
  </si>
  <si>
    <t>RCM™ On Wall Mount : Universal Square Camera Base</t>
  </si>
  <si>
    <t>RCR-CP6-B</t>
  </si>
  <si>
    <t>RCR™ Recessed Mount : Cisco Precision60 :  Black Front Bezel</t>
  </si>
  <si>
    <t>RCR-CP6-W</t>
  </si>
  <si>
    <t>RCR™ Recessed Mount : Cisco Precision60 :  White Front Bezel</t>
  </si>
  <si>
    <t>RCR-EE1-B</t>
  </si>
  <si>
    <t>RCR™ Recessed Mount : Poly EagleEye I, II, III :  Black Front Bezel</t>
  </si>
  <si>
    <t>RCR-EE1-W</t>
  </si>
  <si>
    <t>RCR™ Recessed Mount : Poly EagleEye I, II, III :  White Front Bezel</t>
  </si>
  <si>
    <t>RCR-EE4-B</t>
  </si>
  <si>
    <t>RCR™ Recessed Mount : Poly EagleEye IV :  Black Front Bezel</t>
  </si>
  <si>
    <t>RCR-EE4-W</t>
  </si>
  <si>
    <t>RCR™ Recessed Mount : Poly EagleEye IV :  White Front Bezel</t>
  </si>
  <si>
    <t>RCR-L10-B</t>
  </si>
  <si>
    <t>RCR™ Recessed Mount : Lifesize 10X :  Black Front Bezel</t>
  </si>
  <si>
    <t>RCR-L10-W</t>
  </si>
  <si>
    <t>RCR™ Recessed Mount : Lifesize 10X :  White Front Bezel</t>
  </si>
  <si>
    <t>RCR-LS4-B</t>
  </si>
  <si>
    <t>RCR™ Recessed Mount : Lifesize Icon 400/450 :  Black Front Bezel</t>
  </si>
  <si>
    <t>RCR-LS4-W</t>
  </si>
  <si>
    <t>RCR™ Recessed Mount : Lifesize Icon 400/450 :  White Front Bezel</t>
  </si>
  <si>
    <t>RCR-SD3-B</t>
  </si>
  <si>
    <t>RCR™ Recessed Mount : Avaya Deluxe/Flex :  Black Front Bezel</t>
  </si>
  <si>
    <t>RCR-SD3-W</t>
  </si>
  <si>
    <t>RCR™ Recessed Mount : Avaya Deluxe/Flex :  White Front Bezel</t>
  </si>
  <si>
    <t>RCR-UNI-B</t>
  </si>
  <si>
    <t>RCR™ Recessed Mount : Universal Round Camera Base :  Black Front Bezel</t>
  </si>
  <si>
    <t>RCR-UNI-W</t>
  </si>
  <si>
    <t>RCR™ Recessed Mount : Universal Round Camera Base :  White Front Bezel</t>
  </si>
  <si>
    <t>RCR-URM-B</t>
  </si>
  <si>
    <t>RCR™ Recessed Mount : Universal Rectangular Camera Base :  Black Front Bezel</t>
  </si>
  <si>
    <t>RCR-URM-W</t>
  </si>
  <si>
    <t>RCR™ Recessed Mount : Universal Rectangular Camera Base :  White Front Bezel</t>
  </si>
  <si>
    <t>RCV-CP6</t>
  </si>
  <si>
    <t>2 Gang to VESA On Wall Mount.   Adapts RCM back plate to 100mm VESA pattern</t>
  </si>
  <si>
    <t>RCV-EE4</t>
  </si>
  <si>
    <t>RCV-LRC</t>
  </si>
  <si>
    <t>RCV-UNI</t>
  </si>
  <si>
    <t>RC4-1BC-K</t>
  </si>
  <si>
    <t>Project Pack: RCM-URM  On Wall Mount</t>
  </si>
  <si>
    <t>RC4-1BC-KS</t>
  </si>
  <si>
    <t>Project Pack: RC-RK2 + RCM-URM</t>
  </si>
  <si>
    <t>RC4-1BC-S</t>
  </si>
  <si>
    <t>Project Pack: RC-RK2  Rack Shelf</t>
  </si>
  <si>
    <t>RC4-APA-K</t>
  </si>
  <si>
    <t>RC4-APA-KS</t>
  </si>
  <si>
    <t>RC4-APA-S</t>
  </si>
  <si>
    <t>RC4-AS6-K</t>
  </si>
  <si>
    <t>Project Pack: RCM-UNI  On Wall Mount</t>
  </si>
  <si>
    <t>RC4-AS6-KS</t>
  </si>
  <si>
    <t>Project Pack: RC-RK2 + RCM-UNI</t>
  </si>
  <si>
    <t>RC4-AS6-S</t>
  </si>
  <si>
    <t>RC4-CC6-K</t>
  </si>
  <si>
    <t>RC4-CC6-KS</t>
  </si>
  <si>
    <t>RC4-CC6-S</t>
  </si>
  <si>
    <t>RC4-E4C-S</t>
  </si>
  <si>
    <t>RC4-E4P-K</t>
  </si>
  <si>
    <t>Project Pack: RCM-EE4 On Wall Mount</t>
  </si>
  <si>
    <t>RC4-E4P-KS</t>
  </si>
  <si>
    <t>Project Pack: RC-RK2 + RCM-EE4</t>
  </si>
  <si>
    <t>RC4-E4P-S</t>
  </si>
  <si>
    <t>Project Pack: RC-RK2 Rack Shelf</t>
  </si>
  <si>
    <t>RC4-HHV-K</t>
  </si>
  <si>
    <t>RC4-HHV-KS</t>
  </si>
  <si>
    <t>RC4-HHV-S</t>
  </si>
  <si>
    <t>RC4-HST-K</t>
  </si>
  <si>
    <t>RC4-HST-KS</t>
  </si>
  <si>
    <t>RC4-HST-S</t>
  </si>
  <si>
    <t>RC4-P13-K</t>
  </si>
  <si>
    <t>Project Pack: RCM-LCM Large Camera On Wall Mount</t>
  </si>
  <si>
    <t>RC4-P13-KS</t>
  </si>
  <si>
    <t>Project Pack: RC-RK2 + RCM-LCM</t>
  </si>
  <si>
    <t>RC4-P13-S</t>
  </si>
  <si>
    <t>RC4-P40-K</t>
  </si>
  <si>
    <t>RC4-P40-KS</t>
  </si>
  <si>
    <t>RC4-P40-S</t>
  </si>
  <si>
    <t>RC4-PHD-K</t>
  </si>
  <si>
    <t>RC4-PHD-KS</t>
  </si>
  <si>
    <t>RC4-PHD-S</t>
  </si>
  <si>
    <t>RC4-Producer-K</t>
  </si>
  <si>
    <t>Project Pack: RCM-Producer On Wall Mount</t>
  </si>
  <si>
    <t>RC4-Producer-KS</t>
  </si>
  <si>
    <t>Project Pack: RC-RK2 + RCM-Producer</t>
  </si>
  <si>
    <t>RC4-Producer-S</t>
  </si>
  <si>
    <t>RC4-PSA-K</t>
  </si>
  <si>
    <t>RC4-PSA-KS</t>
  </si>
  <si>
    <t>RC4-PSA-S</t>
  </si>
  <si>
    <t>RC4-PSB-K</t>
  </si>
  <si>
    <t>RC4-PSB-KS</t>
  </si>
  <si>
    <t>RC4-PSB-S</t>
  </si>
  <si>
    <t>RC4-PSX-K</t>
  </si>
  <si>
    <t>RC4-PSX-KS</t>
  </si>
  <si>
    <t>RC4-PSX-S</t>
  </si>
  <si>
    <t>RC4-R5X-K</t>
  </si>
  <si>
    <t>Project Pack: RCM-SD3  On Wall Mount</t>
  </si>
  <si>
    <t>RC4-R5X-KS</t>
  </si>
  <si>
    <t>Project Pack: RC-RK2 + RCM-SD3</t>
  </si>
  <si>
    <t>RC4-R5X-S</t>
  </si>
  <si>
    <t>RC4-RHD-K</t>
  </si>
  <si>
    <t>RC4-RHD-KS</t>
  </si>
  <si>
    <t>RC4-RHD-S</t>
  </si>
  <si>
    <t>RC4-SL1-K</t>
  </si>
  <si>
    <t>RC4-SL1-KS</t>
  </si>
  <si>
    <t>RC4-SL1-S</t>
  </si>
  <si>
    <t>RC4-UNI-K</t>
  </si>
  <si>
    <t>RC4-UNI-KS</t>
  </si>
  <si>
    <t>RC4-UNI-S</t>
  </si>
  <si>
    <t>RC4-URM-K</t>
  </si>
  <si>
    <t>Project Pack: RCM-URM On Wall Mount</t>
  </si>
  <si>
    <t>RC4-URM-KS</t>
  </si>
  <si>
    <t>RC4-URM-S</t>
  </si>
  <si>
    <t>RC4-USM-K</t>
  </si>
  <si>
    <t>Project Pack: RCM-USM On Wall Mount</t>
  </si>
  <si>
    <t>RC4-USM-KS</t>
  </si>
  <si>
    <t>Project Pack: RC-RK2 + RCM-USM</t>
  </si>
  <si>
    <t>RC4-USM-S</t>
  </si>
  <si>
    <t>RC5-1BC-K</t>
  </si>
  <si>
    <t>RC5-1BC-KS</t>
  </si>
  <si>
    <t>RC5-1BC-S</t>
  </si>
  <si>
    <t>RC5-APA-K</t>
  </si>
  <si>
    <t>RC5-APA-KS</t>
  </si>
  <si>
    <t>RC5-APA-S</t>
  </si>
  <si>
    <t>RC5-BCS-S</t>
  </si>
  <si>
    <t>RC5-BRC-K</t>
  </si>
  <si>
    <t>RC5-BRC-KS</t>
  </si>
  <si>
    <t>RC5-BRC-S</t>
  </si>
  <si>
    <t>RC5-CW4-K</t>
  </si>
  <si>
    <t>RC5-CW4-KS</t>
  </si>
  <si>
    <t>RC5-CW4-S</t>
  </si>
  <si>
    <t>RC5-HHV-K</t>
  </si>
  <si>
    <t>RC5-HHV-KS</t>
  </si>
  <si>
    <t>RC5-HHV-S</t>
  </si>
  <si>
    <t>RC5-HST-K</t>
  </si>
  <si>
    <t>RC5-HST-KS</t>
  </si>
  <si>
    <t>RC5-HST-S</t>
  </si>
  <si>
    <t>RC5-P13-K</t>
  </si>
  <si>
    <t>RC5-P13-KS</t>
  </si>
  <si>
    <t>RC5-P13-S</t>
  </si>
  <si>
    <t>RC5-P40-K</t>
  </si>
  <si>
    <t>RC5-P40-KS</t>
  </si>
  <si>
    <t>RC5-P40-S</t>
  </si>
  <si>
    <t>RC5-P60-K</t>
  </si>
  <si>
    <t>Project Pack: RCM-CP6 On Wall Mount</t>
  </si>
  <si>
    <t>RC5-P60-KS</t>
  </si>
  <si>
    <t>Project Pack: RC-RK2 + RCM-CP6</t>
  </si>
  <si>
    <t>RC5-P60-S</t>
  </si>
  <si>
    <t>RC5-UNI-K</t>
  </si>
  <si>
    <t>RC5-UNI-KS</t>
  </si>
  <si>
    <t>RC5-UNI-S</t>
  </si>
  <si>
    <t>RC5-URM-K</t>
  </si>
  <si>
    <t>RC5-URM-KS</t>
  </si>
  <si>
    <t>RC5-URM-S</t>
  </si>
  <si>
    <t>RC5-USM-K</t>
  </si>
  <si>
    <t>RC5-USM-KS</t>
  </si>
  <si>
    <t>RC5-USM-S</t>
  </si>
  <si>
    <t>RC6-CST-KC</t>
  </si>
  <si>
    <t>RemoteCam6™ Project Pack &gt;&gt; Extension Kit + RC-CUBBY™</t>
  </si>
  <si>
    <t>RC8-CQC-K</t>
  </si>
  <si>
    <t>Project Pack: Extension Kit + RC-CUBBY™</t>
  </si>
  <si>
    <t>Rack Shelf: 1RU: 2 Head-End Modules (RCU2, RCP, RC4, RC5)</t>
  </si>
  <si>
    <t>RC-RK4</t>
  </si>
  <si>
    <t>Rack Shelf: 1RU: 4 Head-End Modules (RCU2, RCP, RC4, RC5)</t>
  </si>
  <si>
    <t>RC-RKC</t>
  </si>
  <si>
    <t>Rack Shelf: 2RU: Codec+ Head-End Module. Cisco SX20, Polycom 300/500 Avaya XT5000/7105</t>
  </si>
  <si>
    <t>RC-RKM</t>
  </si>
  <si>
    <t>Rack Shelf: 2RU: Universal - Codec Plus/G7500 + RC4/5/6/7/8 Modules</t>
  </si>
  <si>
    <t>USB3-1x2-015</t>
  </si>
  <si>
    <t>USB3-1x2 Switch + Power Supply + Camera Specific Power Cable + USB-B 3.0 Host Cables</t>
  </si>
  <si>
    <t>USB3-1x2-028</t>
  </si>
  <si>
    <t>USB3-1x2-029</t>
  </si>
  <si>
    <t>USB3-1x2-030</t>
  </si>
  <si>
    <t>USB3-1x2-031</t>
  </si>
  <si>
    <t>USB3-1x2-032</t>
  </si>
  <si>
    <t>USB3-1x2-NPS</t>
  </si>
  <si>
    <t>USB3-1x2 Switch + No Power Supply + No Camera Specific Power Cable + USB-B 3.0 Host Cables</t>
  </si>
  <si>
    <t>SoundTube</t>
  </si>
  <si>
    <t>20" Dome, 2x25mm high directivity Focus-Point speaker</t>
  </si>
  <si>
    <t>FP6030-II</t>
  </si>
  <si>
    <t>30" Dome, 2x25mm high directivity Focus-Point speaker</t>
  </si>
  <si>
    <t>SS30-C</t>
  </si>
  <si>
    <t>30" Dome, 2" high directivity Focus-Point speaker</t>
  </si>
  <si>
    <t>FP-Motion Module</t>
  </si>
  <si>
    <t>FP Motion sensor add-on module. Comes pre-installed in the FP prod. Includes infrared sensor, wide and narrow aperture lenses and timer delay. Requires 12-15V power supply (see accessory options below). One power supply will run multiple accessory items. Must be ordered with an FP speaker. For use with FP6020-II &amp; FP6030-II only.</t>
  </si>
  <si>
    <t>FP-Light Module</t>
  </si>
  <si>
    <t>FP LED light add-on module. Comes pre-installed in the FP pod. Includes local LED output control or can be controlled globally via extrenal control system (e.g. Lutron, AMX, Crestron). Requires 12-15V power supply (see accessory options below). One power supply will run multiple accessory items. Must be ordered with an FP speaker. For use with FP6020-II &amp; FP6030-II only.</t>
  </si>
  <si>
    <t>AC-FP6-RMA</t>
  </si>
  <si>
    <t>Rigid mount adaptor for FP series speakers.</t>
  </si>
  <si>
    <t>AC-WB4</t>
  </si>
  <si>
    <t>FP wall-mount bracket (with hanging hardware)</t>
  </si>
  <si>
    <t>AC-JB10-XFMR</t>
  </si>
  <si>
    <t>10 Watt 25/70.7/100 volt transformer inside a junction box. Includes 4-position tap switch. Can be added to any low impendence speaker. Tap settings include 10W, 5W, 2.5W, and 1.3W (1.3W tap not available on 100 V settings). (25 Volt only: 2.5W, 1.3W, 0.7W, 0.4W).</t>
  </si>
  <si>
    <t>AC-JB20-XFMR</t>
  </si>
  <si>
    <t>20 Watt 20/70.7/100 Volt transformer inside a junction box. Can be added to any low impendence speaker. Tap settings include 20W, 10W, 5W, and 2.5W (2.5W tap not available on 100 V settings). (25 Volt only: 2.5W, 1.3W, 0.7W, 0.4W).</t>
  </si>
  <si>
    <t>PS1530-RDT</t>
  </si>
  <si>
    <t>In-line (brick) power supply. 15W, 3 Amp. For FP accessories</t>
  </si>
  <si>
    <t>PTZ CAMERA</t>
  </si>
  <si>
    <t>ROBOSHOT 12 AVBMP</t>
  </si>
  <si>
    <t>999-9900-500</t>
  </si>
  <si>
    <t>ROBOSHOT 12 QMINI SYSTEM</t>
  </si>
  <si>
    <t>999-9901-000</t>
  </si>
  <si>
    <t>ROBOSHOT 12 QDVI SYSTEM</t>
  </si>
  <si>
    <t>999-9906-000</t>
  </si>
  <si>
    <t>ROBOSHOT 12 QCCU SYSTEM</t>
  </si>
  <si>
    <t>999-9907-000</t>
  </si>
  <si>
    <t>ROBOSHOT 12 QUSB SYSTEM</t>
  </si>
  <si>
    <t>999-9909-000</t>
  </si>
  <si>
    <t>ROBOSHOT 30 AVBMP BLACK</t>
  </si>
  <si>
    <t>999-9910-500</t>
  </si>
  <si>
    <t>ROBOSHOT 30 AVBMP WHITE</t>
  </si>
  <si>
    <t>999-9910-500W</t>
  </si>
  <si>
    <t>ROBOSHOT 30 QMINI SYSTEM - BLACK</t>
  </si>
  <si>
    <t>999-9911-000</t>
  </si>
  <si>
    <t>ROBOSHOT 30 QMINI SYSTEM - WHITE</t>
  </si>
  <si>
    <t>999-9911-000W</t>
  </si>
  <si>
    <t>ROBOSHOT 30 QDVI SYSTEM - BLACK</t>
  </si>
  <si>
    <t>999-9916-000</t>
  </si>
  <si>
    <t>ROBOSHOT 30 QDVI SYSTEM - WHITE</t>
  </si>
  <si>
    <t>999-9916-000W</t>
  </si>
  <si>
    <t>ROBOSHOT 30 QCCU SYSTEM - BLACK</t>
  </si>
  <si>
    <t>999-9917-000</t>
  </si>
  <si>
    <t>ROBOSHOT 30 QCCU SYSTEM - WHITE</t>
  </si>
  <si>
    <t>999-9917-000W</t>
  </si>
  <si>
    <t>ROBOSHOT 30 QUSB SYSTEM - BLACK</t>
  </si>
  <si>
    <t>999-9919-000</t>
  </si>
  <si>
    <t>ROBOSHOT 30 QUSB SYSTEM - WHITE</t>
  </si>
  <si>
    <t>999-9919-000W</t>
  </si>
  <si>
    <t>ROBOSHOT 12 USB SYSTEM</t>
  </si>
  <si>
    <t>999-9920-000</t>
  </si>
  <si>
    <t>ROBOSHOT 12 HD-SDI SYSTEM - BLACK</t>
  </si>
  <si>
    <t>999-9930-000</t>
  </si>
  <si>
    <t>ROBOSHOT 30 HD-SDI SYSTEM - BLACK</t>
  </si>
  <si>
    <t>999-9933-000</t>
  </si>
  <si>
    <t>ROBOSHOT 30 HD-SDI SYSTEM - WHITE</t>
  </si>
  <si>
    <t>999-9933-000W</t>
  </si>
  <si>
    <t>ROBOSHOT 12 HDMI SYSTEM</t>
  </si>
  <si>
    <t>999-9940-000</t>
  </si>
  <si>
    <t>RoboSHOT 12 HDMI for CiscoSX NA</t>
  </si>
  <si>
    <t>999-9940-400</t>
  </si>
  <si>
    <t>RoboSHOT 12 HDMI for Plycm Codec N/A</t>
  </si>
  <si>
    <t>999-9940-500</t>
  </si>
  <si>
    <t>ROBOSHOT 30 HDMI SYSTEM - BLACK</t>
  </si>
  <si>
    <t>999-9943-000</t>
  </si>
  <si>
    <t>ROBOSHOT 30 HDMI SYSTEM - WHITE</t>
  </si>
  <si>
    <t>999-9943-000W</t>
  </si>
  <si>
    <t>ROBOSHOT 20 UHD Camera Black</t>
  </si>
  <si>
    <t>999-9950-000B</t>
  </si>
  <si>
    <t>ROBOSHOT 20 UHD ONELINK HDMI BLK N/A</t>
  </si>
  <si>
    <t>999-9950-100B</t>
  </si>
  <si>
    <t>RoboSHOT 20 UHD OneLINK Bridge BLK N/A</t>
  </si>
  <si>
    <t>999-9950-200B</t>
  </si>
  <si>
    <t>RoboSHOT 20 UHD OLB Express N/A</t>
  </si>
  <si>
    <t>999-9950-270</t>
  </si>
  <si>
    <t>RoboSHOT 20 UHD OLBridge Express BLK N/A</t>
  </si>
  <si>
    <t>999-9950-270B</t>
  </si>
  <si>
    <t>RoboSHOT 20 UHD OLB Express WHT N/A</t>
  </si>
  <si>
    <t>999-9950-270W</t>
  </si>
  <si>
    <t>RoboSHOT 40 UHD OLB Express N/A</t>
  </si>
  <si>
    <t>999-9952-270</t>
  </si>
  <si>
    <t>RoboSHOT 40 UHD OLB Express WHT N/A</t>
  </si>
  <si>
    <t>999-9952-270W</t>
  </si>
  <si>
    <t>ROBOSHOT 12 HDBT CAMERA</t>
  </si>
  <si>
    <t>999-9960-000</t>
  </si>
  <si>
    <t>ROBOSHOT 12 ONELINK HDMI SYSTEM N/A</t>
  </si>
  <si>
    <t>999-9960-100</t>
  </si>
  <si>
    <t>RoboSHOT 12 OneLINK Bridge System N/A</t>
  </si>
  <si>
    <t>999-9960-200</t>
  </si>
  <si>
    <t>RoboSHOT 12E OneLINK BRIDGE Express</t>
  </si>
  <si>
    <t>999-99600-270</t>
  </si>
  <si>
    <t>RoboSHOT 12E OL BRIDGE Express WHT</t>
  </si>
  <si>
    <t>999-99600-270W</t>
  </si>
  <si>
    <t>ROBOSHOT 30 HDBT CAMERA-BLACK</t>
  </si>
  <si>
    <t>999-9963-000</t>
  </si>
  <si>
    <t>ROBOSHOT 30 HDBT CAMERA-WHITE</t>
  </si>
  <si>
    <t>999-9963-000W</t>
  </si>
  <si>
    <t>ROBOSHOT 30 ONELINK HDMI SYSTEM-BLK N/A</t>
  </si>
  <si>
    <t>999-9963-100</t>
  </si>
  <si>
    <t>ROBOSHOT 30 ONELINK HDMI SYSTEM-WHT N/A</t>
  </si>
  <si>
    <t>999-9963-100W</t>
  </si>
  <si>
    <t>RoboSHOT 30 OneLINK Bridge System N/A</t>
  </si>
  <si>
    <t>999-9963-200</t>
  </si>
  <si>
    <t>RoboSHOT 30 OneLINK Bridge Sys WHT N/A</t>
  </si>
  <si>
    <t>999-9963-200W</t>
  </si>
  <si>
    <t>RoboSHOT 30E OL BRIDGE Express</t>
  </si>
  <si>
    <t>999-99630-270</t>
  </si>
  <si>
    <t>RoboSHOT 30E OL BRIDGE Express WHT</t>
  </si>
  <si>
    <t>999-99630-270W</t>
  </si>
  <si>
    <t>FIXED CAMERA</t>
  </si>
  <si>
    <t>DocCAM 20 HDBT OL Bridge Express N/A</t>
  </si>
  <si>
    <t>999-9968-370</t>
  </si>
  <si>
    <t>RoboFLIP - OneLINK Bridge Express</t>
  </si>
  <si>
    <t>999-99800-270</t>
  </si>
  <si>
    <t>CONFERENCE</t>
  </si>
  <si>
    <t>HDMI AUDIO EMBEDDER KIT</t>
  </si>
  <si>
    <t>ACCESSORIES</t>
  </si>
  <si>
    <t>999-9995-004</t>
  </si>
  <si>
    <t>CSAV SYSTEM - INTEGRATOR 1</t>
  </si>
  <si>
    <t>999-9995-100</t>
  </si>
  <si>
    <t>CSAV SYSTEM - INTEGRATOR 1 WHT</t>
  </si>
  <si>
    <t>999-9995-100W</t>
  </si>
  <si>
    <t>CSAV SYSTEM - INTEGRATOR 2</t>
  </si>
  <si>
    <t>999-9995-200</t>
  </si>
  <si>
    <t>CSAV SYSTEM - INTEGRATOR 2 WHT</t>
  </si>
  <si>
    <t>999-9995-200W</t>
  </si>
  <si>
    <t>CSAV SYSTEM - HUDDLE</t>
  </si>
  <si>
    <t>999-9995-300</t>
  </si>
  <si>
    <t>CSAV SYSTEM - HUDDLE WHT</t>
  </si>
  <si>
    <t>999-9995-300W</t>
  </si>
  <si>
    <t>Twin Mono AMP</t>
  </si>
  <si>
    <t>999-9995-330</t>
  </si>
  <si>
    <t>CSAV SYSTEM - GROUP</t>
  </si>
  <si>
    <t>999-9995-400</t>
  </si>
  <si>
    <t>CSAV SYSTEM - GROUP WHT</t>
  </si>
  <si>
    <t>999-9995-400W</t>
  </si>
  <si>
    <t>CSAV SYSTEM - BASIC 1</t>
  </si>
  <si>
    <t>999-9995-500</t>
  </si>
  <si>
    <t>CSAV SYSTEM - BASIC 1 WHT</t>
  </si>
  <si>
    <t>999-9995-500W</t>
  </si>
  <si>
    <t>CSAV SYSTEM - BASIC 2</t>
  </si>
  <si>
    <t>999-9995-600</t>
  </si>
  <si>
    <t>CSAV SYSTEM - BASIC 2 WHT</t>
  </si>
  <si>
    <t>999-9995-600W</t>
  </si>
  <si>
    <t>CSAV SYS INTEGRATOR 2 (W/O SPKR)</t>
  </si>
  <si>
    <t>999-9995-700</t>
  </si>
  <si>
    <t>CSAV SYS INTEGRATOR 2 (W/O SPKR) WHT</t>
  </si>
  <si>
    <t>999-9995-700W</t>
  </si>
  <si>
    <t>CSAV SYS INTEGRATOR 1 (W/O SPKR)</t>
  </si>
  <si>
    <t>999-9995-800</t>
  </si>
  <si>
    <t>CSAV SYS INTEGRATOR 1 (W/O SPKR) WHT</t>
  </si>
  <si>
    <t>999-9995-800W</t>
  </si>
  <si>
    <t>Yamaha UC</t>
  </si>
  <si>
    <t>RM-TT-B</t>
  </si>
  <si>
    <t>RM Wired Tabletop Microphone - Black</t>
  </si>
  <si>
    <t>RM-TT-W</t>
  </si>
  <si>
    <t>RM Wired Tabletop Microphone - White</t>
  </si>
  <si>
    <t>RM-CG-B</t>
  </si>
  <si>
    <t xml:space="preserve">RM Ceiling Array Microphone - Black  </t>
  </si>
  <si>
    <t>RM-CG-W</t>
  </si>
  <si>
    <t xml:space="preserve">RM Ceiling Array Microphone - White </t>
  </si>
  <si>
    <t>RM-CR</t>
  </si>
  <si>
    <t xml:space="preserve">RM Audio Processor </t>
  </si>
  <si>
    <t>VXL1B-16P</t>
  </si>
  <si>
    <t>Yamaha VXL1B-16P Black POE Wall Mount Speaker - Priced Individually, not in Pairs.   Cannot be sold separately, only with other ADECIA Individual Components</t>
  </si>
  <si>
    <t>VXL1W-16P</t>
  </si>
  <si>
    <t>Yamaha VXL1B-16P White POE Wall Mount Speaker - Priced Individually, not in Pairs.   Cannot be sold separately, only with other ADECIA Individual Components</t>
  </si>
  <si>
    <t>SWR-2311P-10G</t>
  </si>
  <si>
    <t>Yamaha 10 Port Powered Network Switch.   Cannot be sold separately, only with other ADECIA Individual Components, Include the SWR2311P-10G switch for ADECIA solutions including the VXL1-16P speakers.</t>
  </si>
  <si>
    <t>SWR-2100P-5G</t>
  </si>
  <si>
    <t xml:space="preserve">  Yamaha 5 port Powered Network Switch.   Cannot be sold separately, only with other ADECIA Individual Components
  Use the SWR2100P-5G switch only for solutions without VXL1-16P speakers, or to power up 4 RM-TT microphones as an add on to a separate switch powering the other ADECIA components (two switches   connected to each other)</t>
  </si>
  <si>
    <t>RM-WAP8</t>
  </si>
  <si>
    <t>RM Wireless Access Point for up to 8 microphones</t>
  </si>
  <si>
    <t>RM-WOM</t>
  </si>
  <si>
    <t>RM Wireless Omni-directional Tabletop Microphone</t>
  </si>
  <si>
    <t>RM-WDR</t>
  </si>
  <si>
    <t>RM Wireless Directional Tabletop Microphone</t>
  </si>
  <si>
    <t>RM-WGL</t>
  </si>
  <si>
    <t>RM Wireless Gooseneck 12" Tabletop Microphone</t>
  </si>
  <si>
    <t>RM-WGS</t>
  </si>
  <si>
    <t>RM Wireless Gooseneck 6" Tabletop Microphone</t>
  </si>
  <si>
    <t>RM-WCH8</t>
  </si>
  <si>
    <t>RM Wireless Microphone Charger Base for up to 8 microphones</t>
  </si>
  <si>
    <t>RM-WBT</t>
  </si>
  <si>
    <t>RM Wireless Microphone lithium ion replacement battery</t>
  </si>
  <si>
    <t>RM-MTL</t>
  </si>
  <si>
    <t>ADECIA Mounting accessory for RM-CR - under table mounting accessory</t>
  </si>
  <si>
    <t>RM-MRK</t>
  </si>
  <si>
    <t>ADECIA Mounting accessory for RM-CR - rack mount accessory</t>
  </si>
  <si>
    <t>RK-SWR</t>
  </si>
  <si>
    <t>ADECIA Mounting accessory for SWR Switches (2100 or 2311) - rack mount accessory</t>
  </si>
  <si>
    <t>PA-L1B</t>
  </si>
  <si>
    <t>ADECIA Mountng accessory for VXL1 Speakers - pole mount adapter.  Suitable for pole diameters of 35mm</t>
  </si>
  <si>
    <t>WMB-L1B</t>
  </si>
  <si>
    <t>ADECIA Mounting accessory for VXL1 Speakers - wall mount bracket with vertical and horizontal angle adjustment - Black Color for VXL1B-16P</t>
  </si>
  <si>
    <t>WMB-L1W</t>
  </si>
  <si>
    <t>ADECIA Mounting accessory for VXL1 Speakers - wall mount bracket with vertical and horizontal angle adjustment - White Color for VXL1W-16P</t>
  </si>
  <si>
    <t>CS-800</t>
  </si>
  <si>
    <t>CS-800 Video Sound Bar</t>
  </si>
  <si>
    <t>CS-500</t>
  </si>
  <si>
    <t>CS-500 Video Collaboration System</t>
  </si>
  <si>
    <t>BRK-TV1</t>
  </si>
  <si>
    <t>VESA Mount Kit for CS-800 or CS-500</t>
  </si>
  <si>
    <t>BRK-WL1</t>
  </si>
  <si>
    <t>Wall Mount Kit for CS-500</t>
  </si>
  <si>
    <t>CBL-L10AC</t>
  </si>
  <si>
    <t>10 Meter USB-C  3.1  Gen 2 cable for use with CS-800 or CS-500</t>
  </si>
  <si>
    <t>CBL-L25AC</t>
  </si>
  <si>
    <t>25 Meter USB-C  3.1  Gen 2 cable for use with CS-800 or CS-500</t>
  </si>
  <si>
    <t>VSP-CU2</t>
  </si>
  <si>
    <t>Yamaha VSP2 Speech Privacy System, control system</t>
  </si>
  <si>
    <t>VSP-SP2-W</t>
  </si>
  <si>
    <t>Yamaha VSP2 Speech Privacy System, speakers (pair of 2) - White</t>
  </si>
  <si>
    <t>VSP-SP2-B</t>
  </si>
  <si>
    <t>Yamaha VSP2 Speech Privacy System, speakers (pair of 2) - Black</t>
  </si>
  <si>
    <t>10-ESB1090</t>
  </si>
  <si>
    <t xml:space="preserve"> Yamaha Enterprise Soundbar</t>
  </si>
  <si>
    <t>10-YVC1000-NA</t>
  </si>
  <si>
    <t>Yamaha YVC-1000 Unified Communications Microphone &amp; Speaker System</t>
  </si>
  <si>
    <t>10-YVCMIC1000EX</t>
  </si>
  <si>
    <t>Yamaha YVC-1000 Omnidirectional Extension Microphone</t>
  </si>
  <si>
    <t>10-YVC330</t>
  </si>
  <si>
    <t>Yamaha YVC-330 USB Microphone &amp; Speaker System</t>
  </si>
  <si>
    <t>Yealink</t>
  </si>
  <si>
    <t>A20-010</t>
  </si>
  <si>
    <t>Native Collaboration Bar for small rooms,work with Teams/Zoom/BYOM
• 1x A20 all-in-one Collaboration bar, power adapter, wallmount bracket and cables;
• 1x VCR20-Teams remote control
• Including 2-year hardware warranty.</t>
  </si>
  <si>
    <t>A20-020</t>
  </si>
  <si>
    <t>Native Collaboration Bar for small rooms,work with Teams/Zoom/BYOM
• 1x A20 all-in-one Collaboration bar, power adapter, wallmount bracket and cables;
• 1x CTP18 touch console, PoE power adapter，wallmount bracket and cables;
• Including 2-year hardware warranty.</t>
  </si>
  <si>
    <t>A30-010</t>
  </si>
  <si>
    <t>Native Collaboration Bar for small rooms,work with Teams/Zoom/BYOM
• 1x A30 all-in-one Collaboration bar, power adapter, wallmount bracket and cables;
• 1x VCR20-Teams remote control
• Including 2-year hardware warranty.</t>
  </si>
  <si>
    <t>A30-020</t>
  </si>
  <si>
    <t>Native Collaboration Bar for small rooms,work with Teams/Zoom/BYOM
• 1x A30 all-in-one Collaboration bar, power adapter, wallmount bracket and cables;
• 1x CTP18 touch console, PoE power adapter，wallmount bracket and cables;
• Including 2-year hardware warranty.</t>
  </si>
  <si>
    <t>Mcore-Kit-MS</t>
  </si>
  <si>
    <t>Native Microsoft Teams Rooms system Kit
• 1x Mini-PC with 8th-gen INTEL Core™ i5 quad-core CPU
• 1x MTouch II touch console
• The mini-PC computer preloads Windows 10 IoT Enterprise OS and license, Microsoft Teams Rooms App, as well as Yealink Camera Control Plug-in;
• Including 2-year hardware warranty.</t>
  </si>
  <si>
    <t>MVC840-C2-000</t>
  </si>
  <si>
    <t>Native Microsoft Teams Rooms system for Medium-to-large rooms
• 1x UVC84 12X optical USB PTZ 4K camera, VCR20 remote control, power adapter,  wallmount bracket  and cables;
• Yealink MCore Kit (with MCore mini-PC and MTouch II), power adapter, cables and wall bracket；
• The mini-PC computer preloads Windows 10 IoT Enterprise OS and license, Microsoft Teams Rooms App, as well as Yealink Camera Control Plug-in;
• No audio device
• Including 2-year hardware warranty.</t>
  </si>
  <si>
    <t>MVC860-C2-000</t>
  </si>
  <si>
    <t>Native Microsoft Teams Rooms system for Medium-to-large rooms
• 1x UVC86 12X optical PTZ 4K intelligent camera, VCR20 remote control, power adapter,  wallmount bracket  and cables;
• Yealink MCore Kit (with MCore mini-PC and MTouch II), power adapter, cables and wall bracket；
• The mini-PC computer preloads Windows 10 IoT Enterprise OS and license, Microsoft Teams Rooms App, as well as Yealink Camera Control Plug-in;
• No audio device
• Including 2-year hardware warranty.</t>
  </si>
  <si>
    <t>MVC320-C2-050</t>
  </si>
  <si>
    <t>Native Microsoft Teams Rooms system for Small &amp; Focus rooms
• 1x UVC30 Room 4K USB ePTZ camera and wall bracket;
• Yealink MCore Kit (with MCore mini-PC and MTouch II), power adapter, cables and wall bracket；
• 1x MSpeech AI meeting audio;
• The mini-PC computer preloads Windows 10 IoT Enterprise OS and license, Microsoft Teams Rooms App, as well as Yealink Camera Control Plug-in;
• Including 2-year hardware warranty.</t>
  </si>
  <si>
    <t>MVC400-C2-000</t>
  </si>
  <si>
    <t>Native Microsoft Teams Rooms system for Small rooms
• 1x UVC40 all-in-one USB video bar, power adapter and cables;
• Yealink MCore Kit (with MCore mini-PC and MTouch II), power adapter, cables and wall bracket；
• The mini-PC computer preloads Windows 10 IoT Enterprise OS and license, Microsoft Teams Rooms App, as well as Yealink Camera Control Plug-in;
• Including 2-year hardware warranty.</t>
  </si>
  <si>
    <t>MVC640-C2-511</t>
  </si>
  <si>
    <t>Native Microsoft Teams Rooms system for Medium-to-large rooms
• 1x UVC84 12X optical USB PTZ 4K camera, VCR20 remote control, power adapter,  wallmount bracket and cables;
• Yealink MCore Kit (with MCore mini-PC and MTouch II), power adapter, cables and wall bracket；
• 1x MSpeaker II;
• 2x CPW90 DECT-Wireless mics including charging dock and power adapter;
• 1x WPP20 for wireless content sharing;
• The mini-PC computer preloads Windows 10 IoT Enterprise OS and license, Microsoft Teams Rooms App, as well as Yealink Camera Control Plug-in;
• Including 2-year hardware warranty.</t>
  </si>
  <si>
    <t>MVC640-C2-050</t>
  </si>
  <si>
    <t>Native Microsoft Teams Rooms system for Medium-to-large rooms
• 1x UVC84 12X optical USB PTZ 4K camera, VCR20 remote control, power adapter,  wallmount bracket and cables;
• Yealink MCore Kit (with MCore mini-PC and MTouch II), power adapter, cables and wall bracket；
• 1x MSpeech AI meeting audio;
• The mini-PC computer preloads Windows 10 IoT Enterprise OS and license, Microsoft Teams Rooms App, as well as Yealink Camera Control Plug-in;
• Including 2-year hardware warranty.</t>
  </si>
  <si>
    <t>MVC840-C2-211</t>
  </si>
  <si>
    <t>Native Microsoft Teams Rooms system for Medium-to-large rooms
• 1x UVC84 12X optical USB PTZ 4K camera, VCR20 remote control, power adapter,  wallmount bracket and cables;
• Yealink MCore Kit (with MCore mini-PC and MTouch II), power adapter, cables and wall bracket；
• 1x WPP20 for wireless content sharing;
• 2x VCM34 array microphone;
• 1x Yealink MSpeaker II,  power adapter and cables;
• 1x PoE Switch for audio connection, power adapter and cables;
• The mini-PC computer preloads Windows 10 IoT Enterprise OS and license, Microsoft Teams Rooms App, as well as Yealink Camera Control Plug-in;
• Including 2-year hardware warranty.</t>
  </si>
  <si>
    <t>MVC860-C2-211</t>
  </si>
  <si>
    <t>Native Microsoft Teams Rooms system for Medium-to-large rooms
• 1x UVC86 12X optical PTZ 4K intelligent camera, VCR20 remote control, power adapter,  wallmount bracket  and cables;
• Yealink MCore Kit (with MCore mini-PC and MTouch II), power adapter, cables and wall bracket；
• 1x WPP20 for wireless content sharing;
• 2x VCM34 array microphone;
• 1x Yealink MSpeaker II,  power adapter and cables;
• 1x PoE Switch for audio connection, power adapter and cables;
• The mini-PC computer preloads Windows 10 IoT Enterprise OS and license, Microsoft Teams Rooms App, as well as Yealink Camera Control Plug-in;
• Including 2-year hardware warranty.</t>
  </si>
  <si>
    <t>MVC940-C2-002</t>
  </si>
  <si>
    <t>Native Microsoft Teams Rooms system for X-large rooms
• 2x UVC84 12X optical USB PTZ 4K camera, VCR20 remote control, power adapter，wallmount bracket and cables;
• Yealink MCore Kit (with MCore mini-PC and MTouch II), power adapter, cables and wall braket;
• 1x AVHub multi-camera processor, power adapter and cables;
• 2x WPP20 for wireless content sharing;
• The mini-PC computer preloads Windows 10 IoT Enterprise OS and license, Microsoft Teams Rooms App, as well as Yealink Camera Control Plug-in;
• No audio devices;
• Including 2-year hardware warranty.</t>
  </si>
  <si>
    <t>MVC960-C2-006</t>
  </si>
  <si>
    <t>Native Microsoft Teams Rooms system for X-large rooms
• 2x UVC86 dual-eye Intellient camera, VCR20 remote control, power adapter，wallmount bracket and cables;
• Yealink MCore Kit (with MCore mini-PC and MTouch II), power adapter, cables and wall braket;
• 1x AVHub multi-camera processor, power adapter and cables;
• 2x WPP20 for wireless content sharing;
• 1x MVC-BYOD-Extender USB-BYOD adapter;
• The mini-PC computer preloads Windows 10 IoT Enterprise OS and license, Microsoft Teams Rooms App, as well as Yealink Camera Control Plug-in;
• No audio devices;
• Including 2-year hardware warranty.</t>
  </si>
  <si>
    <t>RoomPanel-Teams/Zoom</t>
  </si>
  <si>
    <t>8 inch Android-based Teams/Zoom Room Scheduling Panel
• 1x Yealink RoomPanel (Teams Version)
• 1x Power Adapter
• 20° tilt mount kit for wall or glass
• Flush mount kit for wall or glass
• Surface mount for 2-gang US-Standard electrical box
2-Year limited hardware warranty</t>
  </si>
  <si>
    <t>Mspeech</t>
  </si>
  <si>
    <t xml:space="preserve">• 1x Yealink MSpeech AI speakerphone with 1.8m USB cable
• Including 2-year hardware warranty
</t>
  </si>
  <si>
    <t>VCM38</t>
  </si>
  <si>
    <t>• 1x VCM38 Ceiling Microphone
• Built-in 8 array mics
• 1x Telescopic rod
• Connects up to 8 units in one system
• including 1-year AMS</t>
  </si>
  <si>
    <t>VCM34</t>
  </si>
  <si>
    <t>• 1x VCM34 array microphone 
• 1x 3m network cable
• including 1-year hardware warranty</t>
  </si>
  <si>
    <t>MSpeaker II</t>
  </si>
  <si>
    <t>• 1x Yealink soundbar
• 1x 3m 3.5mm audio cable
• 1x power adapter
• Including 1-year hardware warranty</t>
  </si>
  <si>
    <t>UVC30 ContentCamKit</t>
  </si>
  <si>
    <t>• 1x UVC30 Room 4K camera with 3m USB cable
• 1x Content camera wall bracket
• 1x 5m USB2-EXT cable
• 1x cable lock box
• Including 2-year hardware warranty</t>
  </si>
  <si>
    <t>WPP20</t>
  </si>
  <si>
    <t>• 1x WPP20 Wireless Presentation Pod
• Including 1-year hardware warranty</t>
  </si>
  <si>
    <t>VCH51 Package</t>
  </si>
  <si>
    <t>Cable Content Sharing &amp;BYOD Hub for MeetingBar A20/A30
• 1x VCH51 Content Sharing &amp; BYOD Hub
• 1x7.5m network cable
• 1x 0.6m HDMI cable
• 1x 0.6m USB-C cable
• Including 2-year hardware warranty</t>
  </si>
  <si>
    <t>MVC-BYOD-Extender</t>
  </si>
  <si>
    <t>BYOD Extender for Teams Rooms and Zoom Rooms
1x BYOD Extender
1x 7.5m CAT5e cable
Including 2-year hardware warranty
Used for MVC/ZVC packages which audio&amp;video integrated in UVC40 and UVC84/86.</t>
  </si>
  <si>
    <t>AVHub</t>
  </si>
  <si>
    <t>• 1x AVHub Meeting AV Processor
• 1x 7.5m CAT5E cable
• 1x 2.5m USB cable
• 1x Power Adapter
• Including 2-year hardware warranty</t>
  </si>
  <si>
    <t>ZVC400-C2-000</t>
  </si>
  <si>
    <t>Native Zoom Rooms system for Small  rooms
• 1x UVC40  all-in-one USB video bar with a VCR20 remote, wallmount bracket, power adapter and cables;
• Yealink MCore Kit (with MCore mini-PC and MTouch II), power adapter, cables and wall bracket；
• The mini-PC computer preloads Windows 10 IoT Enterprise OS and license, Zoom Rooms App, as well as Yealink Plug-in.
• Including 2-year hardware warranty.</t>
  </si>
  <si>
    <t>ZVC840-C2-310</t>
  </si>
  <si>
    <t>Native Zoom Rooms system for extra-large rooms
• 1x UVC84 12X optical USB PTZ 4K camera with a VCR20 remote, wallmount bracket, power adapter and cables;
• Yealink MCore Kit (with MCore mini-PC and MTouch II), power adapter and cables;
• 3x VCM34 array microphone;
• 1x MSpeaker II soundbar, power adapter and cables;
• 1x PoE Switch, power adapter and cables;
• The mini-PC computer preloads Windows 10 IoT Enterprise OS and license, Zoom Rooms App, as well as Yealink Plug-in.
• Including 2-year hardware warranty.</t>
  </si>
  <si>
    <t>ZVC860-C3-000</t>
  </si>
  <si>
    <t>Native Zoom Rooms system for Medium-to-large rooms
• 1x UVC86 12X optical PTZ 4K intelligent camera, VCR20 remote control, power adapter,  wallmount bracket  and cables;
• Yealink MCore Pro Kit (with MCore Pro mini-PC and MTouch II), power adapter, cables and wall braket;
• The mini-PC computer preloads Windows 10 IoT Enterprise OS and license, Microsoft Teams Rooms App, as well as Yealink Camera Control Plug-in;
• No audio device
• Including 2-year hardware warranty.</t>
  </si>
  <si>
    <t>ZVC840-C3-000</t>
  </si>
  <si>
    <t>Native Zoom Rooms system for Medium-to-large rooms
• 1x UVC84 12X optical USB PTZ 4K camera, VCR20 remote control, power adapter,  wallmount bracket  and cables;
• Yealink MCore Pro Kit (with MCore Pro mini-PC and MTouch II), power adapter, cables and wall braket;
• The mini-PC computer preloads Windows 10 IoT Enterprise OS and license, Microsoft Teams Rooms App, as well as Yealink Camera Control Plug-in;
• No audio device
• Including 2-year hardware warranty.</t>
  </si>
  <si>
    <t>MCore Pro Kit-ZR</t>
  </si>
  <si>
    <t>Native Zoom Rooms system for Medium-to-large rooms
• 1x Mini-PC with INTEL Core™ i5 quad-core CPU
• 1x MTouch II touch console
• The mini-PC computer preloads Windows 10 IoT Enterprise OS and license, Microsoft Teams Rooms App, as well as Yealink Camera Control Plug-in;
• Including 2-year hardware warranty.</t>
  </si>
  <si>
    <t>MB65-A001</t>
  </si>
  <si>
    <t>MeetingBoard for Small and Medium Rooms, Manager Office
• 1x 65 inch all-in-one Collaboration Display, power adapter, wallmount bracket and cables;
• 4 x stylus pen
• Including 2-year hardware warranty.
多模合一（含Teams/zoom）,统一SKU</t>
  </si>
  <si>
    <t>MB86-A001</t>
  </si>
  <si>
    <t>MeetingBoard for Medium and Large Rooms
• 1x 86 inch all-in-one Collaboration Display, power adapter, wallmount bracket and cables;
• 4 x stylus pen
• Including 2-year hardware warranty.
多模合一（含Teams/zoom）,统一SKU</t>
  </si>
  <si>
    <t>11. Presentation Mode hides the cost of each item, and make/model if wanted, for sharing your screen during meetings</t>
  </si>
  <si>
    <t>12. Work Mode unhides the hiddden rows from Presentation Mode</t>
  </si>
  <si>
    <t>[PROJECT NAME]</t>
  </si>
  <si>
    <t>3.0.0</t>
  </si>
  <si>
    <t>fdsaeW</t>
  </si>
  <si>
    <t>7TIR6FDUR</t>
  </si>
  <si>
    <t>Ignore Hidden Tabs</t>
  </si>
  <si>
    <t>Contingency</t>
  </si>
  <si>
    <t>test01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</si>
</sst>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164" formatCode="[$-409]d\-mmm\-yy;@"/>
    <numFmt numFmtId="165" formatCode="0.0"/>
    <numFmt numFmtId="166" formatCode="[$-409]mmm\-yy;@"/>
    <numFmt numFmtId="167" formatCode="[$-409]dd\-mmm\-yy;@"/>
    <numFmt numFmtId="168" formatCode="mm/dd/yyyy"/>
  </numFmts>
  <fonts count="42">
    <font>
      <sz val="11"/>
      <color theme="1"/>
      <name val="Calibri"/>
      <family val="2"/>
      <scheme val="minor"/>
    </font>
    <font>
      <sz val="8"/>
      <color theme="1"/>
      <name val="Veranda"/>
    </font>
    <font>
      <b/>
      <sz val="8"/>
      <color theme="1"/>
      <name val="Veranda"/>
    </font>
    <font>
      <sz val="11"/>
      <color theme="1"/>
      <name val="Calibri"/>
      <family val="2"/>
      <scheme val="minor"/>
    </font>
    <font>
      <b/>
      <sz val="15"/>
      <color theme="3"/>
      <name val="Calibri"/>
      <family val="2"/>
      <scheme val="minor"/>
    </font>
    <font>
      <sz val="11"/>
      <color rgb="FF006100"/>
      <name val="Calibri"/>
      <family val="2"/>
      <scheme val="minor"/>
    </font>
    <font>
      <sz val="11"/>
      <color rgb="FF3F3F76"/>
      <name val="Calibri"/>
      <family val="2"/>
      <scheme val="minor"/>
    </font>
    <font>
      <sz val="11"/>
      <color theme="0"/>
      <name val="Calibri"/>
      <family val="2"/>
      <scheme val="minor"/>
    </font>
    <font>
      <sz val="10"/>
      <name val="Arial"/>
      <family val="2"/>
    </font>
    <font>
      <sz val="10"/>
      <name val="Tahom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name val="Arial"/>
      <family val="2"/>
    </font>
    <font>
      <sz val="16"/>
      <name val="Arial"/>
      <family val="2"/>
    </font>
    <font>
      <b/>
      <u/>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8"/>
      <color theme="1"/>
      <name val="Arial"/>
      <family val="2"/>
    </font>
    <font>
      <sz val="8"/>
      <color theme="1"/>
      <name val="Arial"/>
      <family val="2"/>
    </font>
    <font>
      <sz val="8"/>
      <name val="Arial"/>
      <family val="2"/>
    </font>
    <font>
      <b/>
      <sz val="8"/>
      <color theme="0"/>
      <name val="Arial"/>
      <family val="2"/>
    </font>
    <font>
      <sz val="8"/>
      <color theme="0"/>
      <name val="Arial"/>
      <family val="2"/>
    </font>
    <font>
      <strike/>
      <sz val="11"/>
      <color theme="1"/>
      <name val="Calibri"/>
      <family val="2"/>
      <scheme val="minor"/>
    </font>
    <font>
      <b/>
      <sz val="8"/>
      <name val="Arial"/>
      <family val="2"/>
    </font>
    <font>
      <b/>
      <sz val="8"/>
      <color theme="0" tint="-0.249977111117893"/>
      <name val="Arial"/>
      <family val="2"/>
    </font>
  </fonts>
  <fills count="41">
    <fill>
      <patternFill patternType="none"/>
    </fill>
    <fill>
      <patternFill patternType="gray125"/>
    </fill>
    <fill>
      <patternFill patternType="solid">
        <fgColor theme="0" tint="-0.249977111117893"/>
        <bgColor indexed="64"/>
      </patternFill>
    </fill>
    <fill>
      <patternFill patternType="solid">
        <fgColor rgb="FFCCFFFF"/>
        <bgColor indexed="64"/>
      </patternFill>
    </fill>
    <fill>
      <patternFill patternType="solid">
        <fgColor rgb="FFC6EFCE"/>
      </patternFill>
    </fill>
    <fill>
      <patternFill patternType="solid">
        <fgColor rgb="FFFFCC99"/>
      </patternFill>
    </fill>
    <fill>
      <patternFill patternType="solid">
        <fgColor theme="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7"/>
      </patternFill>
    </fill>
    <fill>
      <patternFill patternType="solid">
        <fgColor theme="7" tint="0.79998168889431442"/>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34998626667073579"/>
        <bgColor indexed="64"/>
      </patternFill>
    </fill>
    <fill>
      <patternFill patternType="solid">
        <fgColor theme="3" tint="0.79998168889431442"/>
        <bgColor indexed="64"/>
      </patternFill>
    </fill>
    <fill>
      <patternFill patternType="solid">
        <fgColor rgb="FFFFFF00"/>
        <bgColor indexed="64"/>
      </patternFill>
    </fill>
    <fill>
      <patternFill patternType="solid">
        <fgColor theme="1"/>
        <bgColor indexed="64"/>
      </patternFill>
    </fill>
    <fill>
      <patternFill patternType="solid">
        <fgColor rgb="FFCCC0D9"/>
        <bgColor indexed="64"/>
      </patternFill>
    </fill>
    <fill>
      <patternFill patternType="solid">
        <fgColor rgb="FFC1C5CA"/>
        <bgColor indexed="64"/>
      </patternFill>
    </fill>
    <fill>
      <patternFill patternType="solid">
        <fgColor theme="0" tint="-0.24994659260841701"/>
        <bgColor indexed="64"/>
      </patternFill>
    </fill>
  </fills>
  <borders count="51">
    <border>
      <left/>
      <right/>
      <top/>
      <bottom/>
      <diagonal/>
    </border>
    <border>
      <left style="medium">
        <color auto="1"/>
      </left>
      <right/>
      <top/>
      <bottom/>
      <diagonal/>
    </border>
    <border>
      <left/>
      <right style="medium">
        <color auto="1"/>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thin">
        <color auto="1"/>
      </right>
      <top/>
      <bottom style="thin">
        <color auto="1"/>
      </bottom>
      <diagonal/>
    </border>
  </borders>
  <cellStyleXfs count="9405">
    <xf numFmtId="0" fontId="0" fillId="0" borderId="0"/>
    <xf numFmtId="0" fontId="8" fillId="0" borderId="0"/>
    <xf numFmtId="44" fontId="8"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166" fontId="8" fillId="0" borderId="0"/>
    <xf numFmtId="166" fontId="8" fillId="0" borderId="0"/>
    <xf numFmtId="166" fontId="8" fillId="0" borderId="0"/>
    <xf numFmtId="0" fontId="3" fillId="0" borderId="0"/>
    <xf numFmtId="166" fontId="9" fillId="0" borderId="0"/>
    <xf numFmtId="44" fontId="9" fillId="0" borderId="0" applyFont="0" applyFill="0" applyBorder="0" applyAlignment="0" applyProtection="0"/>
    <xf numFmtId="44" fontId="9" fillId="0" borderId="0" applyFont="0" applyFill="0" applyBorder="0" applyAlignment="0" applyProtection="0"/>
    <xf numFmtId="166" fontId="9" fillId="0" borderId="0"/>
    <xf numFmtId="166" fontId="10" fillId="12" borderId="0" applyNumberFormat="0" applyBorder="0" applyAlignment="0" applyProtection="0"/>
    <xf numFmtId="166" fontId="10" fillId="12" borderId="0" applyNumberFormat="0" applyBorder="0" applyAlignment="0" applyProtection="0"/>
    <xf numFmtId="166" fontId="10" fillId="12" borderId="0" applyNumberFormat="0" applyBorder="0" applyAlignment="0" applyProtection="0"/>
    <xf numFmtId="166" fontId="10" fillId="13" borderId="0" applyNumberFormat="0" applyBorder="0" applyAlignment="0" applyProtection="0"/>
    <xf numFmtId="166" fontId="10" fillId="13" borderId="0" applyNumberFormat="0" applyBorder="0" applyAlignment="0" applyProtection="0"/>
    <xf numFmtId="166" fontId="10" fillId="13"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10" fillId="14" borderId="0" applyNumberFormat="0" applyBorder="0" applyAlignment="0" applyProtection="0"/>
    <xf numFmtId="166" fontId="10" fillId="14" borderId="0" applyNumberFormat="0" applyBorder="0" applyAlignment="0" applyProtection="0"/>
    <xf numFmtId="166" fontId="10" fillId="14"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9"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10" fillId="15" borderId="0" applyNumberFormat="0" applyBorder="0" applyAlignment="0" applyProtection="0"/>
    <xf numFmtId="166" fontId="10" fillId="15" borderId="0" applyNumberFormat="0" applyBorder="0" applyAlignment="0" applyProtection="0"/>
    <xf numFmtId="166" fontId="10" fillId="15"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3" fillId="11" borderId="0" applyNumberFormat="0" applyBorder="0" applyAlignment="0" applyProtection="0"/>
    <xf numFmtId="166" fontId="10" fillId="16" borderId="0" applyNumberFormat="0" applyBorder="0" applyAlignment="0" applyProtection="0"/>
    <xf numFmtId="166" fontId="10" fillId="16" borderId="0" applyNumberFormat="0" applyBorder="0" applyAlignment="0" applyProtection="0"/>
    <xf numFmtId="166" fontId="10" fillId="16" borderId="0" applyNumberFormat="0" applyBorder="0" applyAlignment="0" applyProtection="0"/>
    <xf numFmtId="166" fontId="10" fillId="17" borderId="0" applyNumberFormat="0" applyBorder="0" applyAlignment="0" applyProtection="0"/>
    <xf numFmtId="166" fontId="10" fillId="17" borderId="0" applyNumberFormat="0" applyBorder="0" applyAlignment="0" applyProtection="0"/>
    <xf numFmtId="166" fontId="10" fillId="17" borderId="0" applyNumberFormat="0" applyBorder="0" applyAlignment="0" applyProtection="0"/>
    <xf numFmtId="166" fontId="10" fillId="18" borderId="0" applyNumberFormat="0" applyBorder="0" applyAlignment="0" applyProtection="0"/>
    <xf numFmtId="166" fontId="10" fillId="18" borderId="0" applyNumberFormat="0" applyBorder="0" applyAlignment="0" applyProtection="0"/>
    <xf numFmtId="166" fontId="10" fillId="18"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10" fillId="19" borderId="0" applyNumberFormat="0" applyBorder="0" applyAlignment="0" applyProtection="0"/>
    <xf numFmtId="166" fontId="10" fillId="19" borderId="0" applyNumberFormat="0" applyBorder="0" applyAlignment="0" applyProtection="0"/>
    <xf numFmtId="166" fontId="10" fillId="19"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3" fillId="7" borderId="0" applyNumberFormat="0" applyBorder="0" applyAlignment="0" applyProtection="0"/>
    <xf numFmtId="166" fontId="10" fillId="20" borderId="0" applyNumberFormat="0" applyBorder="0" applyAlignment="0" applyProtection="0"/>
    <xf numFmtId="166" fontId="10" fillId="20" borderId="0" applyNumberFormat="0" applyBorder="0" applyAlignment="0" applyProtection="0"/>
    <xf numFmtId="166" fontId="10" fillId="20" borderId="0" applyNumberFormat="0" applyBorder="0" applyAlignment="0" applyProtection="0"/>
    <xf numFmtId="166" fontId="10" fillId="15" borderId="0" applyNumberFormat="0" applyBorder="0" applyAlignment="0" applyProtection="0"/>
    <xf numFmtId="166" fontId="10" fillId="15" borderId="0" applyNumberFormat="0" applyBorder="0" applyAlignment="0" applyProtection="0"/>
    <xf numFmtId="166" fontId="10" fillId="15" borderId="0" applyNumberFormat="0" applyBorder="0" applyAlignment="0" applyProtection="0"/>
    <xf numFmtId="166" fontId="10" fillId="18" borderId="0" applyNumberFormat="0" applyBorder="0" applyAlignment="0" applyProtection="0"/>
    <xf numFmtId="166" fontId="10" fillId="18" borderId="0" applyNumberFormat="0" applyBorder="0" applyAlignment="0" applyProtection="0"/>
    <xf numFmtId="166" fontId="10" fillId="18" borderId="0" applyNumberFormat="0" applyBorder="0" applyAlignment="0" applyProtection="0"/>
    <xf numFmtId="166" fontId="10" fillId="21" borderId="0" applyNumberFormat="0" applyBorder="0" applyAlignment="0" applyProtection="0"/>
    <xf numFmtId="166" fontId="10" fillId="21" borderId="0" applyNumberFormat="0" applyBorder="0" applyAlignment="0" applyProtection="0"/>
    <xf numFmtId="166" fontId="10" fillId="21" borderId="0" applyNumberFormat="0" applyBorder="0" applyAlignment="0" applyProtection="0"/>
    <xf numFmtId="166" fontId="11" fillId="22" borderId="0" applyNumberFormat="0" applyBorder="0" applyAlignment="0" applyProtection="0"/>
    <xf numFmtId="166" fontId="11" fillId="22" borderId="0" applyNumberFormat="0" applyBorder="0" applyAlignment="0" applyProtection="0"/>
    <xf numFmtId="166" fontId="11" fillId="22" borderId="0" applyNumberFormat="0" applyBorder="0" applyAlignment="0" applyProtection="0"/>
    <xf numFmtId="166" fontId="11" fillId="19" borderId="0" applyNumberFormat="0" applyBorder="0" applyAlignment="0" applyProtection="0"/>
    <xf numFmtId="166" fontId="11" fillId="19" borderId="0" applyNumberFormat="0" applyBorder="0" applyAlignment="0" applyProtection="0"/>
    <xf numFmtId="166" fontId="11" fillId="19" borderId="0" applyNumberFormat="0" applyBorder="0" applyAlignment="0" applyProtection="0"/>
    <xf numFmtId="166" fontId="11" fillId="20" borderId="0" applyNumberFormat="0" applyBorder="0" applyAlignment="0" applyProtection="0"/>
    <xf numFmtId="166" fontId="11" fillId="20" borderId="0" applyNumberFormat="0" applyBorder="0" applyAlignment="0" applyProtection="0"/>
    <xf numFmtId="166" fontId="11" fillId="20" borderId="0" applyNumberFormat="0" applyBorder="0" applyAlignment="0" applyProtection="0"/>
    <xf numFmtId="166" fontId="11" fillId="23" borderId="0" applyNumberFormat="0" applyBorder="0" applyAlignment="0" applyProtection="0"/>
    <xf numFmtId="166" fontId="11" fillId="23" borderId="0" applyNumberFormat="0" applyBorder="0" applyAlignment="0" applyProtection="0"/>
    <xf numFmtId="166" fontId="11" fillId="23" borderId="0" applyNumberFormat="0" applyBorder="0" applyAlignment="0" applyProtection="0"/>
    <xf numFmtId="166" fontId="11" fillId="24" borderId="0" applyNumberFormat="0" applyBorder="0" applyAlignment="0" applyProtection="0"/>
    <xf numFmtId="166" fontId="11" fillId="24" borderId="0" applyNumberFormat="0" applyBorder="0" applyAlignment="0" applyProtection="0"/>
    <xf numFmtId="166" fontId="11" fillId="24" borderId="0" applyNumberFormat="0" applyBorder="0" applyAlignment="0" applyProtection="0"/>
    <xf numFmtId="166" fontId="11" fillId="25" borderId="0" applyNumberFormat="0" applyBorder="0" applyAlignment="0" applyProtection="0"/>
    <xf numFmtId="166" fontId="11" fillId="25" borderId="0" applyNumberFormat="0" applyBorder="0" applyAlignment="0" applyProtection="0"/>
    <xf numFmtId="166" fontId="11" fillId="25" borderId="0" applyNumberFormat="0" applyBorder="0" applyAlignment="0" applyProtection="0"/>
    <xf numFmtId="166" fontId="11" fillId="26" borderId="0" applyNumberFormat="0" applyBorder="0" applyAlignment="0" applyProtection="0"/>
    <xf numFmtId="166" fontId="11" fillId="26" borderId="0" applyNumberFormat="0" applyBorder="0" applyAlignment="0" applyProtection="0"/>
    <xf numFmtId="166" fontId="11" fillId="26" borderId="0" applyNumberFormat="0" applyBorder="0" applyAlignment="0" applyProtection="0"/>
    <xf numFmtId="166" fontId="11" fillId="27" borderId="0" applyNumberFormat="0" applyBorder="0" applyAlignment="0" applyProtection="0"/>
    <xf numFmtId="166" fontId="11" fillId="27" borderId="0" applyNumberFormat="0" applyBorder="0" applyAlignment="0" applyProtection="0"/>
    <xf numFmtId="166" fontId="11" fillId="27" borderId="0" applyNumberFormat="0" applyBorder="0" applyAlignment="0" applyProtection="0"/>
    <xf numFmtId="166" fontId="7" fillId="6" borderId="0" applyNumberFormat="0" applyBorder="0" applyAlignment="0" applyProtection="0"/>
    <xf numFmtId="166" fontId="11" fillId="28" borderId="0" applyNumberFormat="0" applyBorder="0" applyAlignment="0" applyProtection="0"/>
    <xf numFmtId="166" fontId="11" fillId="28" borderId="0" applyNumberFormat="0" applyBorder="0" applyAlignment="0" applyProtection="0"/>
    <xf numFmtId="166" fontId="11" fillId="28" borderId="0" applyNumberFormat="0" applyBorder="0" applyAlignment="0" applyProtection="0"/>
    <xf numFmtId="166" fontId="7" fillId="8" borderId="0" applyNumberFormat="0" applyBorder="0" applyAlignment="0" applyProtection="0"/>
    <xf numFmtId="166" fontId="11" fillId="23" borderId="0" applyNumberFormat="0" applyBorder="0" applyAlignment="0" applyProtection="0"/>
    <xf numFmtId="166" fontId="11" fillId="23" borderId="0" applyNumberFormat="0" applyBorder="0" applyAlignment="0" applyProtection="0"/>
    <xf numFmtId="166" fontId="11" fillId="23" borderId="0" applyNumberFormat="0" applyBorder="0" applyAlignment="0" applyProtection="0"/>
    <xf numFmtId="166" fontId="7" fillId="10" borderId="0" applyNumberFormat="0" applyBorder="0" applyAlignment="0" applyProtection="0"/>
    <xf numFmtId="166" fontId="11" fillId="24" borderId="0" applyNumberFormat="0" applyBorder="0" applyAlignment="0" applyProtection="0"/>
    <xf numFmtId="166" fontId="11" fillId="24" borderId="0" applyNumberFormat="0" applyBorder="0" applyAlignment="0" applyProtection="0"/>
    <xf numFmtId="166" fontId="11" fillId="24" borderId="0" applyNumberFormat="0" applyBorder="0" applyAlignment="0" applyProtection="0"/>
    <xf numFmtId="166" fontId="11" fillId="29" borderId="0" applyNumberFormat="0" applyBorder="0" applyAlignment="0" applyProtection="0"/>
    <xf numFmtId="166" fontId="11" fillId="29" borderId="0" applyNumberFormat="0" applyBorder="0" applyAlignment="0" applyProtection="0"/>
    <xf numFmtId="166" fontId="11" fillId="29" borderId="0" applyNumberFormat="0" applyBorder="0" applyAlignment="0" applyProtection="0"/>
    <xf numFmtId="166" fontId="12" fillId="13" borderId="0" applyNumberFormat="0" applyBorder="0" applyAlignment="0" applyProtection="0"/>
    <xf numFmtId="166" fontId="12" fillId="13" borderId="0" applyNumberFormat="0" applyBorder="0" applyAlignment="0" applyProtection="0"/>
    <xf numFmtId="166" fontId="12" fillId="13" borderId="0" applyNumberFormat="0" applyBorder="0" applyAlignment="0" applyProtection="0"/>
    <xf numFmtId="166" fontId="13" fillId="30" borderId="25" applyNumberFormat="0" applyAlignment="0" applyProtection="0"/>
    <xf numFmtId="166" fontId="13" fillId="30" borderId="25" applyNumberFormat="0" applyAlignment="0" applyProtection="0"/>
    <xf numFmtId="166" fontId="13" fillId="30" borderId="25" applyNumberFormat="0" applyAlignment="0" applyProtection="0"/>
    <xf numFmtId="166" fontId="14" fillId="31" borderId="26" applyNumberFormat="0" applyAlignment="0" applyProtection="0"/>
    <xf numFmtId="166" fontId="14" fillId="31" borderId="26" applyNumberFormat="0" applyAlignment="0" applyProtection="0"/>
    <xf numFmtId="166" fontId="14" fillId="31" borderId="26" applyNumberFormat="0" applyAlignment="0" applyProtection="0"/>
    <xf numFmtId="44" fontId="3" fillId="0" borderId="0" applyFont="0" applyFill="0" applyBorder="0" applyAlignment="0" applyProtection="0"/>
    <xf numFmtId="44" fontId="3" fillId="0" borderId="0" applyFont="0" applyFill="0" applyBorder="0" applyAlignment="0" applyProtection="0"/>
    <xf numFmtId="44" fontId="10"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8"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9"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5" fillId="0" borderId="0" applyNumberFormat="0" applyFill="0" applyBorder="0" applyAlignment="0" applyProtection="0"/>
    <xf numFmtId="166" fontId="16" fillId="14" borderId="0" applyNumberFormat="0" applyBorder="0" applyAlignment="0" applyProtection="0"/>
    <xf numFmtId="166" fontId="16" fillId="14" borderId="0" applyNumberFormat="0" applyBorder="0" applyAlignment="0" applyProtection="0"/>
    <xf numFmtId="166" fontId="16" fillId="14" borderId="0" applyNumberFormat="0" applyBorder="0" applyAlignment="0" applyProtection="0"/>
    <xf numFmtId="166" fontId="5" fillId="4" borderId="0" applyNumberFormat="0" applyBorder="0" applyAlignment="0" applyProtection="0"/>
    <xf numFmtId="166" fontId="17" fillId="0" borderId="27" applyNumberFormat="0" applyFill="0" applyAlignment="0" applyProtection="0"/>
    <xf numFmtId="166" fontId="17" fillId="0" borderId="27" applyNumberFormat="0" applyFill="0" applyAlignment="0" applyProtection="0"/>
    <xf numFmtId="166" fontId="17" fillId="0" borderId="27" applyNumberFormat="0" applyFill="0" applyAlignment="0" applyProtection="0"/>
    <xf numFmtId="166" fontId="4" fillId="0" borderId="17" applyNumberFormat="0" applyFill="0" applyAlignment="0" applyProtection="0"/>
    <xf numFmtId="166" fontId="18" fillId="0" borderId="28" applyNumberFormat="0" applyFill="0" applyAlignment="0" applyProtection="0"/>
    <xf numFmtId="166" fontId="18" fillId="0" borderId="28" applyNumberFormat="0" applyFill="0" applyAlignment="0" applyProtection="0"/>
    <xf numFmtId="166" fontId="18" fillId="0" borderId="28" applyNumberFormat="0" applyFill="0" applyAlignment="0" applyProtection="0"/>
    <xf numFmtId="166" fontId="19" fillId="0" borderId="29" applyNumberFormat="0" applyFill="0" applyAlignment="0" applyProtection="0"/>
    <xf numFmtId="166" fontId="19" fillId="0" borderId="29" applyNumberFormat="0" applyFill="0" applyAlignment="0" applyProtection="0"/>
    <xf numFmtId="166" fontId="19" fillId="0" borderId="29" applyNumberFormat="0" applyFill="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19" fillId="0" borderId="0" applyNumberFormat="0" applyFill="0" applyBorder="0" applyAlignment="0" applyProtection="0"/>
    <xf numFmtId="166"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66" fontId="21" fillId="17" borderId="25" applyNumberFormat="0" applyAlignment="0" applyProtection="0"/>
    <xf numFmtId="166" fontId="21" fillId="17" borderId="25" applyNumberFormat="0" applyAlignment="0" applyProtection="0"/>
    <xf numFmtId="166" fontId="21" fillId="17" borderId="25" applyNumberFormat="0" applyAlignment="0" applyProtection="0"/>
    <xf numFmtId="166" fontId="6" fillId="5" borderId="18" applyNumberFormat="0" applyAlignment="0" applyProtection="0"/>
    <xf numFmtId="166" fontId="22" fillId="0" borderId="30" applyNumberFormat="0" applyFill="0" applyAlignment="0" applyProtection="0"/>
    <xf numFmtId="166" fontId="22" fillId="0" borderId="30" applyNumberFormat="0" applyFill="0" applyAlignment="0" applyProtection="0"/>
    <xf numFmtId="166" fontId="22" fillId="0" borderId="30" applyNumberFormat="0" applyFill="0" applyAlignment="0" applyProtection="0"/>
    <xf numFmtId="166" fontId="23" fillId="32" borderId="0" applyNumberFormat="0" applyBorder="0" applyAlignment="0" applyProtection="0"/>
    <xf numFmtId="166" fontId="23" fillId="32" borderId="0" applyNumberFormat="0" applyBorder="0" applyAlignment="0" applyProtection="0"/>
    <xf numFmtId="166" fontId="23" fillId="32" borderId="0" applyNumberFormat="0" applyBorder="0" applyAlignment="0" applyProtection="0"/>
    <xf numFmtId="166" fontId="9" fillId="0" borderId="0"/>
    <xf numFmtId="0" fontId="9"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8" fillId="0" borderId="0"/>
    <xf numFmtId="166" fontId="8" fillId="0" borderId="0"/>
    <xf numFmtId="166" fontId="8" fillId="0" borderId="0" applyBorder="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applyBorder="0"/>
    <xf numFmtId="166" fontId="8" fillId="0" borderId="0"/>
    <xf numFmtId="166" fontId="8" fillId="0" borderId="0"/>
    <xf numFmtId="0" fontId="8" fillId="0" borderId="0" applyBorder="0"/>
    <xf numFmtId="166" fontId="8" fillId="0" borderId="0"/>
    <xf numFmtId="166" fontId="8" fillId="0" borderId="0"/>
    <xf numFmtId="0" fontId="8" fillId="0" borderId="0" applyBorder="0"/>
    <xf numFmtId="166" fontId="8" fillId="0" borderId="0"/>
    <xf numFmtId="166" fontId="8" fillId="0" borderId="0"/>
    <xf numFmtId="0" fontId="8" fillId="0" borderId="0" applyBorder="0"/>
    <xf numFmtId="166" fontId="8" fillId="0" borderId="0"/>
    <xf numFmtId="166" fontId="8" fillId="0" borderId="0" applyBorder="0"/>
    <xf numFmtId="0" fontId="8" fillId="0" borderId="0"/>
    <xf numFmtId="166" fontId="8" fillId="0" borderId="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xf numFmtId="166" fontId="8" fillId="0" borderId="0" applyBorder="0"/>
    <xf numFmtId="166" fontId="8" fillId="0" borderId="0" applyBorder="0"/>
    <xf numFmtId="0" fontId="8" fillId="0" borderId="0"/>
    <xf numFmtId="0" fontId="8" fillId="0" borderId="0"/>
    <xf numFmtId="0" fontId="8" fillId="0" borderId="0"/>
    <xf numFmtId="166" fontId="8" fillId="0" borderId="0"/>
    <xf numFmtId="0" fontId="8" fillId="0" borderId="0" applyBorder="0"/>
    <xf numFmtId="166" fontId="8" fillId="0" borderId="0" applyBorder="0"/>
    <xf numFmtId="166" fontId="8" fillId="0" borderId="0"/>
    <xf numFmtId="166" fontId="8" fillId="0" borderId="0" applyBorder="0"/>
    <xf numFmtId="166" fontId="8" fillId="0" borderId="0" applyBorder="0"/>
    <xf numFmtId="166" fontId="8" fillId="0" borderId="0"/>
    <xf numFmtId="0" fontId="8" fillId="0" borderId="0" applyBorder="0"/>
    <xf numFmtId="166" fontId="8" fillId="0" borderId="0"/>
    <xf numFmtId="166" fontId="8" fillId="0" borderId="0"/>
    <xf numFmtId="0" fontId="8" fillId="0" borderId="0" applyBorder="0"/>
    <xf numFmtId="0" fontId="8" fillId="0" borderId="0" applyBorder="0"/>
    <xf numFmtId="0" fontId="8" fillId="0" borderId="0" applyBorder="0"/>
    <xf numFmtId="0" fontId="8" fillId="0" borderId="0" applyBorder="0"/>
    <xf numFmtId="166" fontId="8" fillId="0" borderId="0" applyBorder="0"/>
    <xf numFmtId="0" fontId="8" fillId="0" borderId="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applyBorder="0"/>
    <xf numFmtId="166" fontId="8" fillId="0" borderId="0" applyBorder="0"/>
    <xf numFmtId="166" fontId="8" fillId="0" borderId="0" applyBorder="0"/>
    <xf numFmtId="0" fontId="8" fillId="0" borderId="0" applyBorder="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166" fontId="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166" fontId="8" fillId="0" borderId="0"/>
    <xf numFmtId="0" fontId="8" fillId="0" borderId="0"/>
    <xf numFmtId="166" fontId="8" fillId="0" borderId="0"/>
    <xf numFmtId="166" fontId="8" fillId="0" borderId="0" applyBorder="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166" fontId="8" fillId="0" borderId="0" applyBorder="0"/>
    <xf numFmtId="166" fontId="8" fillId="0" borderId="0"/>
    <xf numFmtId="166" fontId="8" fillId="0" borderId="0" applyBorder="0"/>
    <xf numFmtId="166" fontId="8" fillId="0" borderId="0"/>
    <xf numFmtId="0" fontId="8" fillId="0" borderId="0"/>
    <xf numFmtId="166" fontId="8" fillId="0" borderId="0"/>
    <xf numFmtId="166" fontId="8" fillId="0" borderId="0"/>
    <xf numFmtId="166" fontId="8" fillId="0" borderId="0"/>
    <xf numFmtId="166" fontId="8" fillId="0" borderId="0" applyBorder="0"/>
    <xf numFmtId="166" fontId="8" fillId="0" borderId="0"/>
    <xf numFmtId="0" fontId="8" fillId="0" borderId="0"/>
    <xf numFmtId="166" fontId="8" fillId="0" borderId="0"/>
    <xf numFmtId="166" fontId="8" fillId="0" borderId="0"/>
    <xf numFmtId="0" fontId="8" fillId="0" borderId="0"/>
    <xf numFmtId="166" fontId="8" fillId="0" borderId="0"/>
    <xf numFmtId="166" fontId="8" fillId="0" borderId="0"/>
    <xf numFmtId="0" fontId="8" fillId="0" borderId="0"/>
    <xf numFmtId="166" fontId="8" fillId="0" borderId="0"/>
    <xf numFmtId="166"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166" fontId="8"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166" fontId="9" fillId="0" borderId="0"/>
    <xf numFmtId="0" fontId="9" fillId="0" borderId="0"/>
    <xf numFmtId="166" fontId="9" fillId="0" borderId="0"/>
    <xf numFmtId="0" fontId="9" fillId="0" borderId="0"/>
    <xf numFmtId="166" fontId="8" fillId="33" borderId="31" applyNumberFormat="0" applyFont="0" applyAlignment="0" applyProtection="0"/>
    <xf numFmtId="166" fontId="8" fillId="33" borderId="31" applyNumberFormat="0" applyFont="0" applyAlignment="0" applyProtection="0"/>
    <xf numFmtId="166" fontId="8" fillId="33" borderId="31" applyNumberFormat="0" applyFont="0" applyAlignment="0" applyProtection="0"/>
    <xf numFmtId="166" fontId="24" fillId="30" borderId="32" applyNumberFormat="0" applyAlignment="0" applyProtection="0"/>
    <xf numFmtId="166" fontId="24" fillId="30" borderId="32" applyNumberFormat="0" applyAlignment="0" applyProtection="0"/>
    <xf numFmtId="166" fontId="24" fillId="30" borderId="32"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8" fillId="0" borderId="0" applyFont="0" applyFill="0" applyBorder="0" applyAlignment="0" applyProtection="0"/>
    <xf numFmtId="166" fontId="25" fillId="0" borderId="0" applyNumberFormat="0" applyFill="0" applyBorder="0" applyAlignment="0" applyProtection="0"/>
    <xf numFmtId="166" fontId="25" fillId="0" borderId="0" applyNumberFormat="0" applyFill="0" applyBorder="0" applyAlignment="0" applyProtection="0"/>
    <xf numFmtId="166" fontId="25" fillId="0" borderId="0" applyNumberFormat="0" applyFill="0" applyBorder="0" applyAlignment="0" applyProtection="0"/>
    <xf numFmtId="166" fontId="26" fillId="0" borderId="33" applyNumberFormat="0" applyFill="0" applyAlignment="0" applyProtection="0"/>
    <xf numFmtId="166" fontId="26" fillId="0" borderId="33" applyNumberFormat="0" applyFill="0" applyAlignment="0" applyProtection="0"/>
    <xf numFmtId="166" fontId="26" fillId="0" borderId="33" applyNumberFormat="0" applyFill="0" applyAlignment="0" applyProtection="0"/>
    <xf numFmtId="166" fontId="27" fillId="0" borderId="0" applyNumberFormat="0" applyFill="0" applyBorder="0" applyAlignment="0" applyProtection="0"/>
    <xf numFmtId="166" fontId="27" fillId="0" borderId="0" applyNumberFormat="0" applyFill="0" applyBorder="0" applyAlignment="0" applyProtection="0"/>
    <xf numFmtId="166" fontId="27" fillId="0" borderId="0" applyNumberFormat="0" applyFill="0" applyBorder="0" applyAlignment="0" applyProtection="0"/>
    <xf numFmtId="0" fontId="32" fillId="0" borderId="0" applyNumberFormat="0" applyFill="0" applyBorder="0" applyAlignment="0" applyProtection="0"/>
  </cellStyleXfs>
  <cellXfs count="190">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vertical="center"/>
    </xf>
    <xf numFmtId="9" fontId="1" fillId="0" borderId="0" xfId="0" applyNumberFormat="1" applyFont="1"/>
    <xf numFmtId="0" fontId="1" fillId="0" borderId="7" xfId="0" applyFont="1" applyBorder="1" applyAlignment="1">
      <alignment vertical="center"/>
    </xf>
    <xf numFmtId="0" fontId="1" fillId="0" borderId="8" xfId="0" applyFont="1" applyBorder="1" applyAlignment="1">
      <alignment vertical="center"/>
    </xf>
    <xf numFmtId="42" fontId="1" fillId="0" borderId="8" xfId="0" applyNumberFormat="1" applyFont="1" applyBorder="1" applyAlignment="1">
      <alignment vertical="center"/>
    </xf>
    <xf numFmtId="0" fontId="1" fillId="0" borderId="8" xfId="0" applyFont="1" applyBorder="1" applyAlignment="1">
      <alignment horizontal="center" vertical="center"/>
    </xf>
    <xf numFmtId="0" fontId="2" fillId="0" borderId="22" xfId="0" applyFont="1" applyBorder="1" applyAlignment="1">
      <alignment vertical="center"/>
    </xf>
    <xf numFmtId="0" fontId="1" fillId="0" borderId="23" xfId="0" applyFont="1" applyBorder="1" applyAlignment="1">
      <alignment vertical="center"/>
    </xf>
    <xf numFmtId="164" fontId="2" fillId="0" borderId="24" xfId="0" applyNumberFormat="1" applyFont="1" applyBorder="1" applyAlignment="1">
      <alignment vertical="center"/>
    </xf>
    <xf numFmtId="0" fontId="2" fillId="0" borderId="19" xfId="0" applyFont="1" applyBorder="1" applyAlignment="1">
      <alignment vertical="center"/>
    </xf>
    <xf numFmtId="0" fontId="1" fillId="0" borderId="6" xfId="0" applyFont="1" applyBorder="1" applyAlignment="1">
      <alignment vertical="center"/>
    </xf>
    <xf numFmtId="0" fontId="1" fillId="0" borderId="2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23" xfId="0" applyFont="1" applyBorder="1" applyAlignment="1">
      <alignment horizontal="center" vertical="center" wrapText="1"/>
    </xf>
    <xf numFmtId="0" fontId="2" fillId="2" borderId="13" xfId="0" applyFont="1" applyFill="1" applyBorder="1" applyAlignment="1">
      <alignment horizontal="center"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0" xfId="0" applyFont="1" applyAlignment="1">
      <alignment horizontal="center"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0" xfId="0" applyFont="1" applyAlignment="1">
      <alignmen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2" fillId="2" borderId="37" xfId="0" applyFont="1" applyFill="1" applyBorder="1" applyAlignment="1">
      <alignment horizontal="center" vertical="center" wrapText="1"/>
    </xf>
    <xf numFmtId="0" fontId="1" fillId="0" borderId="2" xfId="0" applyFont="1" applyBorder="1"/>
    <xf numFmtId="0" fontId="2" fillId="2" borderId="15" xfId="0" applyFont="1" applyFill="1" applyBorder="1" applyAlignment="1">
      <alignment horizontal="center" vertical="center" wrapText="1"/>
    </xf>
    <xf numFmtId="0" fontId="2" fillId="0" borderId="22" xfId="0" applyFont="1" applyBorder="1"/>
    <xf numFmtId="0" fontId="1" fillId="0" borderId="23" xfId="0" applyFont="1" applyBorder="1"/>
    <xf numFmtId="0" fontId="2" fillId="0" borderId="19" xfId="0" applyFont="1" applyBorder="1"/>
    <xf numFmtId="0" fontId="1" fillId="0" borderId="6" xfId="0" applyFont="1" applyBorder="1"/>
    <xf numFmtId="0" fontId="1" fillId="0" borderId="20" xfId="0" applyFont="1" applyBorder="1"/>
    <xf numFmtId="0" fontId="1" fillId="0" borderId="23" xfId="0" applyFont="1" applyBorder="1" applyAlignment="1">
      <alignment horizontal="center"/>
    </xf>
    <xf numFmtId="0" fontId="1" fillId="0" borderId="6" xfId="0" applyFont="1" applyBorder="1" applyAlignment="1">
      <alignment horizontal="center"/>
    </xf>
    <xf numFmtId="0" fontId="1" fillId="0" borderId="0" xfId="0" applyFont="1" applyAlignment="1">
      <alignment horizontal="center"/>
    </xf>
    <xf numFmtId="0" fontId="1" fillId="34" borderId="12" xfId="0" applyFont="1" applyFill="1" applyBorder="1"/>
    <xf numFmtId="0" fontId="1" fillId="34" borderId="10" xfId="0" applyFont="1" applyFill="1" applyBorder="1"/>
    <xf numFmtId="0" fontId="2" fillId="34" borderId="10" xfId="0" applyFont="1" applyFill="1" applyBorder="1" applyAlignment="1">
      <alignment horizontal="right"/>
    </xf>
    <xf numFmtId="42" fontId="1" fillId="34" borderId="10" xfId="0" applyNumberFormat="1" applyFont="1" applyFill="1" applyBorder="1"/>
    <xf numFmtId="0" fontId="1" fillId="34" borderId="10" xfId="0" applyFont="1" applyFill="1" applyBorder="1" applyAlignment="1">
      <alignment horizontal="center"/>
    </xf>
    <xf numFmtId="42" fontId="1" fillId="34" borderId="11" xfId="0" applyNumberFormat="1" applyFont="1" applyFill="1" applyBorder="1"/>
    <xf numFmtId="0" fontId="1" fillId="34" borderId="1" xfId="0" applyFont="1" applyFill="1" applyBorder="1"/>
    <xf numFmtId="0" fontId="1" fillId="34" borderId="2" xfId="0" applyFont="1" applyFill="1" applyBorder="1"/>
    <xf numFmtId="0" fontId="2" fillId="0" borderId="1" xfId="0" applyFont="1" applyBorder="1" applyAlignment="1">
      <alignment vertical="center"/>
    </xf>
    <xf numFmtId="0" fontId="2" fillId="2" borderId="36" xfId="0" applyFont="1" applyFill="1" applyBorder="1" applyAlignment="1">
      <alignment horizontal="center" vertical="center" wrapText="1"/>
    </xf>
    <xf numFmtId="0" fontId="1" fillId="0" borderId="3" xfId="0" applyFont="1" applyBorder="1" applyAlignment="1">
      <alignment vertical="center"/>
    </xf>
    <xf numFmtId="0" fontId="1" fillId="0" borderId="3" xfId="0" applyFont="1" applyBorder="1" applyAlignment="1">
      <alignment horizontal="center" vertical="center"/>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0" fillId="0" borderId="0" xfId="0" applyAlignment="1">
      <alignment horizontal="left" vertical="center"/>
    </xf>
    <xf numFmtId="0" fontId="0" fillId="0" borderId="0" xfId="0" applyAlignment="1">
      <alignment horizontal="center"/>
    </xf>
    <xf numFmtId="167" fontId="2" fillId="0" borderId="24" xfId="0" applyNumberFormat="1" applyFont="1" applyBorder="1"/>
    <xf numFmtId="9" fontId="2" fillId="0" borderId="0" xfId="0" applyNumberFormat="1" applyFont="1"/>
    <xf numFmtId="0" fontId="2" fillId="0" borderId="6" xfId="0" applyFont="1" applyBorder="1" applyAlignment="1">
      <alignment vertical="center"/>
    </xf>
    <xf numFmtId="0" fontId="0" fillId="0" borderId="3" xfId="0" applyBorder="1" applyAlignment="1">
      <alignment horizontal="left" vertical="top"/>
    </xf>
    <xf numFmtId="0" fontId="0" fillId="0" borderId="42" xfId="0" applyBorder="1" applyAlignment="1">
      <alignment horizontal="left" vertical="top"/>
    </xf>
    <xf numFmtId="0" fontId="28" fillId="35" borderId="0" xfId="5410" applyNumberFormat="1" applyFont="1" applyFill="1" applyAlignment="1">
      <alignment horizontal="center" wrapText="1"/>
    </xf>
    <xf numFmtId="0" fontId="29" fillId="0" borderId="0" xfId="5410" applyNumberFormat="1" applyFont="1" applyAlignment="1">
      <alignment horizontal="center"/>
    </xf>
    <xf numFmtId="0" fontId="29" fillId="0" borderId="0" xfId="5410" applyNumberFormat="1" applyFont="1"/>
    <xf numFmtId="0" fontId="1" fillId="0" borderId="4" xfId="0" applyFont="1" applyBorder="1" applyAlignment="1">
      <alignment vertical="center" wrapText="1"/>
    </xf>
    <xf numFmtId="0" fontId="1" fillId="0" borderId="46" xfId="0" applyFont="1" applyBorder="1" applyAlignment="1">
      <alignment vertical="center"/>
    </xf>
    <xf numFmtId="0" fontId="1" fillId="0" borderId="4" xfId="0" applyFont="1" applyBorder="1" applyAlignment="1">
      <alignment vertical="center"/>
    </xf>
    <xf numFmtId="0" fontId="1" fillId="0" borderId="47" xfId="0" applyFont="1" applyBorder="1" applyAlignment="1">
      <alignment vertical="center" wrapText="1"/>
    </xf>
    <xf numFmtId="0" fontId="1" fillId="0" borderId="48" xfId="0" applyFont="1" applyBorder="1" applyAlignment="1">
      <alignment vertical="center"/>
    </xf>
    <xf numFmtId="168" fontId="0" fillId="0" borderId="39" xfId="0" applyNumberFormat="1" applyBorder="1" applyAlignment="1">
      <alignment horizontal="left" vertical="top"/>
    </xf>
    <xf numFmtId="168" fontId="0" fillId="0" borderId="3" xfId="0" applyNumberFormat="1" applyBorder="1" applyAlignment="1">
      <alignment horizontal="left" vertical="top"/>
    </xf>
    <xf numFmtId="3" fontId="0" fillId="0" borderId="39" xfId="0" applyNumberFormat="1" applyBorder="1" applyAlignment="1">
      <alignment horizontal="left" vertical="top" wrapText="1"/>
    </xf>
    <xf numFmtId="0" fontId="0" fillId="0" borderId="3" xfId="0" applyBorder="1" applyAlignment="1">
      <alignment horizontal="left" vertical="top" wrapText="1"/>
    </xf>
    <xf numFmtId="3" fontId="0" fillId="0" borderId="3" xfId="0" applyNumberFormat="1" applyBorder="1" applyAlignment="1">
      <alignment horizontal="left" vertical="top" wrapText="1"/>
    </xf>
    <xf numFmtId="0" fontId="0" fillId="0" borderId="42" xfId="0" applyBorder="1" applyAlignment="1">
      <alignment horizontal="left" vertical="top" wrapText="1"/>
    </xf>
    <xf numFmtId="0" fontId="0" fillId="0" borderId="38" xfId="0" applyBorder="1" applyAlignment="1">
      <alignment horizontal="left" vertical="top"/>
    </xf>
    <xf numFmtId="0" fontId="0" fillId="0" borderId="5" xfId="0" applyBorder="1" applyAlignment="1">
      <alignment horizontal="left" vertical="top"/>
    </xf>
    <xf numFmtId="0" fontId="1" fillId="0" borderId="41" xfId="0" applyFont="1" applyBorder="1" applyAlignment="1">
      <alignment horizontal="left" vertical="top"/>
    </xf>
    <xf numFmtId="42" fontId="0" fillId="0" borderId="39" xfId="0" applyNumberFormat="1" applyBorder="1" applyAlignment="1">
      <alignment horizontal="left" vertical="top"/>
    </xf>
    <xf numFmtId="42" fontId="0" fillId="0" borderId="40" xfId="0" applyNumberFormat="1" applyBorder="1" applyAlignment="1">
      <alignment horizontal="left" vertical="top"/>
    </xf>
    <xf numFmtId="0" fontId="1" fillId="34" borderId="0" xfId="0" applyFont="1" applyFill="1"/>
    <xf numFmtId="0" fontId="1" fillId="34" borderId="0" xfId="0" applyFont="1" applyFill="1" applyAlignment="1">
      <alignment horizontal="center"/>
    </xf>
    <xf numFmtId="42" fontId="1" fillId="0" borderId="0" xfId="0" applyNumberFormat="1"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right"/>
    </xf>
    <xf numFmtId="0" fontId="1" fillId="0" borderId="38" xfId="0" applyFont="1" applyBorder="1" applyAlignment="1">
      <alignment horizontal="right" vertical="center"/>
    </xf>
    <xf numFmtId="9" fontId="1" fillId="0" borderId="40" xfId="0" applyNumberFormat="1" applyFont="1" applyBorder="1"/>
    <xf numFmtId="0" fontId="1" fillId="0" borderId="5" xfId="0" applyFont="1" applyBorder="1" applyAlignment="1">
      <alignment horizontal="right" vertical="center"/>
    </xf>
    <xf numFmtId="9" fontId="1" fillId="0" borderId="21" xfId="0" applyNumberFormat="1" applyFont="1" applyBorder="1"/>
    <xf numFmtId="0" fontId="1" fillId="0" borderId="41" xfId="0" applyFont="1" applyBorder="1" applyAlignment="1">
      <alignment horizontal="right" vertical="center"/>
    </xf>
    <xf numFmtId="9" fontId="1" fillId="0" borderId="43" xfId="0" applyNumberFormat="1" applyFont="1" applyBorder="1"/>
    <xf numFmtId="0" fontId="1" fillId="0" borderId="49" xfId="0" applyFont="1" applyBorder="1"/>
    <xf numFmtId="9" fontId="1" fillId="0" borderId="49" xfId="0" applyNumberFormat="1" applyFont="1" applyBorder="1"/>
    <xf numFmtId="0" fontId="30" fillId="0" borderId="0" xfId="0" applyFont="1" applyAlignment="1">
      <alignment horizontal="left" vertical="center"/>
    </xf>
    <xf numFmtId="0" fontId="0" fillId="0" borderId="0" xfId="0" applyAlignment="1">
      <alignment horizontal="left" vertical="top"/>
    </xf>
    <xf numFmtId="42" fontId="1" fillId="34" borderId="10" xfId="0" applyNumberFormat="1" applyFont="1" applyFill="1" applyBorder="1" applyAlignment="1">
      <alignment horizontal="center"/>
    </xf>
    <xf numFmtId="0" fontId="0" fillId="0" borderId="39" xfId="0" applyBorder="1" applyAlignment="1" applyProtection="1">
      <alignment horizontal="center" vertical="top"/>
      <protection locked="0"/>
    </xf>
    <xf numFmtId="42" fontId="0" fillId="0" borderId="39" xfId="0" applyNumberFormat="1" applyBorder="1" applyAlignment="1">
      <alignment horizontal="center" vertical="top"/>
    </xf>
    <xf numFmtId="0" fontId="1" fillId="34" borderId="0" xfId="0" applyFont="1" applyFill="1" applyAlignment="1">
      <alignment horizontal="right"/>
    </xf>
    <xf numFmtId="9" fontId="0" fillId="0" borderId="39" xfId="0" applyNumberFormat="1" applyBorder="1" applyAlignment="1">
      <alignment horizontal="center" vertical="top"/>
    </xf>
    <xf numFmtId="49" fontId="2" fillId="0" borderId="0" xfId="0" applyNumberFormat="1" applyFont="1" applyAlignment="1">
      <alignment horizontal="center" vertical="center"/>
    </xf>
    <xf numFmtId="49" fontId="1" fillId="0" borderId="0" xfId="0" applyNumberFormat="1" applyFont="1"/>
    <xf numFmtId="0" fontId="30" fillId="36" borderId="0" xfId="0" applyFont="1" applyFill="1" applyAlignment="1">
      <alignment horizontal="left" vertical="center"/>
    </xf>
    <xf numFmtId="0" fontId="0" fillId="36" borderId="0" xfId="0" applyFill="1" applyAlignment="1">
      <alignment horizontal="center"/>
    </xf>
    <xf numFmtId="0" fontId="0" fillId="36" borderId="0" xfId="0" applyFill="1"/>
    <xf numFmtId="14" fontId="0" fillId="0" borderId="0" xfId="0" applyNumberFormat="1"/>
    <xf numFmtId="0" fontId="31" fillId="0" borderId="0" xfId="0" applyFont="1" applyAlignment="1">
      <alignment horizontal="left" vertical="top"/>
    </xf>
    <xf numFmtId="0" fontId="32" fillId="0" borderId="39" xfId="9404" applyBorder="1" applyAlignment="1">
      <alignment horizontal="left" vertical="top"/>
    </xf>
    <xf numFmtId="14" fontId="0" fillId="0" borderId="3" xfId="0" applyNumberFormat="1" applyBorder="1" applyAlignment="1">
      <alignment horizontal="left" vertical="top"/>
    </xf>
    <xf numFmtId="0" fontId="1" fillId="38" borderId="10" xfId="0" applyFont="1" applyFill="1" applyBorder="1" applyAlignment="1">
      <alignment horizontal="center" vertical="center" wrapText="1"/>
    </xf>
    <xf numFmtId="0" fontId="2" fillId="38" borderId="34" xfId="0" applyFont="1" applyFill="1" applyBorder="1" applyAlignment="1">
      <alignment horizontal="center" vertical="center"/>
    </xf>
    <xf numFmtId="0" fontId="33" fillId="38" borderId="0" xfId="0" applyFont="1" applyFill="1"/>
    <xf numFmtId="0" fontId="2" fillId="38" borderId="36" xfId="0" applyFont="1" applyFill="1" applyBorder="1" applyAlignment="1">
      <alignment horizontal="center" vertical="center" wrapText="1"/>
    </xf>
    <xf numFmtId="0" fontId="1" fillId="38" borderId="22" xfId="0" applyFont="1" applyFill="1" applyBorder="1"/>
    <xf numFmtId="42" fontId="2" fillId="38" borderId="40" xfId="0" applyNumberFormat="1" applyFont="1" applyFill="1" applyBorder="1"/>
    <xf numFmtId="0" fontId="2" fillId="38" borderId="23" xfId="0" applyFont="1" applyFill="1" applyBorder="1" applyAlignment="1">
      <alignment horizontal="right"/>
    </xf>
    <xf numFmtId="0" fontId="1" fillId="38" borderId="23" xfId="0" applyFont="1" applyFill="1" applyBorder="1"/>
    <xf numFmtId="49" fontId="0" fillId="0" borderId="0" xfId="0" applyNumberFormat="1"/>
    <xf numFmtId="0" fontId="34" fillId="0" borderId="22" xfId="0" applyFont="1" applyBorder="1" applyAlignment="1">
      <alignment vertical="center"/>
    </xf>
    <xf numFmtId="0" fontId="35" fillId="0" borderId="23" xfId="0" applyFont="1" applyBorder="1" applyAlignment="1">
      <alignment vertical="center" wrapText="1"/>
    </xf>
    <xf numFmtId="0" fontId="35" fillId="0" borderId="23" xfId="0" applyFont="1" applyBorder="1" applyAlignment="1">
      <alignment horizontal="center" vertical="center" wrapText="1"/>
    </xf>
    <xf numFmtId="0" fontId="35" fillId="0" borderId="23" xfId="0" applyFont="1" applyBorder="1" applyAlignment="1">
      <alignment vertical="center"/>
    </xf>
    <xf numFmtId="0" fontId="35" fillId="0" borderId="23" xfId="0" applyFont="1" applyBorder="1" applyAlignment="1">
      <alignment horizontal="center" vertical="center"/>
    </xf>
    <xf numFmtId="164" fontId="34" fillId="0" borderId="24" xfId="0" applyNumberFormat="1" applyFont="1" applyBorder="1" applyAlignment="1">
      <alignment vertical="center"/>
    </xf>
    <xf numFmtId="42" fontId="35" fillId="0" borderId="0" xfId="0" applyNumberFormat="1" applyFont="1" applyAlignment="1">
      <alignment horizontal="right" vertical="center"/>
    </xf>
    <xf numFmtId="165" fontId="35" fillId="0" borderId="0" xfId="0" applyNumberFormat="1" applyFont="1" applyAlignment="1">
      <alignment horizontal="center" vertical="center"/>
    </xf>
    <xf numFmtId="0" fontId="35" fillId="0" borderId="0" xfId="0" applyFont="1" applyAlignment="1">
      <alignment horizontal="center" vertical="center"/>
    </xf>
    <xf numFmtId="0" fontId="35" fillId="0" borderId="0" xfId="0" applyFont="1" applyAlignment="1">
      <alignment vertical="center"/>
    </xf>
    <xf numFmtId="0" fontId="34" fillId="0" borderId="19" xfId="0" applyFont="1" applyBorder="1" applyAlignment="1">
      <alignment vertical="center"/>
    </xf>
    <xf numFmtId="0" fontId="35" fillId="0" borderId="6" xfId="0" applyFont="1" applyBorder="1" applyAlignment="1">
      <alignment vertical="center" wrapText="1"/>
    </xf>
    <xf numFmtId="0" fontId="34" fillId="0" borderId="6" xfId="0" applyFont="1" applyBorder="1" applyAlignment="1">
      <alignment vertical="center"/>
    </xf>
    <xf numFmtId="0" fontId="35" fillId="0" borderId="6" xfId="0" applyFont="1" applyBorder="1" applyAlignment="1">
      <alignment vertical="center"/>
    </xf>
    <xf numFmtId="0" fontId="35" fillId="0" borderId="6" xfId="0" applyFont="1" applyBorder="1" applyAlignment="1">
      <alignment horizontal="center" vertical="center"/>
    </xf>
    <xf numFmtId="0" fontId="34" fillId="0" borderId="1" xfId="0" applyFont="1" applyBorder="1" applyAlignment="1">
      <alignment vertical="center"/>
    </xf>
    <xf numFmtId="0" fontId="35" fillId="0" borderId="0" xfId="0" applyFont="1" applyAlignment="1">
      <alignment vertical="center" wrapText="1"/>
    </xf>
    <xf numFmtId="0" fontId="35" fillId="0" borderId="0" xfId="0" applyFont="1" applyAlignment="1">
      <alignment horizontal="center" vertical="center" wrapText="1"/>
    </xf>
    <xf numFmtId="0" fontId="35" fillId="0" borderId="2" xfId="0" applyFont="1" applyBorder="1" applyAlignment="1">
      <alignment vertical="center"/>
    </xf>
    <xf numFmtId="42" fontId="34" fillId="0" borderId="9" xfId="0" applyNumberFormat="1" applyFont="1" applyBorder="1" applyAlignment="1">
      <alignment horizontal="center" vertical="center"/>
    </xf>
    <xf numFmtId="165" fontId="34" fillId="0" borderId="13" xfId="0" applyNumberFormat="1" applyFont="1" applyBorder="1" applyAlignment="1">
      <alignment horizontal="center" vertical="center"/>
    </xf>
    <xf numFmtId="0" fontId="34" fillId="0" borderId="9" xfId="0" applyFont="1" applyBorder="1" applyAlignment="1">
      <alignment horizontal="center" vertical="center"/>
    </xf>
    <xf numFmtId="42" fontId="35" fillId="3" borderId="12" xfId="0" applyNumberFormat="1" applyFont="1" applyFill="1" applyBorder="1" applyAlignment="1">
      <alignment vertical="center"/>
    </xf>
    <xf numFmtId="165" fontId="35" fillId="3" borderId="10" xfId="0" applyNumberFormat="1" applyFont="1" applyFill="1" applyBorder="1" applyAlignment="1">
      <alignment vertical="center"/>
    </xf>
    <xf numFmtId="0" fontId="35" fillId="0" borderId="5" xfId="0" applyFont="1" applyBorder="1" applyAlignment="1">
      <alignment vertical="center"/>
    </xf>
    <xf numFmtId="0" fontId="35" fillId="0" borderId="8" xfId="0" applyFont="1" applyBorder="1" applyAlignment="1">
      <alignment vertical="center" wrapText="1"/>
    </xf>
    <xf numFmtId="0" fontId="35" fillId="0" borderId="8" xfId="0" applyFont="1" applyBorder="1" applyAlignment="1" applyProtection="1">
      <alignment horizontal="center" vertical="center"/>
      <protection locked="0"/>
    </xf>
    <xf numFmtId="42" fontId="35" fillId="0" borderId="8" xfId="0" applyNumberFormat="1" applyFont="1" applyBorder="1" applyAlignment="1" applyProtection="1">
      <alignment vertical="center"/>
      <protection locked="0"/>
    </xf>
    <xf numFmtId="42" fontId="35" fillId="0" borderId="8" xfId="0" applyNumberFormat="1" applyFont="1" applyBorder="1" applyAlignment="1">
      <alignment vertical="center"/>
    </xf>
    <xf numFmtId="0" fontId="35" fillId="39" borderId="16" xfId="0" applyFont="1" applyFill="1" applyBorder="1" applyAlignment="1">
      <alignment vertical="center"/>
    </xf>
    <xf numFmtId="42" fontId="35" fillId="0" borderId="44" xfId="0" applyNumberFormat="1" applyFont="1" applyBorder="1" applyAlignment="1">
      <alignment vertical="center"/>
    </xf>
    <xf numFmtId="165" fontId="35" fillId="0" borderId="45" xfId="0" applyNumberFormat="1" applyFont="1" applyBorder="1" applyAlignment="1">
      <alignment vertical="center"/>
    </xf>
    <xf numFmtId="165" fontId="35" fillId="0" borderId="0" xfId="0" applyNumberFormat="1" applyFont="1" applyAlignment="1">
      <alignment vertical="center"/>
    </xf>
    <xf numFmtId="42" fontId="35" fillId="0" borderId="1" xfId="0" applyNumberFormat="1" applyFont="1" applyBorder="1" applyAlignment="1">
      <alignment vertical="center"/>
    </xf>
    <xf numFmtId="0" fontId="35" fillId="0" borderId="22" xfId="0" applyFont="1" applyBorder="1" applyAlignment="1">
      <alignment vertical="center"/>
    </xf>
    <xf numFmtId="0" fontId="34" fillId="0" borderId="35" xfId="0" applyFont="1" applyBorder="1" applyAlignment="1">
      <alignment horizontal="right" vertical="center"/>
    </xf>
    <xf numFmtId="9" fontId="35" fillId="0" borderId="40" xfId="0" applyNumberFormat="1" applyFont="1" applyBorder="1" applyAlignment="1" applyProtection="1">
      <alignment vertical="center"/>
      <protection locked="0"/>
    </xf>
    <xf numFmtId="42" fontId="35" fillId="0" borderId="40" xfId="0" applyNumberFormat="1" applyFont="1" applyBorder="1" applyAlignment="1" applyProtection="1">
      <alignment vertical="center"/>
      <protection locked="0"/>
    </xf>
    <xf numFmtId="42" fontId="35" fillId="0" borderId="0" xfId="0" applyNumberFormat="1" applyFont="1" applyAlignment="1">
      <alignment vertical="center"/>
    </xf>
    <xf numFmtId="0" fontId="35" fillId="0" borderId="19" xfId="0" applyFont="1" applyBorder="1" applyAlignment="1">
      <alignment vertical="center"/>
    </xf>
    <xf numFmtId="0" fontId="35" fillId="0" borderId="6" xfId="0" applyFont="1" applyBorder="1" applyAlignment="1">
      <alignment horizontal="center" vertical="center" wrapText="1"/>
    </xf>
    <xf numFmtId="0" fontId="34" fillId="0" borderId="50" xfId="0" applyFont="1" applyBorder="1" applyAlignment="1">
      <alignment horizontal="right" vertical="center"/>
    </xf>
    <xf numFmtId="42" fontId="35" fillId="0" borderId="21" xfId="0" applyNumberFormat="1" applyFont="1" applyBorder="1" applyAlignment="1" applyProtection="1">
      <alignment vertical="center"/>
      <protection locked="0"/>
    </xf>
    <xf numFmtId="0" fontId="34" fillId="0" borderId="4" xfId="0" applyFont="1" applyBorder="1" applyAlignment="1">
      <alignment horizontal="right" vertical="center"/>
    </xf>
    <xf numFmtId="42" fontId="35" fillId="0" borderId="43" xfId="0" applyNumberFormat="1" applyFont="1" applyBorder="1" applyAlignment="1" applyProtection="1">
      <alignment vertical="center"/>
      <protection locked="0"/>
    </xf>
    <xf numFmtId="0" fontId="2" fillId="2" borderId="14" xfId="0" applyFont="1" applyFill="1" applyBorder="1" applyAlignment="1">
      <alignment horizontal="center" vertical="center" wrapText="1"/>
    </xf>
    <xf numFmtId="0" fontId="0" fillId="0" borderId="0" xfId="0" applyAlignment="1">
      <alignment wrapText="1"/>
    </xf>
    <xf numFmtId="0" fontId="0" fillId="37" borderId="0" xfId="0" applyFill="1" applyAlignment="1">
      <alignment wrapText="1"/>
    </xf>
    <xf numFmtId="0" fontId="2" fillId="2" borderId="9" xfId="0" applyFont="1" applyFill="1" applyBorder="1" applyAlignment="1">
      <alignment horizontal="center" vertical="center" wrapText="1"/>
    </xf>
    <xf numFmtId="0" fontId="39" fillId="0" borderId="0" xfId="0" applyFont="1" applyAlignment="1">
      <alignment horizontal="left" vertical="center"/>
    </xf>
    <xf numFmtId="0" fontId="39" fillId="0" borderId="0" xfId="0" applyFont="1"/>
    <xf numFmtId="14" fontId="39" fillId="0" borderId="0" xfId="0" applyNumberFormat="1" applyFont="1"/>
    <xf numFmtId="0" fontId="40" fillId="40" borderId="9" xfId="0" applyFont="1" applyFill="1" applyBorder="1" applyAlignment="1">
      <alignment horizontal="center" vertical="center"/>
    </xf>
    <xf numFmtId="0" fontId="40" fillId="40" borderId="13" xfId="0" applyFont="1" applyFill="1" applyBorder="1" applyAlignment="1">
      <alignment horizontal="center" vertical="center" wrapText="1"/>
    </xf>
    <xf numFmtId="0" fontId="40" fillId="40" borderId="13" xfId="0" applyFont="1" applyFill="1" applyBorder="1" applyAlignment="1">
      <alignment horizontal="center" vertical="center"/>
    </xf>
    <xf numFmtId="0" fontId="40" fillId="40" borderId="14" xfId="0" applyFont="1" applyFill="1" applyBorder="1" applyAlignment="1">
      <alignment horizontal="center" vertical="center" wrapText="1"/>
    </xf>
    <xf numFmtId="0" fontId="38" fillId="39" borderId="10" xfId="0" applyFont="1" applyFill="1" applyBorder="1" applyAlignment="1">
      <alignment vertical="center" wrapText="1"/>
    </xf>
    <xf numFmtId="0" fontId="38" fillId="39" borderId="10" xfId="0" applyFont="1" applyFill="1" applyBorder="1" applyAlignment="1">
      <alignment horizontal="center" vertical="center" wrapText="1"/>
    </xf>
    <xf numFmtId="0" fontId="38" fillId="39" borderId="10" xfId="0" applyFont="1" applyFill="1" applyBorder="1" applyAlignment="1">
      <alignment vertical="center"/>
    </xf>
    <xf numFmtId="0" fontId="38" fillId="39" borderId="10" xfId="0" applyFont="1" applyFill="1" applyBorder="1" applyAlignment="1">
      <alignment horizontal="center" vertical="center"/>
    </xf>
    <xf numFmtId="0" fontId="37" fillId="39" borderId="10" xfId="0" applyFont="1" applyFill="1" applyBorder="1" applyAlignment="1">
      <alignment horizontal="right" vertical="center"/>
    </xf>
    <xf numFmtId="42" fontId="37" fillId="39" borderId="11" xfId="0" applyNumberFormat="1" applyFont="1" applyFill="1" applyBorder="1" applyAlignment="1">
      <alignment vertical="center"/>
    </xf>
    <xf numFmtId="0" fontId="40" fillId="39" borderId="10" xfId="0" applyFont="1" applyFill="1" applyBorder="1" applyAlignment="1">
      <alignment horizontal="center" vertical="center"/>
    </xf>
    <xf numFmtId="0" fontId="41" fillId="39" borderId="12" xfId="0" applyFont="1" applyFill="1" applyBorder="1" applyAlignment="1">
      <alignment vertical="center"/>
    </xf>
    <xf numFmtId="0" fontId="34" fillId="38" borderId="12" xfId="0" applyFont="1" applyFill="1" applyBorder="1" applyAlignment="1">
      <alignment vertical="center"/>
    </xf>
    <xf numFmtId="0" fontId="35" fillId="38" borderId="10" xfId="0" applyFont="1" applyFill="1" applyBorder="1" applyAlignment="1">
      <alignment horizontal="center" vertical="center" wrapText="1"/>
    </xf>
    <xf numFmtId="42" fontId="34" fillId="38" borderId="11" xfId="0" applyNumberFormat="1" applyFont="1" applyFill="1" applyBorder="1" applyAlignment="1">
      <alignment vertical="center"/>
    </xf>
    <xf numFmtId="0" fontId="35" fillId="38" borderId="10" xfId="0" applyFont="1" applyFill="1" applyBorder="1" applyAlignment="1">
      <alignment vertical="center"/>
    </xf>
    <xf numFmtId="0" fontId="34" fillId="38" borderId="34" xfId="0" applyFont="1" applyFill="1" applyBorder="1" applyAlignment="1">
      <alignment horizontal="right" vertical="center"/>
    </xf>
    <xf numFmtId="0" fontId="0" fillId="0" borderId="39" xfId="0" applyBorder="1" applyAlignment="1">
      <alignment horizontal="left" vertical="top" wrapText="1"/>
    </xf>
    <xf numFmtId="0" fontId="35" fillId="0" borderId="6" xfId="0" applyFont="1" applyBorder="1" applyAlignment="1">
      <alignment horizontal="centerContinuous" vertical="center"/>
    </xf>
    <xf numFmtId="0" fontId="35" fillId="0" borderId="20" xfId="0" applyFont="1" applyBorder="1" applyAlignment="1">
      <alignment horizontal="centerContinuous" vertical="center"/>
    </xf>
    <xf numFmtId="49" fontId="35" fillId="0" borderId="6" xfId="0" applyNumberFormat="1" applyFont="1" applyBorder="1" applyAlignment="1">
      <alignment horizontal="centerContinuous" vertical="top" wrapText="1"/>
    </xf>
    <xf numFmtId="0" fontId="36" fillId="0" borderId="0" xfId="5410" quotePrefix="1" applyNumberFormat="1" applyFont="1" applyAlignment="1">
      <alignment horizontal="center"/>
    </xf>
  </cellXfs>
  <cellStyles count="9405">
    <cellStyle name="20% - Accent1 2" xfId="14" xr:uid="{00000000-0005-0000-0000-000000000000}"/>
    <cellStyle name="20% - Accent1 3" xfId="15" xr:uid="{00000000-0005-0000-0000-000001000000}"/>
    <cellStyle name="20% - Accent1 4" xfId="16" xr:uid="{00000000-0005-0000-0000-000002000000}"/>
    <cellStyle name="20% - Accent2 2" xfId="17" xr:uid="{00000000-0005-0000-0000-000003000000}"/>
    <cellStyle name="20% - Accent2 3" xfId="18" xr:uid="{00000000-0005-0000-0000-000004000000}"/>
    <cellStyle name="20% - Accent2 4" xfId="19" xr:uid="{00000000-0005-0000-0000-000005000000}"/>
    <cellStyle name="20% - Accent3 10" xfId="20" xr:uid="{00000000-0005-0000-0000-000006000000}"/>
    <cellStyle name="20% - Accent3 10 2" xfId="21" xr:uid="{00000000-0005-0000-0000-000007000000}"/>
    <cellStyle name="20% - Accent3 10 3" xfId="22" xr:uid="{00000000-0005-0000-0000-000008000000}"/>
    <cellStyle name="20% - Accent3 11" xfId="23" xr:uid="{00000000-0005-0000-0000-000009000000}"/>
    <cellStyle name="20% - Accent3 11 2" xfId="24" xr:uid="{00000000-0005-0000-0000-00000A000000}"/>
    <cellStyle name="20% - Accent3 11 3" xfId="25" xr:uid="{00000000-0005-0000-0000-00000B000000}"/>
    <cellStyle name="20% - Accent3 12" xfId="26" xr:uid="{00000000-0005-0000-0000-00000C000000}"/>
    <cellStyle name="20% - Accent3 12 2" xfId="27" xr:uid="{00000000-0005-0000-0000-00000D000000}"/>
    <cellStyle name="20% - Accent3 12 3" xfId="28" xr:uid="{00000000-0005-0000-0000-00000E000000}"/>
    <cellStyle name="20% - Accent3 13" xfId="29" xr:uid="{00000000-0005-0000-0000-00000F000000}"/>
    <cellStyle name="20% - Accent3 13 2" xfId="30" xr:uid="{00000000-0005-0000-0000-000010000000}"/>
    <cellStyle name="20% - Accent3 13 3" xfId="31" xr:uid="{00000000-0005-0000-0000-000011000000}"/>
    <cellStyle name="20% - Accent3 14" xfId="32" xr:uid="{00000000-0005-0000-0000-000012000000}"/>
    <cellStyle name="20% - Accent3 14 2" xfId="33" xr:uid="{00000000-0005-0000-0000-000013000000}"/>
    <cellStyle name="20% - Accent3 14 3" xfId="34" xr:uid="{00000000-0005-0000-0000-000014000000}"/>
    <cellStyle name="20% - Accent3 2" xfId="35" xr:uid="{00000000-0005-0000-0000-000015000000}"/>
    <cellStyle name="20% - Accent3 3" xfId="36" xr:uid="{00000000-0005-0000-0000-000016000000}"/>
    <cellStyle name="20% - Accent3 4" xfId="37" xr:uid="{00000000-0005-0000-0000-000017000000}"/>
    <cellStyle name="20% - Accent3 5" xfId="38" xr:uid="{00000000-0005-0000-0000-000018000000}"/>
    <cellStyle name="20% - Accent3 5 10" xfId="39" xr:uid="{00000000-0005-0000-0000-000019000000}"/>
    <cellStyle name="20% - Accent3 5 10 2" xfId="40" xr:uid="{00000000-0005-0000-0000-00001A000000}"/>
    <cellStyle name="20% - Accent3 5 10 3" xfId="41" xr:uid="{00000000-0005-0000-0000-00001B000000}"/>
    <cellStyle name="20% - Accent3 5 11" xfId="42" xr:uid="{00000000-0005-0000-0000-00001C000000}"/>
    <cellStyle name="20% - Accent3 5 11 2" xfId="43" xr:uid="{00000000-0005-0000-0000-00001D000000}"/>
    <cellStyle name="20% - Accent3 5 11 3" xfId="44" xr:uid="{00000000-0005-0000-0000-00001E000000}"/>
    <cellStyle name="20% - Accent3 5 12" xfId="45" xr:uid="{00000000-0005-0000-0000-00001F000000}"/>
    <cellStyle name="20% - Accent3 5 12 2" xfId="46" xr:uid="{00000000-0005-0000-0000-000020000000}"/>
    <cellStyle name="20% - Accent3 5 12 3" xfId="47" xr:uid="{00000000-0005-0000-0000-000021000000}"/>
    <cellStyle name="20% - Accent3 5 13" xfId="48" xr:uid="{00000000-0005-0000-0000-000022000000}"/>
    <cellStyle name="20% - Accent3 5 14" xfId="49" xr:uid="{00000000-0005-0000-0000-000023000000}"/>
    <cellStyle name="20% - Accent3 5 2" xfId="50" xr:uid="{00000000-0005-0000-0000-000024000000}"/>
    <cellStyle name="20% - Accent3 5 2 10" xfId="51" xr:uid="{00000000-0005-0000-0000-000025000000}"/>
    <cellStyle name="20% - Accent3 5 2 10 2" xfId="52" xr:uid="{00000000-0005-0000-0000-000026000000}"/>
    <cellStyle name="20% - Accent3 5 2 10 3" xfId="53" xr:uid="{00000000-0005-0000-0000-000027000000}"/>
    <cellStyle name="20% - Accent3 5 2 11" xfId="54" xr:uid="{00000000-0005-0000-0000-000028000000}"/>
    <cellStyle name="20% - Accent3 5 2 11 2" xfId="55" xr:uid="{00000000-0005-0000-0000-000029000000}"/>
    <cellStyle name="20% - Accent3 5 2 11 3" xfId="56" xr:uid="{00000000-0005-0000-0000-00002A000000}"/>
    <cellStyle name="20% - Accent3 5 2 12" xfId="57" xr:uid="{00000000-0005-0000-0000-00002B000000}"/>
    <cellStyle name="20% - Accent3 5 2 13" xfId="58" xr:uid="{00000000-0005-0000-0000-00002C000000}"/>
    <cellStyle name="20% - Accent3 5 2 2" xfId="59" xr:uid="{00000000-0005-0000-0000-00002D000000}"/>
    <cellStyle name="20% - Accent3 5 2 2 10" xfId="60" xr:uid="{00000000-0005-0000-0000-00002E000000}"/>
    <cellStyle name="20% - Accent3 5 2 2 10 2" xfId="61" xr:uid="{00000000-0005-0000-0000-00002F000000}"/>
    <cellStyle name="20% - Accent3 5 2 2 10 3" xfId="62" xr:uid="{00000000-0005-0000-0000-000030000000}"/>
    <cellStyle name="20% - Accent3 5 2 2 11" xfId="63" xr:uid="{00000000-0005-0000-0000-000031000000}"/>
    <cellStyle name="20% - Accent3 5 2 2 12" xfId="64" xr:uid="{00000000-0005-0000-0000-000032000000}"/>
    <cellStyle name="20% - Accent3 5 2 2 2" xfId="65" xr:uid="{00000000-0005-0000-0000-000033000000}"/>
    <cellStyle name="20% - Accent3 5 2 2 2 10" xfId="66" xr:uid="{00000000-0005-0000-0000-000034000000}"/>
    <cellStyle name="20% - Accent3 5 2 2 2 2" xfId="67" xr:uid="{00000000-0005-0000-0000-000035000000}"/>
    <cellStyle name="20% - Accent3 5 2 2 2 2 2" xfId="68" xr:uid="{00000000-0005-0000-0000-000036000000}"/>
    <cellStyle name="20% - Accent3 5 2 2 2 2 2 2" xfId="69" xr:uid="{00000000-0005-0000-0000-000037000000}"/>
    <cellStyle name="20% - Accent3 5 2 2 2 2 2 3" xfId="70" xr:uid="{00000000-0005-0000-0000-000038000000}"/>
    <cellStyle name="20% - Accent3 5 2 2 2 2 3" xfId="71" xr:uid="{00000000-0005-0000-0000-000039000000}"/>
    <cellStyle name="20% - Accent3 5 2 2 2 2 3 2" xfId="72" xr:uid="{00000000-0005-0000-0000-00003A000000}"/>
    <cellStyle name="20% - Accent3 5 2 2 2 2 3 3" xfId="73" xr:uid="{00000000-0005-0000-0000-00003B000000}"/>
    <cellStyle name="20% - Accent3 5 2 2 2 2 4" xfId="74" xr:uid="{00000000-0005-0000-0000-00003C000000}"/>
    <cellStyle name="20% - Accent3 5 2 2 2 2 4 2" xfId="75" xr:uid="{00000000-0005-0000-0000-00003D000000}"/>
    <cellStyle name="20% - Accent3 5 2 2 2 2 4 3" xfId="76" xr:uid="{00000000-0005-0000-0000-00003E000000}"/>
    <cellStyle name="20% - Accent3 5 2 2 2 2 5" xfId="77" xr:uid="{00000000-0005-0000-0000-00003F000000}"/>
    <cellStyle name="20% - Accent3 5 2 2 2 2 5 2" xfId="78" xr:uid="{00000000-0005-0000-0000-000040000000}"/>
    <cellStyle name="20% - Accent3 5 2 2 2 2 5 3" xfId="79" xr:uid="{00000000-0005-0000-0000-000041000000}"/>
    <cellStyle name="20% - Accent3 5 2 2 2 2 6" xfId="80" xr:uid="{00000000-0005-0000-0000-000042000000}"/>
    <cellStyle name="20% - Accent3 5 2 2 2 2 6 2" xfId="81" xr:uid="{00000000-0005-0000-0000-000043000000}"/>
    <cellStyle name="20% - Accent3 5 2 2 2 2 6 3" xfId="82" xr:uid="{00000000-0005-0000-0000-000044000000}"/>
    <cellStyle name="20% - Accent3 5 2 2 2 2 7" xfId="83" xr:uid="{00000000-0005-0000-0000-000045000000}"/>
    <cellStyle name="20% - Accent3 5 2 2 2 2 7 2" xfId="84" xr:uid="{00000000-0005-0000-0000-000046000000}"/>
    <cellStyle name="20% - Accent3 5 2 2 2 2 7 3" xfId="85" xr:uid="{00000000-0005-0000-0000-000047000000}"/>
    <cellStyle name="20% - Accent3 5 2 2 2 2 8" xfId="86" xr:uid="{00000000-0005-0000-0000-000048000000}"/>
    <cellStyle name="20% - Accent3 5 2 2 2 2 9" xfId="87" xr:uid="{00000000-0005-0000-0000-000049000000}"/>
    <cellStyle name="20% - Accent3 5 2 2 2 3" xfId="88" xr:uid="{00000000-0005-0000-0000-00004A000000}"/>
    <cellStyle name="20% - Accent3 5 2 2 2 3 2" xfId="89" xr:uid="{00000000-0005-0000-0000-00004B000000}"/>
    <cellStyle name="20% - Accent3 5 2 2 2 3 3" xfId="90" xr:uid="{00000000-0005-0000-0000-00004C000000}"/>
    <cellStyle name="20% - Accent3 5 2 2 2 4" xfId="91" xr:uid="{00000000-0005-0000-0000-00004D000000}"/>
    <cellStyle name="20% - Accent3 5 2 2 2 4 2" xfId="92" xr:uid="{00000000-0005-0000-0000-00004E000000}"/>
    <cellStyle name="20% - Accent3 5 2 2 2 4 3" xfId="93" xr:uid="{00000000-0005-0000-0000-00004F000000}"/>
    <cellStyle name="20% - Accent3 5 2 2 2 5" xfId="94" xr:uid="{00000000-0005-0000-0000-000050000000}"/>
    <cellStyle name="20% - Accent3 5 2 2 2 5 2" xfId="95" xr:uid="{00000000-0005-0000-0000-000051000000}"/>
    <cellStyle name="20% - Accent3 5 2 2 2 5 3" xfId="96" xr:uid="{00000000-0005-0000-0000-000052000000}"/>
    <cellStyle name="20% - Accent3 5 2 2 2 6" xfId="97" xr:uid="{00000000-0005-0000-0000-000053000000}"/>
    <cellStyle name="20% - Accent3 5 2 2 2 6 2" xfId="98" xr:uid="{00000000-0005-0000-0000-000054000000}"/>
    <cellStyle name="20% - Accent3 5 2 2 2 6 3" xfId="99" xr:uid="{00000000-0005-0000-0000-000055000000}"/>
    <cellStyle name="20% - Accent3 5 2 2 2 7" xfId="100" xr:uid="{00000000-0005-0000-0000-000056000000}"/>
    <cellStyle name="20% - Accent3 5 2 2 2 7 2" xfId="101" xr:uid="{00000000-0005-0000-0000-000057000000}"/>
    <cellStyle name="20% - Accent3 5 2 2 2 7 3" xfId="102" xr:uid="{00000000-0005-0000-0000-000058000000}"/>
    <cellStyle name="20% - Accent3 5 2 2 2 8" xfId="103" xr:uid="{00000000-0005-0000-0000-000059000000}"/>
    <cellStyle name="20% - Accent3 5 2 2 2 8 2" xfId="104" xr:uid="{00000000-0005-0000-0000-00005A000000}"/>
    <cellStyle name="20% - Accent3 5 2 2 2 8 3" xfId="105" xr:uid="{00000000-0005-0000-0000-00005B000000}"/>
    <cellStyle name="20% - Accent3 5 2 2 2 9" xfId="106" xr:uid="{00000000-0005-0000-0000-00005C000000}"/>
    <cellStyle name="20% - Accent3 5 2 2 3" xfId="107" xr:uid="{00000000-0005-0000-0000-00005D000000}"/>
    <cellStyle name="20% - Accent3 5 2 2 3 10" xfId="108" xr:uid="{00000000-0005-0000-0000-00005E000000}"/>
    <cellStyle name="20% - Accent3 5 2 2 3 2" xfId="109" xr:uid="{00000000-0005-0000-0000-00005F000000}"/>
    <cellStyle name="20% - Accent3 5 2 2 3 2 2" xfId="110" xr:uid="{00000000-0005-0000-0000-000060000000}"/>
    <cellStyle name="20% - Accent3 5 2 2 3 2 2 2" xfId="111" xr:uid="{00000000-0005-0000-0000-000061000000}"/>
    <cellStyle name="20% - Accent3 5 2 2 3 2 2 3" xfId="112" xr:uid="{00000000-0005-0000-0000-000062000000}"/>
    <cellStyle name="20% - Accent3 5 2 2 3 2 3" xfId="113" xr:uid="{00000000-0005-0000-0000-000063000000}"/>
    <cellStyle name="20% - Accent3 5 2 2 3 2 3 2" xfId="114" xr:uid="{00000000-0005-0000-0000-000064000000}"/>
    <cellStyle name="20% - Accent3 5 2 2 3 2 3 3" xfId="115" xr:uid="{00000000-0005-0000-0000-000065000000}"/>
    <cellStyle name="20% - Accent3 5 2 2 3 2 4" xfId="116" xr:uid="{00000000-0005-0000-0000-000066000000}"/>
    <cellStyle name="20% - Accent3 5 2 2 3 2 4 2" xfId="117" xr:uid="{00000000-0005-0000-0000-000067000000}"/>
    <cellStyle name="20% - Accent3 5 2 2 3 2 4 3" xfId="118" xr:uid="{00000000-0005-0000-0000-000068000000}"/>
    <cellStyle name="20% - Accent3 5 2 2 3 2 5" xfId="119" xr:uid="{00000000-0005-0000-0000-000069000000}"/>
    <cellStyle name="20% - Accent3 5 2 2 3 2 5 2" xfId="120" xr:uid="{00000000-0005-0000-0000-00006A000000}"/>
    <cellStyle name="20% - Accent3 5 2 2 3 2 5 3" xfId="121" xr:uid="{00000000-0005-0000-0000-00006B000000}"/>
    <cellStyle name="20% - Accent3 5 2 2 3 2 6" xfId="122" xr:uid="{00000000-0005-0000-0000-00006C000000}"/>
    <cellStyle name="20% - Accent3 5 2 2 3 2 6 2" xfId="123" xr:uid="{00000000-0005-0000-0000-00006D000000}"/>
    <cellStyle name="20% - Accent3 5 2 2 3 2 6 3" xfId="124" xr:uid="{00000000-0005-0000-0000-00006E000000}"/>
    <cellStyle name="20% - Accent3 5 2 2 3 2 7" xfId="125" xr:uid="{00000000-0005-0000-0000-00006F000000}"/>
    <cellStyle name="20% - Accent3 5 2 2 3 2 7 2" xfId="126" xr:uid="{00000000-0005-0000-0000-000070000000}"/>
    <cellStyle name="20% - Accent3 5 2 2 3 2 7 3" xfId="127" xr:uid="{00000000-0005-0000-0000-000071000000}"/>
    <cellStyle name="20% - Accent3 5 2 2 3 2 8" xfId="128" xr:uid="{00000000-0005-0000-0000-000072000000}"/>
    <cellStyle name="20% - Accent3 5 2 2 3 2 9" xfId="129" xr:uid="{00000000-0005-0000-0000-000073000000}"/>
    <cellStyle name="20% - Accent3 5 2 2 3 3" xfId="130" xr:uid="{00000000-0005-0000-0000-000074000000}"/>
    <cellStyle name="20% - Accent3 5 2 2 3 3 2" xfId="131" xr:uid="{00000000-0005-0000-0000-000075000000}"/>
    <cellStyle name="20% - Accent3 5 2 2 3 3 3" xfId="132" xr:uid="{00000000-0005-0000-0000-000076000000}"/>
    <cellStyle name="20% - Accent3 5 2 2 3 4" xfId="133" xr:uid="{00000000-0005-0000-0000-000077000000}"/>
    <cellStyle name="20% - Accent3 5 2 2 3 4 2" xfId="134" xr:uid="{00000000-0005-0000-0000-000078000000}"/>
    <cellStyle name="20% - Accent3 5 2 2 3 4 3" xfId="135" xr:uid="{00000000-0005-0000-0000-000079000000}"/>
    <cellStyle name="20% - Accent3 5 2 2 3 5" xfId="136" xr:uid="{00000000-0005-0000-0000-00007A000000}"/>
    <cellStyle name="20% - Accent3 5 2 2 3 5 2" xfId="137" xr:uid="{00000000-0005-0000-0000-00007B000000}"/>
    <cellStyle name="20% - Accent3 5 2 2 3 5 3" xfId="138" xr:uid="{00000000-0005-0000-0000-00007C000000}"/>
    <cellStyle name="20% - Accent3 5 2 2 3 6" xfId="139" xr:uid="{00000000-0005-0000-0000-00007D000000}"/>
    <cellStyle name="20% - Accent3 5 2 2 3 6 2" xfId="140" xr:uid="{00000000-0005-0000-0000-00007E000000}"/>
    <cellStyle name="20% - Accent3 5 2 2 3 6 3" xfId="141" xr:uid="{00000000-0005-0000-0000-00007F000000}"/>
    <cellStyle name="20% - Accent3 5 2 2 3 7" xfId="142" xr:uid="{00000000-0005-0000-0000-000080000000}"/>
    <cellStyle name="20% - Accent3 5 2 2 3 7 2" xfId="143" xr:uid="{00000000-0005-0000-0000-000081000000}"/>
    <cellStyle name="20% - Accent3 5 2 2 3 7 3" xfId="144" xr:uid="{00000000-0005-0000-0000-000082000000}"/>
    <cellStyle name="20% - Accent3 5 2 2 3 8" xfId="145" xr:uid="{00000000-0005-0000-0000-000083000000}"/>
    <cellStyle name="20% - Accent3 5 2 2 3 8 2" xfId="146" xr:uid="{00000000-0005-0000-0000-000084000000}"/>
    <cellStyle name="20% - Accent3 5 2 2 3 8 3" xfId="147" xr:uid="{00000000-0005-0000-0000-000085000000}"/>
    <cellStyle name="20% - Accent3 5 2 2 3 9" xfId="148" xr:uid="{00000000-0005-0000-0000-000086000000}"/>
    <cellStyle name="20% - Accent3 5 2 2 4" xfId="149" xr:uid="{00000000-0005-0000-0000-000087000000}"/>
    <cellStyle name="20% - Accent3 5 2 2 4 2" xfId="150" xr:uid="{00000000-0005-0000-0000-000088000000}"/>
    <cellStyle name="20% - Accent3 5 2 2 4 2 2" xfId="151" xr:uid="{00000000-0005-0000-0000-000089000000}"/>
    <cellStyle name="20% - Accent3 5 2 2 4 2 3" xfId="152" xr:uid="{00000000-0005-0000-0000-00008A000000}"/>
    <cellStyle name="20% - Accent3 5 2 2 4 3" xfId="153" xr:uid="{00000000-0005-0000-0000-00008B000000}"/>
    <cellStyle name="20% - Accent3 5 2 2 4 3 2" xfId="154" xr:uid="{00000000-0005-0000-0000-00008C000000}"/>
    <cellStyle name="20% - Accent3 5 2 2 4 3 3" xfId="155" xr:uid="{00000000-0005-0000-0000-00008D000000}"/>
    <cellStyle name="20% - Accent3 5 2 2 4 4" xfId="156" xr:uid="{00000000-0005-0000-0000-00008E000000}"/>
    <cellStyle name="20% - Accent3 5 2 2 4 4 2" xfId="157" xr:uid="{00000000-0005-0000-0000-00008F000000}"/>
    <cellStyle name="20% - Accent3 5 2 2 4 4 3" xfId="158" xr:uid="{00000000-0005-0000-0000-000090000000}"/>
    <cellStyle name="20% - Accent3 5 2 2 4 5" xfId="159" xr:uid="{00000000-0005-0000-0000-000091000000}"/>
    <cellStyle name="20% - Accent3 5 2 2 4 5 2" xfId="160" xr:uid="{00000000-0005-0000-0000-000092000000}"/>
    <cellStyle name="20% - Accent3 5 2 2 4 5 3" xfId="161" xr:uid="{00000000-0005-0000-0000-000093000000}"/>
    <cellStyle name="20% - Accent3 5 2 2 4 6" xfId="162" xr:uid="{00000000-0005-0000-0000-000094000000}"/>
    <cellStyle name="20% - Accent3 5 2 2 4 6 2" xfId="163" xr:uid="{00000000-0005-0000-0000-000095000000}"/>
    <cellStyle name="20% - Accent3 5 2 2 4 6 3" xfId="164" xr:uid="{00000000-0005-0000-0000-000096000000}"/>
    <cellStyle name="20% - Accent3 5 2 2 4 7" xfId="165" xr:uid="{00000000-0005-0000-0000-000097000000}"/>
    <cellStyle name="20% - Accent3 5 2 2 4 7 2" xfId="166" xr:uid="{00000000-0005-0000-0000-000098000000}"/>
    <cellStyle name="20% - Accent3 5 2 2 4 7 3" xfId="167" xr:uid="{00000000-0005-0000-0000-000099000000}"/>
    <cellStyle name="20% - Accent3 5 2 2 4 8" xfId="168" xr:uid="{00000000-0005-0000-0000-00009A000000}"/>
    <cellStyle name="20% - Accent3 5 2 2 4 9" xfId="169" xr:uid="{00000000-0005-0000-0000-00009B000000}"/>
    <cellStyle name="20% - Accent3 5 2 2 5" xfId="170" xr:uid="{00000000-0005-0000-0000-00009C000000}"/>
    <cellStyle name="20% - Accent3 5 2 2 5 2" xfId="171" xr:uid="{00000000-0005-0000-0000-00009D000000}"/>
    <cellStyle name="20% - Accent3 5 2 2 5 3" xfId="172" xr:uid="{00000000-0005-0000-0000-00009E000000}"/>
    <cellStyle name="20% - Accent3 5 2 2 6" xfId="173" xr:uid="{00000000-0005-0000-0000-00009F000000}"/>
    <cellStyle name="20% - Accent3 5 2 2 6 2" xfId="174" xr:uid="{00000000-0005-0000-0000-0000A0000000}"/>
    <cellStyle name="20% - Accent3 5 2 2 6 3" xfId="175" xr:uid="{00000000-0005-0000-0000-0000A1000000}"/>
    <cellStyle name="20% - Accent3 5 2 2 7" xfId="176" xr:uid="{00000000-0005-0000-0000-0000A2000000}"/>
    <cellStyle name="20% - Accent3 5 2 2 7 2" xfId="177" xr:uid="{00000000-0005-0000-0000-0000A3000000}"/>
    <cellStyle name="20% - Accent3 5 2 2 7 3" xfId="178" xr:uid="{00000000-0005-0000-0000-0000A4000000}"/>
    <cellStyle name="20% - Accent3 5 2 2 8" xfId="179" xr:uid="{00000000-0005-0000-0000-0000A5000000}"/>
    <cellStyle name="20% - Accent3 5 2 2 8 2" xfId="180" xr:uid="{00000000-0005-0000-0000-0000A6000000}"/>
    <cellStyle name="20% - Accent3 5 2 2 8 3" xfId="181" xr:uid="{00000000-0005-0000-0000-0000A7000000}"/>
    <cellStyle name="20% - Accent3 5 2 2 9" xfId="182" xr:uid="{00000000-0005-0000-0000-0000A8000000}"/>
    <cellStyle name="20% - Accent3 5 2 2 9 2" xfId="183" xr:uid="{00000000-0005-0000-0000-0000A9000000}"/>
    <cellStyle name="20% - Accent3 5 2 2 9 3" xfId="184" xr:uid="{00000000-0005-0000-0000-0000AA000000}"/>
    <cellStyle name="20% - Accent3 5 2 3" xfId="185" xr:uid="{00000000-0005-0000-0000-0000AB000000}"/>
    <cellStyle name="20% - Accent3 5 2 3 10" xfId="186" xr:uid="{00000000-0005-0000-0000-0000AC000000}"/>
    <cellStyle name="20% - Accent3 5 2 3 2" xfId="187" xr:uid="{00000000-0005-0000-0000-0000AD000000}"/>
    <cellStyle name="20% - Accent3 5 2 3 2 2" xfId="188" xr:uid="{00000000-0005-0000-0000-0000AE000000}"/>
    <cellStyle name="20% - Accent3 5 2 3 2 2 2" xfId="189" xr:uid="{00000000-0005-0000-0000-0000AF000000}"/>
    <cellStyle name="20% - Accent3 5 2 3 2 2 3" xfId="190" xr:uid="{00000000-0005-0000-0000-0000B0000000}"/>
    <cellStyle name="20% - Accent3 5 2 3 2 3" xfId="191" xr:uid="{00000000-0005-0000-0000-0000B1000000}"/>
    <cellStyle name="20% - Accent3 5 2 3 2 3 2" xfId="192" xr:uid="{00000000-0005-0000-0000-0000B2000000}"/>
    <cellStyle name="20% - Accent3 5 2 3 2 3 3" xfId="193" xr:uid="{00000000-0005-0000-0000-0000B3000000}"/>
    <cellStyle name="20% - Accent3 5 2 3 2 4" xfId="194" xr:uid="{00000000-0005-0000-0000-0000B4000000}"/>
    <cellStyle name="20% - Accent3 5 2 3 2 4 2" xfId="195" xr:uid="{00000000-0005-0000-0000-0000B5000000}"/>
    <cellStyle name="20% - Accent3 5 2 3 2 4 3" xfId="196" xr:uid="{00000000-0005-0000-0000-0000B6000000}"/>
    <cellStyle name="20% - Accent3 5 2 3 2 5" xfId="197" xr:uid="{00000000-0005-0000-0000-0000B7000000}"/>
    <cellStyle name="20% - Accent3 5 2 3 2 5 2" xfId="198" xr:uid="{00000000-0005-0000-0000-0000B8000000}"/>
    <cellStyle name="20% - Accent3 5 2 3 2 5 3" xfId="199" xr:uid="{00000000-0005-0000-0000-0000B9000000}"/>
    <cellStyle name="20% - Accent3 5 2 3 2 6" xfId="200" xr:uid="{00000000-0005-0000-0000-0000BA000000}"/>
    <cellStyle name="20% - Accent3 5 2 3 2 6 2" xfId="201" xr:uid="{00000000-0005-0000-0000-0000BB000000}"/>
    <cellStyle name="20% - Accent3 5 2 3 2 6 3" xfId="202" xr:uid="{00000000-0005-0000-0000-0000BC000000}"/>
    <cellStyle name="20% - Accent3 5 2 3 2 7" xfId="203" xr:uid="{00000000-0005-0000-0000-0000BD000000}"/>
    <cellStyle name="20% - Accent3 5 2 3 2 7 2" xfId="204" xr:uid="{00000000-0005-0000-0000-0000BE000000}"/>
    <cellStyle name="20% - Accent3 5 2 3 2 7 3" xfId="205" xr:uid="{00000000-0005-0000-0000-0000BF000000}"/>
    <cellStyle name="20% - Accent3 5 2 3 2 8" xfId="206" xr:uid="{00000000-0005-0000-0000-0000C0000000}"/>
    <cellStyle name="20% - Accent3 5 2 3 2 9" xfId="207" xr:uid="{00000000-0005-0000-0000-0000C1000000}"/>
    <cellStyle name="20% - Accent3 5 2 3 3" xfId="208" xr:uid="{00000000-0005-0000-0000-0000C2000000}"/>
    <cellStyle name="20% - Accent3 5 2 3 3 2" xfId="209" xr:uid="{00000000-0005-0000-0000-0000C3000000}"/>
    <cellStyle name="20% - Accent3 5 2 3 3 3" xfId="210" xr:uid="{00000000-0005-0000-0000-0000C4000000}"/>
    <cellStyle name="20% - Accent3 5 2 3 4" xfId="211" xr:uid="{00000000-0005-0000-0000-0000C5000000}"/>
    <cellStyle name="20% - Accent3 5 2 3 4 2" xfId="212" xr:uid="{00000000-0005-0000-0000-0000C6000000}"/>
    <cellStyle name="20% - Accent3 5 2 3 4 3" xfId="213" xr:uid="{00000000-0005-0000-0000-0000C7000000}"/>
    <cellStyle name="20% - Accent3 5 2 3 5" xfId="214" xr:uid="{00000000-0005-0000-0000-0000C8000000}"/>
    <cellStyle name="20% - Accent3 5 2 3 5 2" xfId="215" xr:uid="{00000000-0005-0000-0000-0000C9000000}"/>
    <cellStyle name="20% - Accent3 5 2 3 5 3" xfId="216" xr:uid="{00000000-0005-0000-0000-0000CA000000}"/>
    <cellStyle name="20% - Accent3 5 2 3 6" xfId="217" xr:uid="{00000000-0005-0000-0000-0000CB000000}"/>
    <cellStyle name="20% - Accent3 5 2 3 6 2" xfId="218" xr:uid="{00000000-0005-0000-0000-0000CC000000}"/>
    <cellStyle name="20% - Accent3 5 2 3 6 3" xfId="219" xr:uid="{00000000-0005-0000-0000-0000CD000000}"/>
    <cellStyle name="20% - Accent3 5 2 3 7" xfId="220" xr:uid="{00000000-0005-0000-0000-0000CE000000}"/>
    <cellStyle name="20% - Accent3 5 2 3 7 2" xfId="221" xr:uid="{00000000-0005-0000-0000-0000CF000000}"/>
    <cellStyle name="20% - Accent3 5 2 3 7 3" xfId="222" xr:uid="{00000000-0005-0000-0000-0000D0000000}"/>
    <cellStyle name="20% - Accent3 5 2 3 8" xfId="223" xr:uid="{00000000-0005-0000-0000-0000D1000000}"/>
    <cellStyle name="20% - Accent3 5 2 3 8 2" xfId="224" xr:uid="{00000000-0005-0000-0000-0000D2000000}"/>
    <cellStyle name="20% - Accent3 5 2 3 8 3" xfId="225" xr:uid="{00000000-0005-0000-0000-0000D3000000}"/>
    <cellStyle name="20% - Accent3 5 2 3 9" xfId="226" xr:uid="{00000000-0005-0000-0000-0000D4000000}"/>
    <cellStyle name="20% - Accent3 5 2 4" xfId="227" xr:uid="{00000000-0005-0000-0000-0000D5000000}"/>
    <cellStyle name="20% - Accent3 5 2 4 10" xfId="228" xr:uid="{00000000-0005-0000-0000-0000D6000000}"/>
    <cellStyle name="20% - Accent3 5 2 4 2" xfId="229" xr:uid="{00000000-0005-0000-0000-0000D7000000}"/>
    <cellStyle name="20% - Accent3 5 2 4 2 2" xfId="230" xr:uid="{00000000-0005-0000-0000-0000D8000000}"/>
    <cellStyle name="20% - Accent3 5 2 4 2 2 2" xfId="231" xr:uid="{00000000-0005-0000-0000-0000D9000000}"/>
    <cellStyle name="20% - Accent3 5 2 4 2 2 3" xfId="232" xr:uid="{00000000-0005-0000-0000-0000DA000000}"/>
    <cellStyle name="20% - Accent3 5 2 4 2 3" xfId="233" xr:uid="{00000000-0005-0000-0000-0000DB000000}"/>
    <cellStyle name="20% - Accent3 5 2 4 2 3 2" xfId="234" xr:uid="{00000000-0005-0000-0000-0000DC000000}"/>
    <cellStyle name="20% - Accent3 5 2 4 2 3 3" xfId="235" xr:uid="{00000000-0005-0000-0000-0000DD000000}"/>
    <cellStyle name="20% - Accent3 5 2 4 2 4" xfId="236" xr:uid="{00000000-0005-0000-0000-0000DE000000}"/>
    <cellStyle name="20% - Accent3 5 2 4 2 4 2" xfId="237" xr:uid="{00000000-0005-0000-0000-0000DF000000}"/>
    <cellStyle name="20% - Accent3 5 2 4 2 4 3" xfId="238" xr:uid="{00000000-0005-0000-0000-0000E0000000}"/>
    <cellStyle name="20% - Accent3 5 2 4 2 5" xfId="239" xr:uid="{00000000-0005-0000-0000-0000E1000000}"/>
    <cellStyle name="20% - Accent3 5 2 4 2 5 2" xfId="240" xr:uid="{00000000-0005-0000-0000-0000E2000000}"/>
    <cellStyle name="20% - Accent3 5 2 4 2 5 3" xfId="241" xr:uid="{00000000-0005-0000-0000-0000E3000000}"/>
    <cellStyle name="20% - Accent3 5 2 4 2 6" xfId="242" xr:uid="{00000000-0005-0000-0000-0000E4000000}"/>
    <cellStyle name="20% - Accent3 5 2 4 2 6 2" xfId="243" xr:uid="{00000000-0005-0000-0000-0000E5000000}"/>
    <cellStyle name="20% - Accent3 5 2 4 2 6 3" xfId="244" xr:uid="{00000000-0005-0000-0000-0000E6000000}"/>
    <cellStyle name="20% - Accent3 5 2 4 2 7" xfId="245" xr:uid="{00000000-0005-0000-0000-0000E7000000}"/>
    <cellStyle name="20% - Accent3 5 2 4 2 7 2" xfId="246" xr:uid="{00000000-0005-0000-0000-0000E8000000}"/>
    <cellStyle name="20% - Accent3 5 2 4 2 7 3" xfId="247" xr:uid="{00000000-0005-0000-0000-0000E9000000}"/>
    <cellStyle name="20% - Accent3 5 2 4 2 8" xfId="248" xr:uid="{00000000-0005-0000-0000-0000EA000000}"/>
    <cellStyle name="20% - Accent3 5 2 4 2 9" xfId="249" xr:uid="{00000000-0005-0000-0000-0000EB000000}"/>
    <cellStyle name="20% - Accent3 5 2 4 3" xfId="250" xr:uid="{00000000-0005-0000-0000-0000EC000000}"/>
    <cellStyle name="20% - Accent3 5 2 4 3 2" xfId="251" xr:uid="{00000000-0005-0000-0000-0000ED000000}"/>
    <cellStyle name="20% - Accent3 5 2 4 3 3" xfId="252" xr:uid="{00000000-0005-0000-0000-0000EE000000}"/>
    <cellStyle name="20% - Accent3 5 2 4 4" xfId="253" xr:uid="{00000000-0005-0000-0000-0000EF000000}"/>
    <cellStyle name="20% - Accent3 5 2 4 4 2" xfId="254" xr:uid="{00000000-0005-0000-0000-0000F0000000}"/>
    <cellStyle name="20% - Accent3 5 2 4 4 3" xfId="255" xr:uid="{00000000-0005-0000-0000-0000F1000000}"/>
    <cellStyle name="20% - Accent3 5 2 4 5" xfId="256" xr:uid="{00000000-0005-0000-0000-0000F2000000}"/>
    <cellStyle name="20% - Accent3 5 2 4 5 2" xfId="257" xr:uid="{00000000-0005-0000-0000-0000F3000000}"/>
    <cellStyle name="20% - Accent3 5 2 4 5 3" xfId="258" xr:uid="{00000000-0005-0000-0000-0000F4000000}"/>
    <cellStyle name="20% - Accent3 5 2 4 6" xfId="259" xr:uid="{00000000-0005-0000-0000-0000F5000000}"/>
    <cellStyle name="20% - Accent3 5 2 4 6 2" xfId="260" xr:uid="{00000000-0005-0000-0000-0000F6000000}"/>
    <cellStyle name="20% - Accent3 5 2 4 6 3" xfId="261" xr:uid="{00000000-0005-0000-0000-0000F7000000}"/>
    <cellStyle name="20% - Accent3 5 2 4 7" xfId="262" xr:uid="{00000000-0005-0000-0000-0000F8000000}"/>
    <cellStyle name="20% - Accent3 5 2 4 7 2" xfId="263" xr:uid="{00000000-0005-0000-0000-0000F9000000}"/>
    <cellStyle name="20% - Accent3 5 2 4 7 3" xfId="264" xr:uid="{00000000-0005-0000-0000-0000FA000000}"/>
    <cellStyle name="20% - Accent3 5 2 4 8" xfId="265" xr:uid="{00000000-0005-0000-0000-0000FB000000}"/>
    <cellStyle name="20% - Accent3 5 2 4 8 2" xfId="266" xr:uid="{00000000-0005-0000-0000-0000FC000000}"/>
    <cellStyle name="20% - Accent3 5 2 4 8 3" xfId="267" xr:uid="{00000000-0005-0000-0000-0000FD000000}"/>
    <cellStyle name="20% - Accent3 5 2 4 9" xfId="268" xr:uid="{00000000-0005-0000-0000-0000FE000000}"/>
    <cellStyle name="20% - Accent3 5 2 5" xfId="269" xr:uid="{00000000-0005-0000-0000-0000FF000000}"/>
    <cellStyle name="20% - Accent3 5 2 5 2" xfId="270" xr:uid="{00000000-0005-0000-0000-000000010000}"/>
    <cellStyle name="20% - Accent3 5 2 5 2 2" xfId="271" xr:uid="{00000000-0005-0000-0000-000001010000}"/>
    <cellStyle name="20% - Accent3 5 2 5 2 3" xfId="272" xr:uid="{00000000-0005-0000-0000-000002010000}"/>
    <cellStyle name="20% - Accent3 5 2 5 3" xfId="273" xr:uid="{00000000-0005-0000-0000-000003010000}"/>
    <cellStyle name="20% - Accent3 5 2 5 3 2" xfId="274" xr:uid="{00000000-0005-0000-0000-000004010000}"/>
    <cellStyle name="20% - Accent3 5 2 5 3 3" xfId="275" xr:uid="{00000000-0005-0000-0000-000005010000}"/>
    <cellStyle name="20% - Accent3 5 2 5 4" xfId="276" xr:uid="{00000000-0005-0000-0000-000006010000}"/>
    <cellStyle name="20% - Accent3 5 2 5 4 2" xfId="277" xr:uid="{00000000-0005-0000-0000-000007010000}"/>
    <cellStyle name="20% - Accent3 5 2 5 4 3" xfId="278" xr:uid="{00000000-0005-0000-0000-000008010000}"/>
    <cellStyle name="20% - Accent3 5 2 5 5" xfId="279" xr:uid="{00000000-0005-0000-0000-000009010000}"/>
    <cellStyle name="20% - Accent3 5 2 5 5 2" xfId="280" xr:uid="{00000000-0005-0000-0000-00000A010000}"/>
    <cellStyle name="20% - Accent3 5 2 5 5 3" xfId="281" xr:uid="{00000000-0005-0000-0000-00000B010000}"/>
    <cellStyle name="20% - Accent3 5 2 5 6" xfId="282" xr:uid="{00000000-0005-0000-0000-00000C010000}"/>
    <cellStyle name="20% - Accent3 5 2 5 6 2" xfId="283" xr:uid="{00000000-0005-0000-0000-00000D010000}"/>
    <cellStyle name="20% - Accent3 5 2 5 6 3" xfId="284" xr:uid="{00000000-0005-0000-0000-00000E010000}"/>
    <cellStyle name="20% - Accent3 5 2 5 7" xfId="285" xr:uid="{00000000-0005-0000-0000-00000F010000}"/>
    <cellStyle name="20% - Accent3 5 2 5 7 2" xfId="286" xr:uid="{00000000-0005-0000-0000-000010010000}"/>
    <cellStyle name="20% - Accent3 5 2 5 7 3" xfId="287" xr:uid="{00000000-0005-0000-0000-000011010000}"/>
    <cellStyle name="20% - Accent3 5 2 5 8" xfId="288" xr:uid="{00000000-0005-0000-0000-000012010000}"/>
    <cellStyle name="20% - Accent3 5 2 5 9" xfId="289" xr:uid="{00000000-0005-0000-0000-000013010000}"/>
    <cellStyle name="20% - Accent3 5 2 6" xfId="290" xr:uid="{00000000-0005-0000-0000-000014010000}"/>
    <cellStyle name="20% - Accent3 5 2 6 2" xfId="291" xr:uid="{00000000-0005-0000-0000-000015010000}"/>
    <cellStyle name="20% - Accent3 5 2 6 3" xfId="292" xr:uid="{00000000-0005-0000-0000-000016010000}"/>
    <cellStyle name="20% - Accent3 5 2 7" xfId="293" xr:uid="{00000000-0005-0000-0000-000017010000}"/>
    <cellStyle name="20% - Accent3 5 2 7 2" xfId="294" xr:uid="{00000000-0005-0000-0000-000018010000}"/>
    <cellStyle name="20% - Accent3 5 2 7 3" xfId="295" xr:uid="{00000000-0005-0000-0000-000019010000}"/>
    <cellStyle name="20% - Accent3 5 2 8" xfId="296" xr:uid="{00000000-0005-0000-0000-00001A010000}"/>
    <cellStyle name="20% - Accent3 5 2 8 2" xfId="297" xr:uid="{00000000-0005-0000-0000-00001B010000}"/>
    <cellStyle name="20% - Accent3 5 2 8 3" xfId="298" xr:uid="{00000000-0005-0000-0000-00001C010000}"/>
    <cellStyle name="20% - Accent3 5 2 9" xfId="299" xr:uid="{00000000-0005-0000-0000-00001D010000}"/>
    <cellStyle name="20% - Accent3 5 2 9 2" xfId="300" xr:uid="{00000000-0005-0000-0000-00001E010000}"/>
    <cellStyle name="20% - Accent3 5 2 9 3" xfId="301" xr:uid="{00000000-0005-0000-0000-00001F010000}"/>
    <cellStyle name="20% - Accent3 5 3" xfId="302" xr:uid="{00000000-0005-0000-0000-000020010000}"/>
    <cellStyle name="20% - Accent3 5 3 10" xfId="303" xr:uid="{00000000-0005-0000-0000-000021010000}"/>
    <cellStyle name="20% - Accent3 5 3 10 2" xfId="304" xr:uid="{00000000-0005-0000-0000-000022010000}"/>
    <cellStyle name="20% - Accent3 5 3 10 3" xfId="305" xr:uid="{00000000-0005-0000-0000-000023010000}"/>
    <cellStyle name="20% - Accent3 5 3 11" xfId="306" xr:uid="{00000000-0005-0000-0000-000024010000}"/>
    <cellStyle name="20% - Accent3 5 3 12" xfId="307" xr:uid="{00000000-0005-0000-0000-000025010000}"/>
    <cellStyle name="20% - Accent3 5 3 2" xfId="308" xr:uid="{00000000-0005-0000-0000-000026010000}"/>
    <cellStyle name="20% - Accent3 5 3 2 10" xfId="309" xr:uid="{00000000-0005-0000-0000-000027010000}"/>
    <cellStyle name="20% - Accent3 5 3 2 2" xfId="310" xr:uid="{00000000-0005-0000-0000-000028010000}"/>
    <cellStyle name="20% - Accent3 5 3 2 2 2" xfId="311" xr:uid="{00000000-0005-0000-0000-000029010000}"/>
    <cellStyle name="20% - Accent3 5 3 2 2 2 2" xfId="312" xr:uid="{00000000-0005-0000-0000-00002A010000}"/>
    <cellStyle name="20% - Accent3 5 3 2 2 2 3" xfId="313" xr:uid="{00000000-0005-0000-0000-00002B010000}"/>
    <cellStyle name="20% - Accent3 5 3 2 2 3" xfId="314" xr:uid="{00000000-0005-0000-0000-00002C010000}"/>
    <cellStyle name="20% - Accent3 5 3 2 2 3 2" xfId="315" xr:uid="{00000000-0005-0000-0000-00002D010000}"/>
    <cellStyle name="20% - Accent3 5 3 2 2 3 3" xfId="316" xr:uid="{00000000-0005-0000-0000-00002E010000}"/>
    <cellStyle name="20% - Accent3 5 3 2 2 4" xfId="317" xr:uid="{00000000-0005-0000-0000-00002F010000}"/>
    <cellStyle name="20% - Accent3 5 3 2 2 4 2" xfId="318" xr:uid="{00000000-0005-0000-0000-000030010000}"/>
    <cellStyle name="20% - Accent3 5 3 2 2 4 3" xfId="319" xr:uid="{00000000-0005-0000-0000-000031010000}"/>
    <cellStyle name="20% - Accent3 5 3 2 2 5" xfId="320" xr:uid="{00000000-0005-0000-0000-000032010000}"/>
    <cellStyle name="20% - Accent3 5 3 2 2 5 2" xfId="321" xr:uid="{00000000-0005-0000-0000-000033010000}"/>
    <cellStyle name="20% - Accent3 5 3 2 2 5 3" xfId="322" xr:uid="{00000000-0005-0000-0000-000034010000}"/>
    <cellStyle name="20% - Accent3 5 3 2 2 6" xfId="323" xr:uid="{00000000-0005-0000-0000-000035010000}"/>
    <cellStyle name="20% - Accent3 5 3 2 2 6 2" xfId="324" xr:uid="{00000000-0005-0000-0000-000036010000}"/>
    <cellStyle name="20% - Accent3 5 3 2 2 6 3" xfId="325" xr:uid="{00000000-0005-0000-0000-000037010000}"/>
    <cellStyle name="20% - Accent3 5 3 2 2 7" xfId="326" xr:uid="{00000000-0005-0000-0000-000038010000}"/>
    <cellStyle name="20% - Accent3 5 3 2 2 7 2" xfId="327" xr:uid="{00000000-0005-0000-0000-000039010000}"/>
    <cellStyle name="20% - Accent3 5 3 2 2 7 3" xfId="328" xr:uid="{00000000-0005-0000-0000-00003A010000}"/>
    <cellStyle name="20% - Accent3 5 3 2 2 8" xfId="329" xr:uid="{00000000-0005-0000-0000-00003B010000}"/>
    <cellStyle name="20% - Accent3 5 3 2 2 9" xfId="330" xr:uid="{00000000-0005-0000-0000-00003C010000}"/>
    <cellStyle name="20% - Accent3 5 3 2 3" xfId="331" xr:uid="{00000000-0005-0000-0000-00003D010000}"/>
    <cellStyle name="20% - Accent3 5 3 2 3 2" xfId="332" xr:uid="{00000000-0005-0000-0000-00003E010000}"/>
    <cellStyle name="20% - Accent3 5 3 2 3 3" xfId="333" xr:uid="{00000000-0005-0000-0000-00003F010000}"/>
    <cellStyle name="20% - Accent3 5 3 2 4" xfId="334" xr:uid="{00000000-0005-0000-0000-000040010000}"/>
    <cellStyle name="20% - Accent3 5 3 2 4 2" xfId="335" xr:uid="{00000000-0005-0000-0000-000041010000}"/>
    <cellStyle name="20% - Accent3 5 3 2 4 3" xfId="336" xr:uid="{00000000-0005-0000-0000-000042010000}"/>
    <cellStyle name="20% - Accent3 5 3 2 5" xfId="337" xr:uid="{00000000-0005-0000-0000-000043010000}"/>
    <cellStyle name="20% - Accent3 5 3 2 5 2" xfId="338" xr:uid="{00000000-0005-0000-0000-000044010000}"/>
    <cellStyle name="20% - Accent3 5 3 2 5 3" xfId="339" xr:uid="{00000000-0005-0000-0000-000045010000}"/>
    <cellStyle name="20% - Accent3 5 3 2 6" xfId="340" xr:uid="{00000000-0005-0000-0000-000046010000}"/>
    <cellStyle name="20% - Accent3 5 3 2 6 2" xfId="341" xr:uid="{00000000-0005-0000-0000-000047010000}"/>
    <cellStyle name="20% - Accent3 5 3 2 6 3" xfId="342" xr:uid="{00000000-0005-0000-0000-000048010000}"/>
    <cellStyle name="20% - Accent3 5 3 2 7" xfId="343" xr:uid="{00000000-0005-0000-0000-000049010000}"/>
    <cellStyle name="20% - Accent3 5 3 2 7 2" xfId="344" xr:uid="{00000000-0005-0000-0000-00004A010000}"/>
    <cellStyle name="20% - Accent3 5 3 2 7 3" xfId="345" xr:uid="{00000000-0005-0000-0000-00004B010000}"/>
    <cellStyle name="20% - Accent3 5 3 2 8" xfId="346" xr:uid="{00000000-0005-0000-0000-00004C010000}"/>
    <cellStyle name="20% - Accent3 5 3 2 8 2" xfId="347" xr:uid="{00000000-0005-0000-0000-00004D010000}"/>
    <cellStyle name="20% - Accent3 5 3 2 8 3" xfId="348" xr:uid="{00000000-0005-0000-0000-00004E010000}"/>
    <cellStyle name="20% - Accent3 5 3 2 9" xfId="349" xr:uid="{00000000-0005-0000-0000-00004F010000}"/>
    <cellStyle name="20% - Accent3 5 3 3" xfId="350" xr:uid="{00000000-0005-0000-0000-000050010000}"/>
    <cellStyle name="20% - Accent3 5 3 3 10" xfId="351" xr:uid="{00000000-0005-0000-0000-000051010000}"/>
    <cellStyle name="20% - Accent3 5 3 3 2" xfId="352" xr:uid="{00000000-0005-0000-0000-000052010000}"/>
    <cellStyle name="20% - Accent3 5 3 3 2 2" xfId="353" xr:uid="{00000000-0005-0000-0000-000053010000}"/>
    <cellStyle name="20% - Accent3 5 3 3 2 2 2" xfId="354" xr:uid="{00000000-0005-0000-0000-000054010000}"/>
    <cellStyle name="20% - Accent3 5 3 3 2 2 3" xfId="355" xr:uid="{00000000-0005-0000-0000-000055010000}"/>
    <cellStyle name="20% - Accent3 5 3 3 2 3" xfId="356" xr:uid="{00000000-0005-0000-0000-000056010000}"/>
    <cellStyle name="20% - Accent3 5 3 3 2 3 2" xfId="357" xr:uid="{00000000-0005-0000-0000-000057010000}"/>
    <cellStyle name="20% - Accent3 5 3 3 2 3 3" xfId="358" xr:uid="{00000000-0005-0000-0000-000058010000}"/>
    <cellStyle name="20% - Accent3 5 3 3 2 4" xfId="359" xr:uid="{00000000-0005-0000-0000-000059010000}"/>
    <cellStyle name="20% - Accent3 5 3 3 2 4 2" xfId="360" xr:uid="{00000000-0005-0000-0000-00005A010000}"/>
    <cellStyle name="20% - Accent3 5 3 3 2 4 3" xfId="361" xr:uid="{00000000-0005-0000-0000-00005B010000}"/>
    <cellStyle name="20% - Accent3 5 3 3 2 5" xfId="362" xr:uid="{00000000-0005-0000-0000-00005C010000}"/>
    <cellStyle name="20% - Accent3 5 3 3 2 5 2" xfId="363" xr:uid="{00000000-0005-0000-0000-00005D010000}"/>
    <cellStyle name="20% - Accent3 5 3 3 2 5 3" xfId="364" xr:uid="{00000000-0005-0000-0000-00005E010000}"/>
    <cellStyle name="20% - Accent3 5 3 3 2 6" xfId="365" xr:uid="{00000000-0005-0000-0000-00005F010000}"/>
    <cellStyle name="20% - Accent3 5 3 3 2 6 2" xfId="366" xr:uid="{00000000-0005-0000-0000-000060010000}"/>
    <cellStyle name="20% - Accent3 5 3 3 2 6 3" xfId="367" xr:uid="{00000000-0005-0000-0000-000061010000}"/>
    <cellStyle name="20% - Accent3 5 3 3 2 7" xfId="368" xr:uid="{00000000-0005-0000-0000-000062010000}"/>
    <cellStyle name="20% - Accent3 5 3 3 2 7 2" xfId="369" xr:uid="{00000000-0005-0000-0000-000063010000}"/>
    <cellStyle name="20% - Accent3 5 3 3 2 7 3" xfId="370" xr:uid="{00000000-0005-0000-0000-000064010000}"/>
    <cellStyle name="20% - Accent3 5 3 3 2 8" xfId="371" xr:uid="{00000000-0005-0000-0000-000065010000}"/>
    <cellStyle name="20% - Accent3 5 3 3 2 9" xfId="372" xr:uid="{00000000-0005-0000-0000-000066010000}"/>
    <cellStyle name="20% - Accent3 5 3 3 3" xfId="373" xr:uid="{00000000-0005-0000-0000-000067010000}"/>
    <cellStyle name="20% - Accent3 5 3 3 3 2" xfId="374" xr:uid="{00000000-0005-0000-0000-000068010000}"/>
    <cellStyle name="20% - Accent3 5 3 3 3 3" xfId="375" xr:uid="{00000000-0005-0000-0000-000069010000}"/>
    <cellStyle name="20% - Accent3 5 3 3 4" xfId="376" xr:uid="{00000000-0005-0000-0000-00006A010000}"/>
    <cellStyle name="20% - Accent3 5 3 3 4 2" xfId="377" xr:uid="{00000000-0005-0000-0000-00006B010000}"/>
    <cellStyle name="20% - Accent3 5 3 3 4 3" xfId="378" xr:uid="{00000000-0005-0000-0000-00006C010000}"/>
    <cellStyle name="20% - Accent3 5 3 3 5" xfId="379" xr:uid="{00000000-0005-0000-0000-00006D010000}"/>
    <cellStyle name="20% - Accent3 5 3 3 5 2" xfId="380" xr:uid="{00000000-0005-0000-0000-00006E010000}"/>
    <cellStyle name="20% - Accent3 5 3 3 5 3" xfId="381" xr:uid="{00000000-0005-0000-0000-00006F010000}"/>
    <cellStyle name="20% - Accent3 5 3 3 6" xfId="382" xr:uid="{00000000-0005-0000-0000-000070010000}"/>
    <cellStyle name="20% - Accent3 5 3 3 6 2" xfId="383" xr:uid="{00000000-0005-0000-0000-000071010000}"/>
    <cellStyle name="20% - Accent3 5 3 3 6 3" xfId="384" xr:uid="{00000000-0005-0000-0000-000072010000}"/>
    <cellStyle name="20% - Accent3 5 3 3 7" xfId="385" xr:uid="{00000000-0005-0000-0000-000073010000}"/>
    <cellStyle name="20% - Accent3 5 3 3 7 2" xfId="386" xr:uid="{00000000-0005-0000-0000-000074010000}"/>
    <cellStyle name="20% - Accent3 5 3 3 7 3" xfId="387" xr:uid="{00000000-0005-0000-0000-000075010000}"/>
    <cellStyle name="20% - Accent3 5 3 3 8" xfId="388" xr:uid="{00000000-0005-0000-0000-000076010000}"/>
    <cellStyle name="20% - Accent3 5 3 3 8 2" xfId="389" xr:uid="{00000000-0005-0000-0000-000077010000}"/>
    <cellStyle name="20% - Accent3 5 3 3 8 3" xfId="390" xr:uid="{00000000-0005-0000-0000-000078010000}"/>
    <cellStyle name="20% - Accent3 5 3 3 9" xfId="391" xr:uid="{00000000-0005-0000-0000-000079010000}"/>
    <cellStyle name="20% - Accent3 5 3 4" xfId="392" xr:uid="{00000000-0005-0000-0000-00007A010000}"/>
    <cellStyle name="20% - Accent3 5 3 4 2" xfId="393" xr:uid="{00000000-0005-0000-0000-00007B010000}"/>
    <cellStyle name="20% - Accent3 5 3 4 2 2" xfId="394" xr:uid="{00000000-0005-0000-0000-00007C010000}"/>
    <cellStyle name="20% - Accent3 5 3 4 2 3" xfId="395" xr:uid="{00000000-0005-0000-0000-00007D010000}"/>
    <cellStyle name="20% - Accent3 5 3 4 3" xfId="396" xr:uid="{00000000-0005-0000-0000-00007E010000}"/>
    <cellStyle name="20% - Accent3 5 3 4 3 2" xfId="397" xr:uid="{00000000-0005-0000-0000-00007F010000}"/>
    <cellStyle name="20% - Accent3 5 3 4 3 3" xfId="398" xr:uid="{00000000-0005-0000-0000-000080010000}"/>
    <cellStyle name="20% - Accent3 5 3 4 4" xfId="399" xr:uid="{00000000-0005-0000-0000-000081010000}"/>
    <cellStyle name="20% - Accent3 5 3 4 4 2" xfId="400" xr:uid="{00000000-0005-0000-0000-000082010000}"/>
    <cellStyle name="20% - Accent3 5 3 4 4 3" xfId="401" xr:uid="{00000000-0005-0000-0000-000083010000}"/>
    <cellStyle name="20% - Accent3 5 3 4 5" xfId="402" xr:uid="{00000000-0005-0000-0000-000084010000}"/>
    <cellStyle name="20% - Accent3 5 3 4 5 2" xfId="403" xr:uid="{00000000-0005-0000-0000-000085010000}"/>
    <cellStyle name="20% - Accent3 5 3 4 5 3" xfId="404" xr:uid="{00000000-0005-0000-0000-000086010000}"/>
    <cellStyle name="20% - Accent3 5 3 4 6" xfId="405" xr:uid="{00000000-0005-0000-0000-000087010000}"/>
    <cellStyle name="20% - Accent3 5 3 4 6 2" xfId="406" xr:uid="{00000000-0005-0000-0000-000088010000}"/>
    <cellStyle name="20% - Accent3 5 3 4 6 3" xfId="407" xr:uid="{00000000-0005-0000-0000-000089010000}"/>
    <cellStyle name="20% - Accent3 5 3 4 7" xfId="408" xr:uid="{00000000-0005-0000-0000-00008A010000}"/>
    <cellStyle name="20% - Accent3 5 3 4 7 2" xfId="409" xr:uid="{00000000-0005-0000-0000-00008B010000}"/>
    <cellStyle name="20% - Accent3 5 3 4 7 3" xfId="410" xr:uid="{00000000-0005-0000-0000-00008C010000}"/>
    <cellStyle name="20% - Accent3 5 3 4 8" xfId="411" xr:uid="{00000000-0005-0000-0000-00008D010000}"/>
    <cellStyle name="20% - Accent3 5 3 4 9" xfId="412" xr:uid="{00000000-0005-0000-0000-00008E010000}"/>
    <cellStyle name="20% - Accent3 5 3 5" xfId="413" xr:uid="{00000000-0005-0000-0000-00008F010000}"/>
    <cellStyle name="20% - Accent3 5 3 5 2" xfId="414" xr:uid="{00000000-0005-0000-0000-000090010000}"/>
    <cellStyle name="20% - Accent3 5 3 5 3" xfId="415" xr:uid="{00000000-0005-0000-0000-000091010000}"/>
    <cellStyle name="20% - Accent3 5 3 6" xfId="416" xr:uid="{00000000-0005-0000-0000-000092010000}"/>
    <cellStyle name="20% - Accent3 5 3 6 2" xfId="417" xr:uid="{00000000-0005-0000-0000-000093010000}"/>
    <cellStyle name="20% - Accent3 5 3 6 3" xfId="418" xr:uid="{00000000-0005-0000-0000-000094010000}"/>
    <cellStyle name="20% - Accent3 5 3 7" xfId="419" xr:uid="{00000000-0005-0000-0000-000095010000}"/>
    <cellStyle name="20% - Accent3 5 3 7 2" xfId="420" xr:uid="{00000000-0005-0000-0000-000096010000}"/>
    <cellStyle name="20% - Accent3 5 3 7 3" xfId="421" xr:uid="{00000000-0005-0000-0000-000097010000}"/>
    <cellStyle name="20% - Accent3 5 3 8" xfId="422" xr:uid="{00000000-0005-0000-0000-000098010000}"/>
    <cellStyle name="20% - Accent3 5 3 8 2" xfId="423" xr:uid="{00000000-0005-0000-0000-000099010000}"/>
    <cellStyle name="20% - Accent3 5 3 8 3" xfId="424" xr:uid="{00000000-0005-0000-0000-00009A010000}"/>
    <cellStyle name="20% - Accent3 5 3 9" xfId="425" xr:uid="{00000000-0005-0000-0000-00009B010000}"/>
    <cellStyle name="20% - Accent3 5 3 9 2" xfId="426" xr:uid="{00000000-0005-0000-0000-00009C010000}"/>
    <cellStyle name="20% - Accent3 5 3 9 3" xfId="427" xr:uid="{00000000-0005-0000-0000-00009D010000}"/>
    <cellStyle name="20% - Accent3 5 4" xfId="428" xr:uid="{00000000-0005-0000-0000-00009E010000}"/>
    <cellStyle name="20% - Accent3 5 4 10" xfId="429" xr:uid="{00000000-0005-0000-0000-00009F010000}"/>
    <cellStyle name="20% - Accent3 5 4 2" xfId="430" xr:uid="{00000000-0005-0000-0000-0000A0010000}"/>
    <cellStyle name="20% - Accent3 5 4 2 2" xfId="431" xr:uid="{00000000-0005-0000-0000-0000A1010000}"/>
    <cellStyle name="20% - Accent3 5 4 2 2 2" xfId="432" xr:uid="{00000000-0005-0000-0000-0000A2010000}"/>
    <cellStyle name="20% - Accent3 5 4 2 2 3" xfId="433" xr:uid="{00000000-0005-0000-0000-0000A3010000}"/>
    <cellStyle name="20% - Accent3 5 4 2 3" xfId="434" xr:uid="{00000000-0005-0000-0000-0000A4010000}"/>
    <cellStyle name="20% - Accent3 5 4 2 3 2" xfId="435" xr:uid="{00000000-0005-0000-0000-0000A5010000}"/>
    <cellStyle name="20% - Accent3 5 4 2 3 3" xfId="436" xr:uid="{00000000-0005-0000-0000-0000A6010000}"/>
    <cellStyle name="20% - Accent3 5 4 2 4" xfId="437" xr:uid="{00000000-0005-0000-0000-0000A7010000}"/>
    <cellStyle name="20% - Accent3 5 4 2 4 2" xfId="438" xr:uid="{00000000-0005-0000-0000-0000A8010000}"/>
    <cellStyle name="20% - Accent3 5 4 2 4 3" xfId="439" xr:uid="{00000000-0005-0000-0000-0000A9010000}"/>
    <cellStyle name="20% - Accent3 5 4 2 5" xfId="440" xr:uid="{00000000-0005-0000-0000-0000AA010000}"/>
    <cellStyle name="20% - Accent3 5 4 2 5 2" xfId="441" xr:uid="{00000000-0005-0000-0000-0000AB010000}"/>
    <cellStyle name="20% - Accent3 5 4 2 5 3" xfId="442" xr:uid="{00000000-0005-0000-0000-0000AC010000}"/>
    <cellStyle name="20% - Accent3 5 4 2 6" xfId="443" xr:uid="{00000000-0005-0000-0000-0000AD010000}"/>
    <cellStyle name="20% - Accent3 5 4 2 6 2" xfId="444" xr:uid="{00000000-0005-0000-0000-0000AE010000}"/>
    <cellStyle name="20% - Accent3 5 4 2 6 3" xfId="445" xr:uid="{00000000-0005-0000-0000-0000AF010000}"/>
    <cellStyle name="20% - Accent3 5 4 2 7" xfId="446" xr:uid="{00000000-0005-0000-0000-0000B0010000}"/>
    <cellStyle name="20% - Accent3 5 4 2 7 2" xfId="447" xr:uid="{00000000-0005-0000-0000-0000B1010000}"/>
    <cellStyle name="20% - Accent3 5 4 2 7 3" xfId="448" xr:uid="{00000000-0005-0000-0000-0000B2010000}"/>
    <cellStyle name="20% - Accent3 5 4 2 8" xfId="449" xr:uid="{00000000-0005-0000-0000-0000B3010000}"/>
    <cellStyle name="20% - Accent3 5 4 2 9" xfId="450" xr:uid="{00000000-0005-0000-0000-0000B4010000}"/>
    <cellStyle name="20% - Accent3 5 4 3" xfId="451" xr:uid="{00000000-0005-0000-0000-0000B5010000}"/>
    <cellStyle name="20% - Accent3 5 4 3 2" xfId="452" xr:uid="{00000000-0005-0000-0000-0000B6010000}"/>
    <cellStyle name="20% - Accent3 5 4 3 3" xfId="453" xr:uid="{00000000-0005-0000-0000-0000B7010000}"/>
    <cellStyle name="20% - Accent3 5 4 4" xfId="454" xr:uid="{00000000-0005-0000-0000-0000B8010000}"/>
    <cellStyle name="20% - Accent3 5 4 4 2" xfId="455" xr:uid="{00000000-0005-0000-0000-0000B9010000}"/>
    <cellStyle name="20% - Accent3 5 4 4 3" xfId="456" xr:uid="{00000000-0005-0000-0000-0000BA010000}"/>
    <cellStyle name="20% - Accent3 5 4 5" xfId="457" xr:uid="{00000000-0005-0000-0000-0000BB010000}"/>
    <cellStyle name="20% - Accent3 5 4 5 2" xfId="458" xr:uid="{00000000-0005-0000-0000-0000BC010000}"/>
    <cellStyle name="20% - Accent3 5 4 5 3" xfId="459" xr:uid="{00000000-0005-0000-0000-0000BD010000}"/>
    <cellStyle name="20% - Accent3 5 4 6" xfId="460" xr:uid="{00000000-0005-0000-0000-0000BE010000}"/>
    <cellStyle name="20% - Accent3 5 4 6 2" xfId="461" xr:uid="{00000000-0005-0000-0000-0000BF010000}"/>
    <cellStyle name="20% - Accent3 5 4 6 3" xfId="462" xr:uid="{00000000-0005-0000-0000-0000C0010000}"/>
    <cellStyle name="20% - Accent3 5 4 7" xfId="463" xr:uid="{00000000-0005-0000-0000-0000C1010000}"/>
    <cellStyle name="20% - Accent3 5 4 7 2" xfId="464" xr:uid="{00000000-0005-0000-0000-0000C2010000}"/>
    <cellStyle name="20% - Accent3 5 4 7 3" xfId="465" xr:uid="{00000000-0005-0000-0000-0000C3010000}"/>
    <cellStyle name="20% - Accent3 5 4 8" xfId="466" xr:uid="{00000000-0005-0000-0000-0000C4010000}"/>
    <cellStyle name="20% - Accent3 5 4 8 2" xfId="467" xr:uid="{00000000-0005-0000-0000-0000C5010000}"/>
    <cellStyle name="20% - Accent3 5 4 8 3" xfId="468" xr:uid="{00000000-0005-0000-0000-0000C6010000}"/>
    <cellStyle name="20% - Accent3 5 4 9" xfId="469" xr:uid="{00000000-0005-0000-0000-0000C7010000}"/>
    <cellStyle name="20% - Accent3 5 5" xfId="470" xr:uid="{00000000-0005-0000-0000-0000C8010000}"/>
    <cellStyle name="20% - Accent3 5 5 10" xfId="471" xr:uid="{00000000-0005-0000-0000-0000C9010000}"/>
    <cellStyle name="20% - Accent3 5 5 2" xfId="472" xr:uid="{00000000-0005-0000-0000-0000CA010000}"/>
    <cellStyle name="20% - Accent3 5 5 2 2" xfId="473" xr:uid="{00000000-0005-0000-0000-0000CB010000}"/>
    <cellStyle name="20% - Accent3 5 5 2 2 2" xfId="474" xr:uid="{00000000-0005-0000-0000-0000CC010000}"/>
    <cellStyle name="20% - Accent3 5 5 2 2 3" xfId="475" xr:uid="{00000000-0005-0000-0000-0000CD010000}"/>
    <cellStyle name="20% - Accent3 5 5 2 3" xfId="476" xr:uid="{00000000-0005-0000-0000-0000CE010000}"/>
    <cellStyle name="20% - Accent3 5 5 2 3 2" xfId="477" xr:uid="{00000000-0005-0000-0000-0000CF010000}"/>
    <cellStyle name="20% - Accent3 5 5 2 3 3" xfId="478" xr:uid="{00000000-0005-0000-0000-0000D0010000}"/>
    <cellStyle name="20% - Accent3 5 5 2 4" xfId="479" xr:uid="{00000000-0005-0000-0000-0000D1010000}"/>
    <cellStyle name="20% - Accent3 5 5 2 4 2" xfId="480" xr:uid="{00000000-0005-0000-0000-0000D2010000}"/>
    <cellStyle name="20% - Accent3 5 5 2 4 3" xfId="481" xr:uid="{00000000-0005-0000-0000-0000D3010000}"/>
    <cellStyle name="20% - Accent3 5 5 2 5" xfId="482" xr:uid="{00000000-0005-0000-0000-0000D4010000}"/>
    <cellStyle name="20% - Accent3 5 5 2 5 2" xfId="483" xr:uid="{00000000-0005-0000-0000-0000D5010000}"/>
    <cellStyle name="20% - Accent3 5 5 2 5 3" xfId="484" xr:uid="{00000000-0005-0000-0000-0000D6010000}"/>
    <cellStyle name="20% - Accent3 5 5 2 6" xfId="485" xr:uid="{00000000-0005-0000-0000-0000D7010000}"/>
    <cellStyle name="20% - Accent3 5 5 2 6 2" xfId="486" xr:uid="{00000000-0005-0000-0000-0000D8010000}"/>
    <cellStyle name="20% - Accent3 5 5 2 6 3" xfId="487" xr:uid="{00000000-0005-0000-0000-0000D9010000}"/>
    <cellStyle name="20% - Accent3 5 5 2 7" xfId="488" xr:uid="{00000000-0005-0000-0000-0000DA010000}"/>
    <cellStyle name="20% - Accent3 5 5 2 7 2" xfId="489" xr:uid="{00000000-0005-0000-0000-0000DB010000}"/>
    <cellStyle name="20% - Accent3 5 5 2 7 3" xfId="490" xr:uid="{00000000-0005-0000-0000-0000DC010000}"/>
    <cellStyle name="20% - Accent3 5 5 2 8" xfId="491" xr:uid="{00000000-0005-0000-0000-0000DD010000}"/>
    <cellStyle name="20% - Accent3 5 5 2 9" xfId="492" xr:uid="{00000000-0005-0000-0000-0000DE010000}"/>
    <cellStyle name="20% - Accent3 5 5 3" xfId="493" xr:uid="{00000000-0005-0000-0000-0000DF010000}"/>
    <cellStyle name="20% - Accent3 5 5 3 2" xfId="494" xr:uid="{00000000-0005-0000-0000-0000E0010000}"/>
    <cellStyle name="20% - Accent3 5 5 3 3" xfId="495" xr:uid="{00000000-0005-0000-0000-0000E1010000}"/>
    <cellStyle name="20% - Accent3 5 5 4" xfId="496" xr:uid="{00000000-0005-0000-0000-0000E2010000}"/>
    <cellStyle name="20% - Accent3 5 5 4 2" xfId="497" xr:uid="{00000000-0005-0000-0000-0000E3010000}"/>
    <cellStyle name="20% - Accent3 5 5 4 3" xfId="498" xr:uid="{00000000-0005-0000-0000-0000E4010000}"/>
    <cellStyle name="20% - Accent3 5 5 5" xfId="499" xr:uid="{00000000-0005-0000-0000-0000E5010000}"/>
    <cellStyle name="20% - Accent3 5 5 5 2" xfId="500" xr:uid="{00000000-0005-0000-0000-0000E6010000}"/>
    <cellStyle name="20% - Accent3 5 5 5 3" xfId="501" xr:uid="{00000000-0005-0000-0000-0000E7010000}"/>
    <cellStyle name="20% - Accent3 5 5 6" xfId="502" xr:uid="{00000000-0005-0000-0000-0000E8010000}"/>
    <cellStyle name="20% - Accent3 5 5 6 2" xfId="503" xr:uid="{00000000-0005-0000-0000-0000E9010000}"/>
    <cellStyle name="20% - Accent3 5 5 6 3" xfId="504" xr:uid="{00000000-0005-0000-0000-0000EA010000}"/>
    <cellStyle name="20% - Accent3 5 5 7" xfId="505" xr:uid="{00000000-0005-0000-0000-0000EB010000}"/>
    <cellStyle name="20% - Accent3 5 5 7 2" xfId="506" xr:uid="{00000000-0005-0000-0000-0000EC010000}"/>
    <cellStyle name="20% - Accent3 5 5 7 3" xfId="507" xr:uid="{00000000-0005-0000-0000-0000ED010000}"/>
    <cellStyle name="20% - Accent3 5 5 8" xfId="508" xr:uid="{00000000-0005-0000-0000-0000EE010000}"/>
    <cellStyle name="20% - Accent3 5 5 8 2" xfId="509" xr:uid="{00000000-0005-0000-0000-0000EF010000}"/>
    <cellStyle name="20% - Accent3 5 5 8 3" xfId="510" xr:uid="{00000000-0005-0000-0000-0000F0010000}"/>
    <cellStyle name="20% - Accent3 5 5 9" xfId="511" xr:uid="{00000000-0005-0000-0000-0000F1010000}"/>
    <cellStyle name="20% - Accent3 5 6" xfId="512" xr:uid="{00000000-0005-0000-0000-0000F2010000}"/>
    <cellStyle name="20% - Accent3 5 6 2" xfId="513" xr:uid="{00000000-0005-0000-0000-0000F3010000}"/>
    <cellStyle name="20% - Accent3 5 6 2 2" xfId="514" xr:uid="{00000000-0005-0000-0000-0000F4010000}"/>
    <cellStyle name="20% - Accent3 5 6 2 3" xfId="515" xr:uid="{00000000-0005-0000-0000-0000F5010000}"/>
    <cellStyle name="20% - Accent3 5 6 3" xfId="516" xr:uid="{00000000-0005-0000-0000-0000F6010000}"/>
    <cellStyle name="20% - Accent3 5 6 3 2" xfId="517" xr:uid="{00000000-0005-0000-0000-0000F7010000}"/>
    <cellStyle name="20% - Accent3 5 6 3 3" xfId="518" xr:uid="{00000000-0005-0000-0000-0000F8010000}"/>
    <cellStyle name="20% - Accent3 5 6 4" xfId="519" xr:uid="{00000000-0005-0000-0000-0000F9010000}"/>
    <cellStyle name="20% - Accent3 5 6 4 2" xfId="520" xr:uid="{00000000-0005-0000-0000-0000FA010000}"/>
    <cellStyle name="20% - Accent3 5 6 4 3" xfId="521" xr:uid="{00000000-0005-0000-0000-0000FB010000}"/>
    <cellStyle name="20% - Accent3 5 6 5" xfId="522" xr:uid="{00000000-0005-0000-0000-0000FC010000}"/>
    <cellStyle name="20% - Accent3 5 6 5 2" xfId="523" xr:uid="{00000000-0005-0000-0000-0000FD010000}"/>
    <cellStyle name="20% - Accent3 5 6 5 3" xfId="524" xr:uid="{00000000-0005-0000-0000-0000FE010000}"/>
    <cellStyle name="20% - Accent3 5 6 6" xfId="525" xr:uid="{00000000-0005-0000-0000-0000FF010000}"/>
    <cellStyle name="20% - Accent3 5 6 6 2" xfId="526" xr:uid="{00000000-0005-0000-0000-000000020000}"/>
    <cellStyle name="20% - Accent3 5 6 6 3" xfId="527" xr:uid="{00000000-0005-0000-0000-000001020000}"/>
    <cellStyle name="20% - Accent3 5 6 7" xfId="528" xr:uid="{00000000-0005-0000-0000-000002020000}"/>
    <cellStyle name="20% - Accent3 5 6 7 2" xfId="529" xr:uid="{00000000-0005-0000-0000-000003020000}"/>
    <cellStyle name="20% - Accent3 5 6 7 3" xfId="530" xr:uid="{00000000-0005-0000-0000-000004020000}"/>
    <cellStyle name="20% - Accent3 5 6 8" xfId="531" xr:uid="{00000000-0005-0000-0000-000005020000}"/>
    <cellStyle name="20% - Accent3 5 6 9" xfId="532" xr:uid="{00000000-0005-0000-0000-000006020000}"/>
    <cellStyle name="20% - Accent3 5 7" xfId="533" xr:uid="{00000000-0005-0000-0000-000007020000}"/>
    <cellStyle name="20% - Accent3 5 7 2" xfId="534" xr:uid="{00000000-0005-0000-0000-000008020000}"/>
    <cellStyle name="20% - Accent3 5 7 3" xfId="535" xr:uid="{00000000-0005-0000-0000-000009020000}"/>
    <cellStyle name="20% - Accent3 5 8" xfId="536" xr:uid="{00000000-0005-0000-0000-00000A020000}"/>
    <cellStyle name="20% - Accent3 5 8 2" xfId="537" xr:uid="{00000000-0005-0000-0000-00000B020000}"/>
    <cellStyle name="20% - Accent3 5 8 3" xfId="538" xr:uid="{00000000-0005-0000-0000-00000C020000}"/>
    <cellStyle name="20% - Accent3 5 9" xfId="539" xr:uid="{00000000-0005-0000-0000-00000D020000}"/>
    <cellStyle name="20% - Accent3 5 9 2" xfId="540" xr:uid="{00000000-0005-0000-0000-00000E020000}"/>
    <cellStyle name="20% - Accent3 5 9 3" xfId="541" xr:uid="{00000000-0005-0000-0000-00000F020000}"/>
    <cellStyle name="20% - Accent3 6" xfId="542" xr:uid="{00000000-0005-0000-0000-000010020000}"/>
    <cellStyle name="20% - Accent3 6 10" xfId="543" xr:uid="{00000000-0005-0000-0000-000011020000}"/>
    <cellStyle name="20% - Accent3 6 10 2" xfId="544" xr:uid="{00000000-0005-0000-0000-000012020000}"/>
    <cellStyle name="20% - Accent3 6 10 3" xfId="545" xr:uid="{00000000-0005-0000-0000-000013020000}"/>
    <cellStyle name="20% - Accent3 6 11" xfId="546" xr:uid="{00000000-0005-0000-0000-000014020000}"/>
    <cellStyle name="20% - Accent3 6 11 2" xfId="547" xr:uid="{00000000-0005-0000-0000-000015020000}"/>
    <cellStyle name="20% - Accent3 6 11 3" xfId="548" xr:uid="{00000000-0005-0000-0000-000016020000}"/>
    <cellStyle name="20% - Accent3 6 12" xfId="549" xr:uid="{00000000-0005-0000-0000-000017020000}"/>
    <cellStyle name="20% - Accent3 6 13" xfId="550" xr:uid="{00000000-0005-0000-0000-000018020000}"/>
    <cellStyle name="20% - Accent3 6 2" xfId="551" xr:uid="{00000000-0005-0000-0000-000019020000}"/>
    <cellStyle name="20% - Accent3 6 2 10" xfId="552" xr:uid="{00000000-0005-0000-0000-00001A020000}"/>
    <cellStyle name="20% - Accent3 6 2 10 2" xfId="553" xr:uid="{00000000-0005-0000-0000-00001B020000}"/>
    <cellStyle name="20% - Accent3 6 2 10 3" xfId="554" xr:uid="{00000000-0005-0000-0000-00001C020000}"/>
    <cellStyle name="20% - Accent3 6 2 11" xfId="555" xr:uid="{00000000-0005-0000-0000-00001D020000}"/>
    <cellStyle name="20% - Accent3 6 2 12" xfId="556" xr:uid="{00000000-0005-0000-0000-00001E020000}"/>
    <cellStyle name="20% - Accent3 6 2 2" xfId="557" xr:uid="{00000000-0005-0000-0000-00001F020000}"/>
    <cellStyle name="20% - Accent3 6 2 2 10" xfId="558" xr:uid="{00000000-0005-0000-0000-000020020000}"/>
    <cellStyle name="20% - Accent3 6 2 2 2" xfId="559" xr:uid="{00000000-0005-0000-0000-000021020000}"/>
    <cellStyle name="20% - Accent3 6 2 2 2 2" xfId="560" xr:uid="{00000000-0005-0000-0000-000022020000}"/>
    <cellStyle name="20% - Accent3 6 2 2 2 2 2" xfId="561" xr:uid="{00000000-0005-0000-0000-000023020000}"/>
    <cellStyle name="20% - Accent3 6 2 2 2 2 3" xfId="562" xr:uid="{00000000-0005-0000-0000-000024020000}"/>
    <cellStyle name="20% - Accent3 6 2 2 2 3" xfId="563" xr:uid="{00000000-0005-0000-0000-000025020000}"/>
    <cellStyle name="20% - Accent3 6 2 2 2 3 2" xfId="564" xr:uid="{00000000-0005-0000-0000-000026020000}"/>
    <cellStyle name="20% - Accent3 6 2 2 2 3 3" xfId="565" xr:uid="{00000000-0005-0000-0000-000027020000}"/>
    <cellStyle name="20% - Accent3 6 2 2 2 4" xfId="566" xr:uid="{00000000-0005-0000-0000-000028020000}"/>
    <cellStyle name="20% - Accent3 6 2 2 2 4 2" xfId="567" xr:uid="{00000000-0005-0000-0000-000029020000}"/>
    <cellStyle name="20% - Accent3 6 2 2 2 4 3" xfId="568" xr:uid="{00000000-0005-0000-0000-00002A020000}"/>
    <cellStyle name="20% - Accent3 6 2 2 2 5" xfId="569" xr:uid="{00000000-0005-0000-0000-00002B020000}"/>
    <cellStyle name="20% - Accent3 6 2 2 2 5 2" xfId="570" xr:uid="{00000000-0005-0000-0000-00002C020000}"/>
    <cellStyle name="20% - Accent3 6 2 2 2 5 3" xfId="571" xr:uid="{00000000-0005-0000-0000-00002D020000}"/>
    <cellStyle name="20% - Accent3 6 2 2 2 6" xfId="572" xr:uid="{00000000-0005-0000-0000-00002E020000}"/>
    <cellStyle name="20% - Accent3 6 2 2 2 6 2" xfId="573" xr:uid="{00000000-0005-0000-0000-00002F020000}"/>
    <cellStyle name="20% - Accent3 6 2 2 2 6 3" xfId="574" xr:uid="{00000000-0005-0000-0000-000030020000}"/>
    <cellStyle name="20% - Accent3 6 2 2 2 7" xfId="575" xr:uid="{00000000-0005-0000-0000-000031020000}"/>
    <cellStyle name="20% - Accent3 6 2 2 2 7 2" xfId="576" xr:uid="{00000000-0005-0000-0000-000032020000}"/>
    <cellStyle name="20% - Accent3 6 2 2 2 7 3" xfId="577" xr:uid="{00000000-0005-0000-0000-000033020000}"/>
    <cellStyle name="20% - Accent3 6 2 2 2 8" xfId="578" xr:uid="{00000000-0005-0000-0000-000034020000}"/>
    <cellStyle name="20% - Accent3 6 2 2 2 9" xfId="579" xr:uid="{00000000-0005-0000-0000-000035020000}"/>
    <cellStyle name="20% - Accent3 6 2 2 3" xfId="580" xr:uid="{00000000-0005-0000-0000-000036020000}"/>
    <cellStyle name="20% - Accent3 6 2 2 3 2" xfId="581" xr:uid="{00000000-0005-0000-0000-000037020000}"/>
    <cellStyle name="20% - Accent3 6 2 2 3 3" xfId="582" xr:uid="{00000000-0005-0000-0000-000038020000}"/>
    <cellStyle name="20% - Accent3 6 2 2 4" xfId="583" xr:uid="{00000000-0005-0000-0000-000039020000}"/>
    <cellStyle name="20% - Accent3 6 2 2 4 2" xfId="584" xr:uid="{00000000-0005-0000-0000-00003A020000}"/>
    <cellStyle name="20% - Accent3 6 2 2 4 3" xfId="585" xr:uid="{00000000-0005-0000-0000-00003B020000}"/>
    <cellStyle name="20% - Accent3 6 2 2 5" xfId="586" xr:uid="{00000000-0005-0000-0000-00003C020000}"/>
    <cellStyle name="20% - Accent3 6 2 2 5 2" xfId="587" xr:uid="{00000000-0005-0000-0000-00003D020000}"/>
    <cellStyle name="20% - Accent3 6 2 2 5 3" xfId="588" xr:uid="{00000000-0005-0000-0000-00003E020000}"/>
    <cellStyle name="20% - Accent3 6 2 2 6" xfId="589" xr:uid="{00000000-0005-0000-0000-00003F020000}"/>
    <cellStyle name="20% - Accent3 6 2 2 6 2" xfId="590" xr:uid="{00000000-0005-0000-0000-000040020000}"/>
    <cellStyle name="20% - Accent3 6 2 2 6 3" xfId="591" xr:uid="{00000000-0005-0000-0000-000041020000}"/>
    <cellStyle name="20% - Accent3 6 2 2 7" xfId="592" xr:uid="{00000000-0005-0000-0000-000042020000}"/>
    <cellStyle name="20% - Accent3 6 2 2 7 2" xfId="593" xr:uid="{00000000-0005-0000-0000-000043020000}"/>
    <cellStyle name="20% - Accent3 6 2 2 7 3" xfId="594" xr:uid="{00000000-0005-0000-0000-000044020000}"/>
    <cellStyle name="20% - Accent3 6 2 2 8" xfId="595" xr:uid="{00000000-0005-0000-0000-000045020000}"/>
    <cellStyle name="20% - Accent3 6 2 2 8 2" xfId="596" xr:uid="{00000000-0005-0000-0000-000046020000}"/>
    <cellStyle name="20% - Accent3 6 2 2 8 3" xfId="597" xr:uid="{00000000-0005-0000-0000-000047020000}"/>
    <cellStyle name="20% - Accent3 6 2 2 9" xfId="598" xr:uid="{00000000-0005-0000-0000-000048020000}"/>
    <cellStyle name="20% - Accent3 6 2 3" xfId="599" xr:uid="{00000000-0005-0000-0000-000049020000}"/>
    <cellStyle name="20% - Accent3 6 2 3 10" xfId="600" xr:uid="{00000000-0005-0000-0000-00004A020000}"/>
    <cellStyle name="20% - Accent3 6 2 3 2" xfId="601" xr:uid="{00000000-0005-0000-0000-00004B020000}"/>
    <cellStyle name="20% - Accent3 6 2 3 2 2" xfId="602" xr:uid="{00000000-0005-0000-0000-00004C020000}"/>
    <cellStyle name="20% - Accent3 6 2 3 2 2 2" xfId="603" xr:uid="{00000000-0005-0000-0000-00004D020000}"/>
    <cellStyle name="20% - Accent3 6 2 3 2 2 3" xfId="604" xr:uid="{00000000-0005-0000-0000-00004E020000}"/>
    <cellStyle name="20% - Accent3 6 2 3 2 3" xfId="605" xr:uid="{00000000-0005-0000-0000-00004F020000}"/>
    <cellStyle name="20% - Accent3 6 2 3 2 3 2" xfId="606" xr:uid="{00000000-0005-0000-0000-000050020000}"/>
    <cellStyle name="20% - Accent3 6 2 3 2 3 3" xfId="607" xr:uid="{00000000-0005-0000-0000-000051020000}"/>
    <cellStyle name="20% - Accent3 6 2 3 2 4" xfId="608" xr:uid="{00000000-0005-0000-0000-000052020000}"/>
    <cellStyle name="20% - Accent3 6 2 3 2 4 2" xfId="609" xr:uid="{00000000-0005-0000-0000-000053020000}"/>
    <cellStyle name="20% - Accent3 6 2 3 2 4 3" xfId="610" xr:uid="{00000000-0005-0000-0000-000054020000}"/>
    <cellStyle name="20% - Accent3 6 2 3 2 5" xfId="611" xr:uid="{00000000-0005-0000-0000-000055020000}"/>
    <cellStyle name="20% - Accent3 6 2 3 2 5 2" xfId="612" xr:uid="{00000000-0005-0000-0000-000056020000}"/>
    <cellStyle name="20% - Accent3 6 2 3 2 5 3" xfId="613" xr:uid="{00000000-0005-0000-0000-000057020000}"/>
    <cellStyle name="20% - Accent3 6 2 3 2 6" xfId="614" xr:uid="{00000000-0005-0000-0000-000058020000}"/>
    <cellStyle name="20% - Accent3 6 2 3 2 6 2" xfId="615" xr:uid="{00000000-0005-0000-0000-000059020000}"/>
    <cellStyle name="20% - Accent3 6 2 3 2 6 3" xfId="616" xr:uid="{00000000-0005-0000-0000-00005A020000}"/>
    <cellStyle name="20% - Accent3 6 2 3 2 7" xfId="617" xr:uid="{00000000-0005-0000-0000-00005B020000}"/>
    <cellStyle name="20% - Accent3 6 2 3 2 7 2" xfId="618" xr:uid="{00000000-0005-0000-0000-00005C020000}"/>
    <cellStyle name="20% - Accent3 6 2 3 2 7 3" xfId="619" xr:uid="{00000000-0005-0000-0000-00005D020000}"/>
    <cellStyle name="20% - Accent3 6 2 3 2 8" xfId="620" xr:uid="{00000000-0005-0000-0000-00005E020000}"/>
    <cellStyle name="20% - Accent3 6 2 3 2 9" xfId="621" xr:uid="{00000000-0005-0000-0000-00005F020000}"/>
    <cellStyle name="20% - Accent3 6 2 3 3" xfId="622" xr:uid="{00000000-0005-0000-0000-000060020000}"/>
    <cellStyle name="20% - Accent3 6 2 3 3 2" xfId="623" xr:uid="{00000000-0005-0000-0000-000061020000}"/>
    <cellStyle name="20% - Accent3 6 2 3 3 3" xfId="624" xr:uid="{00000000-0005-0000-0000-000062020000}"/>
    <cellStyle name="20% - Accent3 6 2 3 4" xfId="625" xr:uid="{00000000-0005-0000-0000-000063020000}"/>
    <cellStyle name="20% - Accent3 6 2 3 4 2" xfId="626" xr:uid="{00000000-0005-0000-0000-000064020000}"/>
    <cellStyle name="20% - Accent3 6 2 3 4 3" xfId="627" xr:uid="{00000000-0005-0000-0000-000065020000}"/>
    <cellStyle name="20% - Accent3 6 2 3 5" xfId="628" xr:uid="{00000000-0005-0000-0000-000066020000}"/>
    <cellStyle name="20% - Accent3 6 2 3 5 2" xfId="629" xr:uid="{00000000-0005-0000-0000-000067020000}"/>
    <cellStyle name="20% - Accent3 6 2 3 5 3" xfId="630" xr:uid="{00000000-0005-0000-0000-000068020000}"/>
    <cellStyle name="20% - Accent3 6 2 3 6" xfId="631" xr:uid="{00000000-0005-0000-0000-000069020000}"/>
    <cellStyle name="20% - Accent3 6 2 3 6 2" xfId="632" xr:uid="{00000000-0005-0000-0000-00006A020000}"/>
    <cellStyle name="20% - Accent3 6 2 3 6 3" xfId="633" xr:uid="{00000000-0005-0000-0000-00006B020000}"/>
    <cellStyle name="20% - Accent3 6 2 3 7" xfId="634" xr:uid="{00000000-0005-0000-0000-00006C020000}"/>
    <cellStyle name="20% - Accent3 6 2 3 7 2" xfId="635" xr:uid="{00000000-0005-0000-0000-00006D020000}"/>
    <cellStyle name="20% - Accent3 6 2 3 7 3" xfId="636" xr:uid="{00000000-0005-0000-0000-00006E020000}"/>
    <cellStyle name="20% - Accent3 6 2 3 8" xfId="637" xr:uid="{00000000-0005-0000-0000-00006F020000}"/>
    <cellStyle name="20% - Accent3 6 2 3 8 2" xfId="638" xr:uid="{00000000-0005-0000-0000-000070020000}"/>
    <cellStyle name="20% - Accent3 6 2 3 8 3" xfId="639" xr:uid="{00000000-0005-0000-0000-000071020000}"/>
    <cellStyle name="20% - Accent3 6 2 3 9" xfId="640" xr:uid="{00000000-0005-0000-0000-000072020000}"/>
    <cellStyle name="20% - Accent3 6 2 4" xfId="641" xr:uid="{00000000-0005-0000-0000-000073020000}"/>
    <cellStyle name="20% - Accent3 6 2 4 2" xfId="642" xr:uid="{00000000-0005-0000-0000-000074020000}"/>
    <cellStyle name="20% - Accent3 6 2 4 2 2" xfId="643" xr:uid="{00000000-0005-0000-0000-000075020000}"/>
    <cellStyle name="20% - Accent3 6 2 4 2 3" xfId="644" xr:uid="{00000000-0005-0000-0000-000076020000}"/>
    <cellStyle name="20% - Accent3 6 2 4 3" xfId="645" xr:uid="{00000000-0005-0000-0000-000077020000}"/>
    <cellStyle name="20% - Accent3 6 2 4 3 2" xfId="646" xr:uid="{00000000-0005-0000-0000-000078020000}"/>
    <cellStyle name="20% - Accent3 6 2 4 3 3" xfId="647" xr:uid="{00000000-0005-0000-0000-000079020000}"/>
    <cellStyle name="20% - Accent3 6 2 4 4" xfId="648" xr:uid="{00000000-0005-0000-0000-00007A020000}"/>
    <cellStyle name="20% - Accent3 6 2 4 4 2" xfId="649" xr:uid="{00000000-0005-0000-0000-00007B020000}"/>
    <cellStyle name="20% - Accent3 6 2 4 4 3" xfId="650" xr:uid="{00000000-0005-0000-0000-00007C020000}"/>
    <cellStyle name="20% - Accent3 6 2 4 5" xfId="651" xr:uid="{00000000-0005-0000-0000-00007D020000}"/>
    <cellStyle name="20% - Accent3 6 2 4 5 2" xfId="652" xr:uid="{00000000-0005-0000-0000-00007E020000}"/>
    <cellStyle name="20% - Accent3 6 2 4 5 3" xfId="653" xr:uid="{00000000-0005-0000-0000-00007F020000}"/>
    <cellStyle name="20% - Accent3 6 2 4 6" xfId="654" xr:uid="{00000000-0005-0000-0000-000080020000}"/>
    <cellStyle name="20% - Accent3 6 2 4 6 2" xfId="655" xr:uid="{00000000-0005-0000-0000-000081020000}"/>
    <cellStyle name="20% - Accent3 6 2 4 6 3" xfId="656" xr:uid="{00000000-0005-0000-0000-000082020000}"/>
    <cellStyle name="20% - Accent3 6 2 4 7" xfId="657" xr:uid="{00000000-0005-0000-0000-000083020000}"/>
    <cellStyle name="20% - Accent3 6 2 4 7 2" xfId="658" xr:uid="{00000000-0005-0000-0000-000084020000}"/>
    <cellStyle name="20% - Accent3 6 2 4 7 3" xfId="659" xr:uid="{00000000-0005-0000-0000-000085020000}"/>
    <cellStyle name="20% - Accent3 6 2 4 8" xfId="660" xr:uid="{00000000-0005-0000-0000-000086020000}"/>
    <cellStyle name="20% - Accent3 6 2 4 9" xfId="661" xr:uid="{00000000-0005-0000-0000-000087020000}"/>
    <cellStyle name="20% - Accent3 6 2 5" xfId="662" xr:uid="{00000000-0005-0000-0000-000088020000}"/>
    <cellStyle name="20% - Accent3 6 2 5 2" xfId="663" xr:uid="{00000000-0005-0000-0000-000089020000}"/>
    <cellStyle name="20% - Accent3 6 2 5 3" xfId="664" xr:uid="{00000000-0005-0000-0000-00008A020000}"/>
    <cellStyle name="20% - Accent3 6 2 6" xfId="665" xr:uid="{00000000-0005-0000-0000-00008B020000}"/>
    <cellStyle name="20% - Accent3 6 2 6 2" xfId="666" xr:uid="{00000000-0005-0000-0000-00008C020000}"/>
    <cellStyle name="20% - Accent3 6 2 6 3" xfId="667" xr:uid="{00000000-0005-0000-0000-00008D020000}"/>
    <cellStyle name="20% - Accent3 6 2 7" xfId="668" xr:uid="{00000000-0005-0000-0000-00008E020000}"/>
    <cellStyle name="20% - Accent3 6 2 7 2" xfId="669" xr:uid="{00000000-0005-0000-0000-00008F020000}"/>
    <cellStyle name="20% - Accent3 6 2 7 3" xfId="670" xr:uid="{00000000-0005-0000-0000-000090020000}"/>
    <cellStyle name="20% - Accent3 6 2 8" xfId="671" xr:uid="{00000000-0005-0000-0000-000091020000}"/>
    <cellStyle name="20% - Accent3 6 2 8 2" xfId="672" xr:uid="{00000000-0005-0000-0000-000092020000}"/>
    <cellStyle name="20% - Accent3 6 2 8 3" xfId="673" xr:uid="{00000000-0005-0000-0000-000093020000}"/>
    <cellStyle name="20% - Accent3 6 2 9" xfId="674" xr:uid="{00000000-0005-0000-0000-000094020000}"/>
    <cellStyle name="20% - Accent3 6 2 9 2" xfId="675" xr:uid="{00000000-0005-0000-0000-000095020000}"/>
    <cellStyle name="20% - Accent3 6 2 9 3" xfId="676" xr:uid="{00000000-0005-0000-0000-000096020000}"/>
    <cellStyle name="20% - Accent3 6 3" xfId="677" xr:uid="{00000000-0005-0000-0000-000097020000}"/>
    <cellStyle name="20% - Accent3 6 3 10" xfId="678" xr:uid="{00000000-0005-0000-0000-000098020000}"/>
    <cellStyle name="20% - Accent3 6 3 2" xfId="679" xr:uid="{00000000-0005-0000-0000-000099020000}"/>
    <cellStyle name="20% - Accent3 6 3 2 2" xfId="680" xr:uid="{00000000-0005-0000-0000-00009A020000}"/>
    <cellStyle name="20% - Accent3 6 3 2 2 2" xfId="681" xr:uid="{00000000-0005-0000-0000-00009B020000}"/>
    <cellStyle name="20% - Accent3 6 3 2 2 3" xfId="682" xr:uid="{00000000-0005-0000-0000-00009C020000}"/>
    <cellStyle name="20% - Accent3 6 3 2 3" xfId="683" xr:uid="{00000000-0005-0000-0000-00009D020000}"/>
    <cellStyle name="20% - Accent3 6 3 2 3 2" xfId="684" xr:uid="{00000000-0005-0000-0000-00009E020000}"/>
    <cellStyle name="20% - Accent3 6 3 2 3 3" xfId="685" xr:uid="{00000000-0005-0000-0000-00009F020000}"/>
    <cellStyle name="20% - Accent3 6 3 2 4" xfId="686" xr:uid="{00000000-0005-0000-0000-0000A0020000}"/>
    <cellStyle name="20% - Accent3 6 3 2 4 2" xfId="687" xr:uid="{00000000-0005-0000-0000-0000A1020000}"/>
    <cellStyle name="20% - Accent3 6 3 2 4 3" xfId="688" xr:uid="{00000000-0005-0000-0000-0000A2020000}"/>
    <cellStyle name="20% - Accent3 6 3 2 5" xfId="689" xr:uid="{00000000-0005-0000-0000-0000A3020000}"/>
    <cellStyle name="20% - Accent3 6 3 2 5 2" xfId="690" xr:uid="{00000000-0005-0000-0000-0000A4020000}"/>
    <cellStyle name="20% - Accent3 6 3 2 5 3" xfId="691" xr:uid="{00000000-0005-0000-0000-0000A5020000}"/>
    <cellStyle name="20% - Accent3 6 3 2 6" xfId="692" xr:uid="{00000000-0005-0000-0000-0000A6020000}"/>
    <cellStyle name="20% - Accent3 6 3 2 6 2" xfId="693" xr:uid="{00000000-0005-0000-0000-0000A7020000}"/>
    <cellStyle name="20% - Accent3 6 3 2 6 3" xfId="694" xr:uid="{00000000-0005-0000-0000-0000A8020000}"/>
    <cellStyle name="20% - Accent3 6 3 2 7" xfId="695" xr:uid="{00000000-0005-0000-0000-0000A9020000}"/>
    <cellStyle name="20% - Accent3 6 3 2 7 2" xfId="696" xr:uid="{00000000-0005-0000-0000-0000AA020000}"/>
    <cellStyle name="20% - Accent3 6 3 2 7 3" xfId="697" xr:uid="{00000000-0005-0000-0000-0000AB020000}"/>
    <cellStyle name="20% - Accent3 6 3 2 8" xfId="698" xr:uid="{00000000-0005-0000-0000-0000AC020000}"/>
    <cellStyle name="20% - Accent3 6 3 2 9" xfId="699" xr:uid="{00000000-0005-0000-0000-0000AD020000}"/>
    <cellStyle name="20% - Accent3 6 3 3" xfId="700" xr:uid="{00000000-0005-0000-0000-0000AE020000}"/>
    <cellStyle name="20% - Accent3 6 3 3 2" xfId="701" xr:uid="{00000000-0005-0000-0000-0000AF020000}"/>
    <cellStyle name="20% - Accent3 6 3 3 3" xfId="702" xr:uid="{00000000-0005-0000-0000-0000B0020000}"/>
    <cellStyle name="20% - Accent3 6 3 4" xfId="703" xr:uid="{00000000-0005-0000-0000-0000B1020000}"/>
    <cellStyle name="20% - Accent3 6 3 4 2" xfId="704" xr:uid="{00000000-0005-0000-0000-0000B2020000}"/>
    <cellStyle name="20% - Accent3 6 3 4 3" xfId="705" xr:uid="{00000000-0005-0000-0000-0000B3020000}"/>
    <cellStyle name="20% - Accent3 6 3 5" xfId="706" xr:uid="{00000000-0005-0000-0000-0000B4020000}"/>
    <cellStyle name="20% - Accent3 6 3 5 2" xfId="707" xr:uid="{00000000-0005-0000-0000-0000B5020000}"/>
    <cellStyle name="20% - Accent3 6 3 5 3" xfId="708" xr:uid="{00000000-0005-0000-0000-0000B6020000}"/>
    <cellStyle name="20% - Accent3 6 3 6" xfId="709" xr:uid="{00000000-0005-0000-0000-0000B7020000}"/>
    <cellStyle name="20% - Accent3 6 3 6 2" xfId="710" xr:uid="{00000000-0005-0000-0000-0000B8020000}"/>
    <cellStyle name="20% - Accent3 6 3 6 3" xfId="711" xr:uid="{00000000-0005-0000-0000-0000B9020000}"/>
    <cellStyle name="20% - Accent3 6 3 7" xfId="712" xr:uid="{00000000-0005-0000-0000-0000BA020000}"/>
    <cellStyle name="20% - Accent3 6 3 7 2" xfId="713" xr:uid="{00000000-0005-0000-0000-0000BB020000}"/>
    <cellStyle name="20% - Accent3 6 3 7 3" xfId="714" xr:uid="{00000000-0005-0000-0000-0000BC020000}"/>
    <cellStyle name="20% - Accent3 6 3 8" xfId="715" xr:uid="{00000000-0005-0000-0000-0000BD020000}"/>
    <cellStyle name="20% - Accent3 6 3 8 2" xfId="716" xr:uid="{00000000-0005-0000-0000-0000BE020000}"/>
    <cellStyle name="20% - Accent3 6 3 8 3" xfId="717" xr:uid="{00000000-0005-0000-0000-0000BF020000}"/>
    <cellStyle name="20% - Accent3 6 3 9" xfId="718" xr:uid="{00000000-0005-0000-0000-0000C0020000}"/>
    <cellStyle name="20% - Accent3 6 4" xfId="719" xr:uid="{00000000-0005-0000-0000-0000C1020000}"/>
    <cellStyle name="20% - Accent3 6 4 10" xfId="720" xr:uid="{00000000-0005-0000-0000-0000C2020000}"/>
    <cellStyle name="20% - Accent3 6 4 2" xfId="721" xr:uid="{00000000-0005-0000-0000-0000C3020000}"/>
    <cellStyle name="20% - Accent3 6 4 2 2" xfId="722" xr:uid="{00000000-0005-0000-0000-0000C4020000}"/>
    <cellStyle name="20% - Accent3 6 4 2 2 2" xfId="723" xr:uid="{00000000-0005-0000-0000-0000C5020000}"/>
    <cellStyle name="20% - Accent3 6 4 2 2 3" xfId="724" xr:uid="{00000000-0005-0000-0000-0000C6020000}"/>
    <cellStyle name="20% - Accent3 6 4 2 3" xfId="725" xr:uid="{00000000-0005-0000-0000-0000C7020000}"/>
    <cellStyle name="20% - Accent3 6 4 2 3 2" xfId="726" xr:uid="{00000000-0005-0000-0000-0000C8020000}"/>
    <cellStyle name="20% - Accent3 6 4 2 3 3" xfId="727" xr:uid="{00000000-0005-0000-0000-0000C9020000}"/>
    <cellStyle name="20% - Accent3 6 4 2 4" xfId="728" xr:uid="{00000000-0005-0000-0000-0000CA020000}"/>
    <cellStyle name="20% - Accent3 6 4 2 4 2" xfId="729" xr:uid="{00000000-0005-0000-0000-0000CB020000}"/>
    <cellStyle name="20% - Accent3 6 4 2 4 3" xfId="730" xr:uid="{00000000-0005-0000-0000-0000CC020000}"/>
    <cellStyle name="20% - Accent3 6 4 2 5" xfId="731" xr:uid="{00000000-0005-0000-0000-0000CD020000}"/>
    <cellStyle name="20% - Accent3 6 4 2 5 2" xfId="732" xr:uid="{00000000-0005-0000-0000-0000CE020000}"/>
    <cellStyle name="20% - Accent3 6 4 2 5 3" xfId="733" xr:uid="{00000000-0005-0000-0000-0000CF020000}"/>
    <cellStyle name="20% - Accent3 6 4 2 6" xfId="734" xr:uid="{00000000-0005-0000-0000-0000D0020000}"/>
    <cellStyle name="20% - Accent3 6 4 2 6 2" xfId="735" xr:uid="{00000000-0005-0000-0000-0000D1020000}"/>
    <cellStyle name="20% - Accent3 6 4 2 6 3" xfId="736" xr:uid="{00000000-0005-0000-0000-0000D2020000}"/>
    <cellStyle name="20% - Accent3 6 4 2 7" xfId="737" xr:uid="{00000000-0005-0000-0000-0000D3020000}"/>
    <cellStyle name="20% - Accent3 6 4 2 7 2" xfId="738" xr:uid="{00000000-0005-0000-0000-0000D4020000}"/>
    <cellStyle name="20% - Accent3 6 4 2 7 3" xfId="739" xr:uid="{00000000-0005-0000-0000-0000D5020000}"/>
    <cellStyle name="20% - Accent3 6 4 2 8" xfId="740" xr:uid="{00000000-0005-0000-0000-0000D6020000}"/>
    <cellStyle name="20% - Accent3 6 4 2 9" xfId="741" xr:uid="{00000000-0005-0000-0000-0000D7020000}"/>
    <cellStyle name="20% - Accent3 6 4 3" xfId="742" xr:uid="{00000000-0005-0000-0000-0000D8020000}"/>
    <cellStyle name="20% - Accent3 6 4 3 2" xfId="743" xr:uid="{00000000-0005-0000-0000-0000D9020000}"/>
    <cellStyle name="20% - Accent3 6 4 3 3" xfId="744" xr:uid="{00000000-0005-0000-0000-0000DA020000}"/>
    <cellStyle name="20% - Accent3 6 4 4" xfId="745" xr:uid="{00000000-0005-0000-0000-0000DB020000}"/>
    <cellStyle name="20% - Accent3 6 4 4 2" xfId="746" xr:uid="{00000000-0005-0000-0000-0000DC020000}"/>
    <cellStyle name="20% - Accent3 6 4 4 3" xfId="747" xr:uid="{00000000-0005-0000-0000-0000DD020000}"/>
    <cellStyle name="20% - Accent3 6 4 5" xfId="748" xr:uid="{00000000-0005-0000-0000-0000DE020000}"/>
    <cellStyle name="20% - Accent3 6 4 5 2" xfId="749" xr:uid="{00000000-0005-0000-0000-0000DF020000}"/>
    <cellStyle name="20% - Accent3 6 4 5 3" xfId="750" xr:uid="{00000000-0005-0000-0000-0000E0020000}"/>
    <cellStyle name="20% - Accent3 6 4 6" xfId="751" xr:uid="{00000000-0005-0000-0000-0000E1020000}"/>
    <cellStyle name="20% - Accent3 6 4 6 2" xfId="752" xr:uid="{00000000-0005-0000-0000-0000E2020000}"/>
    <cellStyle name="20% - Accent3 6 4 6 3" xfId="753" xr:uid="{00000000-0005-0000-0000-0000E3020000}"/>
    <cellStyle name="20% - Accent3 6 4 7" xfId="754" xr:uid="{00000000-0005-0000-0000-0000E4020000}"/>
    <cellStyle name="20% - Accent3 6 4 7 2" xfId="755" xr:uid="{00000000-0005-0000-0000-0000E5020000}"/>
    <cellStyle name="20% - Accent3 6 4 7 3" xfId="756" xr:uid="{00000000-0005-0000-0000-0000E6020000}"/>
    <cellStyle name="20% - Accent3 6 4 8" xfId="757" xr:uid="{00000000-0005-0000-0000-0000E7020000}"/>
    <cellStyle name="20% - Accent3 6 4 8 2" xfId="758" xr:uid="{00000000-0005-0000-0000-0000E8020000}"/>
    <cellStyle name="20% - Accent3 6 4 8 3" xfId="759" xr:uid="{00000000-0005-0000-0000-0000E9020000}"/>
    <cellStyle name="20% - Accent3 6 4 9" xfId="760" xr:uid="{00000000-0005-0000-0000-0000EA020000}"/>
    <cellStyle name="20% - Accent3 6 5" xfId="761" xr:uid="{00000000-0005-0000-0000-0000EB020000}"/>
    <cellStyle name="20% - Accent3 6 5 2" xfId="762" xr:uid="{00000000-0005-0000-0000-0000EC020000}"/>
    <cellStyle name="20% - Accent3 6 5 2 2" xfId="763" xr:uid="{00000000-0005-0000-0000-0000ED020000}"/>
    <cellStyle name="20% - Accent3 6 5 2 3" xfId="764" xr:uid="{00000000-0005-0000-0000-0000EE020000}"/>
    <cellStyle name="20% - Accent3 6 5 3" xfId="765" xr:uid="{00000000-0005-0000-0000-0000EF020000}"/>
    <cellStyle name="20% - Accent3 6 5 3 2" xfId="766" xr:uid="{00000000-0005-0000-0000-0000F0020000}"/>
    <cellStyle name="20% - Accent3 6 5 3 3" xfId="767" xr:uid="{00000000-0005-0000-0000-0000F1020000}"/>
    <cellStyle name="20% - Accent3 6 5 4" xfId="768" xr:uid="{00000000-0005-0000-0000-0000F2020000}"/>
    <cellStyle name="20% - Accent3 6 5 4 2" xfId="769" xr:uid="{00000000-0005-0000-0000-0000F3020000}"/>
    <cellStyle name="20% - Accent3 6 5 4 3" xfId="770" xr:uid="{00000000-0005-0000-0000-0000F4020000}"/>
    <cellStyle name="20% - Accent3 6 5 5" xfId="771" xr:uid="{00000000-0005-0000-0000-0000F5020000}"/>
    <cellStyle name="20% - Accent3 6 5 5 2" xfId="772" xr:uid="{00000000-0005-0000-0000-0000F6020000}"/>
    <cellStyle name="20% - Accent3 6 5 5 3" xfId="773" xr:uid="{00000000-0005-0000-0000-0000F7020000}"/>
    <cellStyle name="20% - Accent3 6 5 6" xfId="774" xr:uid="{00000000-0005-0000-0000-0000F8020000}"/>
    <cellStyle name="20% - Accent3 6 5 6 2" xfId="775" xr:uid="{00000000-0005-0000-0000-0000F9020000}"/>
    <cellStyle name="20% - Accent3 6 5 6 3" xfId="776" xr:uid="{00000000-0005-0000-0000-0000FA020000}"/>
    <cellStyle name="20% - Accent3 6 5 7" xfId="777" xr:uid="{00000000-0005-0000-0000-0000FB020000}"/>
    <cellStyle name="20% - Accent3 6 5 7 2" xfId="778" xr:uid="{00000000-0005-0000-0000-0000FC020000}"/>
    <cellStyle name="20% - Accent3 6 5 7 3" xfId="779" xr:uid="{00000000-0005-0000-0000-0000FD020000}"/>
    <cellStyle name="20% - Accent3 6 5 8" xfId="780" xr:uid="{00000000-0005-0000-0000-0000FE020000}"/>
    <cellStyle name="20% - Accent3 6 5 9" xfId="781" xr:uid="{00000000-0005-0000-0000-0000FF020000}"/>
    <cellStyle name="20% - Accent3 6 6" xfId="782" xr:uid="{00000000-0005-0000-0000-000000030000}"/>
    <cellStyle name="20% - Accent3 6 6 2" xfId="783" xr:uid="{00000000-0005-0000-0000-000001030000}"/>
    <cellStyle name="20% - Accent3 6 6 3" xfId="784" xr:uid="{00000000-0005-0000-0000-000002030000}"/>
    <cellStyle name="20% - Accent3 6 7" xfId="785" xr:uid="{00000000-0005-0000-0000-000003030000}"/>
    <cellStyle name="20% - Accent3 6 7 2" xfId="786" xr:uid="{00000000-0005-0000-0000-000004030000}"/>
    <cellStyle name="20% - Accent3 6 7 3" xfId="787" xr:uid="{00000000-0005-0000-0000-000005030000}"/>
    <cellStyle name="20% - Accent3 6 8" xfId="788" xr:uid="{00000000-0005-0000-0000-000006030000}"/>
    <cellStyle name="20% - Accent3 6 8 2" xfId="789" xr:uid="{00000000-0005-0000-0000-000007030000}"/>
    <cellStyle name="20% - Accent3 6 8 3" xfId="790" xr:uid="{00000000-0005-0000-0000-000008030000}"/>
    <cellStyle name="20% - Accent3 6 9" xfId="791" xr:uid="{00000000-0005-0000-0000-000009030000}"/>
    <cellStyle name="20% - Accent3 6 9 2" xfId="792" xr:uid="{00000000-0005-0000-0000-00000A030000}"/>
    <cellStyle name="20% - Accent3 6 9 3" xfId="793" xr:uid="{00000000-0005-0000-0000-00000B030000}"/>
    <cellStyle name="20% - Accent3 7" xfId="794" xr:uid="{00000000-0005-0000-0000-00000C030000}"/>
    <cellStyle name="20% - Accent3 7 10" xfId="795" xr:uid="{00000000-0005-0000-0000-00000D030000}"/>
    <cellStyle name="20% - Accent3 7 10 2" xfId="796" xr:uid="{00000000-0005-0000-0000-00000E030000}"/>
    <cellStyle name="20% - Accent3 7 10 3" xfId="797" xr:uid="{00000000-0005-0000-0000-00000F030000}"/>
    <cellStyle name="20% - Accent3 7 11" xfId="798" xr:uid="{00000000-0005-0000-0000-000010030000}"/>
    <cellStyle name="20% - Accent3 7 12" xfId="799" xr:uid="{00000000-0005-0000-0000-000011030000}"/>
    <cellStyle name="20% - Accent3 7 2" xfId="800" xr:uid="{00000000-0005-0000-0000-000012030000}"/>
    <cellStyle name="20% - Accent3 7 2 10" xfId="801" xr:uid="{00000000-0005-0000-0000-000013030000}"/>
    <cellStyle name="20% - Accent3 7 2 2" xfId="802" xr:uid="{00000000-0005-0000-0000-000014030000}"/>
    <cellStyle name="20% - Accent3 7 2 2 2" xfId="803" xr:uid="{00000000-0005-0000-0000-000015030000}"/>
    <cellStyle name="20% - Accent3 7 2 2 2 2" xfId="804" xr:uid="{00000000-0005-0000-0000-000016030000}"/>
    <cellStyle name="20% - Accent3 7 2 2 2 3" xfId="805" xr:uid="{00000000-0005-0000-0000-000017030000}"/>
    <cellStyle name="20% - Accent3 7 2 2 3" xfId="806" xr:uid="{00000000-0005-0000-0000-000018030000}"/>
    <cellStyle name="20% - Accent3 7 2 2 3 2" xfId="807" xr:uid="{00000000-0005-0000-0000-000019030000}"/>
    <cellStyle name="20% - Accent3 7 2 2 3 3" xfId="808" xr:uid="{00000000-0005-0000-0000-00001A030000}"/>
    <cellStyle name="20% - Accent3 7 2 2 4" xfId="809" xr:uid="{00000000-0005-0000-0000-00001B030000}"/>
    <cellStyle name="20% - Accent3 7 2 2 4 2" xfId="810" xr:uid="{00000000-0005-0000-0000-00001C030000}"/>
    <cellStyle name="20% - Accent3 7 2 2 4 3" xfId="811" xr:uid="{00000000-0005-0000-0000-00001D030000}"/>
    <cellStyle name="20% - Accent3 7 2 2 5" xfId="812" xr:uid="{00000000-0005-0000-0000-00001E030000}"/>
    <cellStyle name="20% - Accent3 7 2 2 5 2" xfId="813" xr:uid="{00000000-0005-0000-0000-00001F030000}"/>
    <cellStyle name="20% - Accent3 7 2 2 5 3" xfId="814" xr:uid="{00000000-0005-0000-0000-000020030000}"/>
    <cellStyle name="20% - Accent3 7 2 2 6" xfId="815" xr:uid="{00000000-0005-0000-0000-000021030000}"/>
    <cellStyle name="20% - Accent3 7 2 2 6 2" xfId="816" xr:uid="{00000000-0005-0000-0000-000022030000}"/>
    <cellStyle name="20% - Accent3 7 2 2 6 3" xfId="817" xr:uid="{00000000-0005-0000-0000-000023030000}"/>
    <cellStyle name="20% - Accent3 7 2 2 7" xfId="818" xr:uid="{00000000-0005-0000-0000-000024030000}"/>
    <cellStyle name="20% - Accent3 7 2 2 7 2" xfId="819" xr:uid="{00000000-0005-0000-0000-000025030000}"/>
    <cellStyle name="20% - Accent3 7 2 2 7 3" xfId="820" xr:uid="{00000000-0005-0000-0000-000026030000}"/>
    <cellStyle name="20% - Accent3 7 2 2 8" xfId="821" xr:uid="{00000000-0005-0000-0000-000027030000}"/>
    <cellStyle name="20% - Accent3 7 2 2 9" xfId="822" xr:uid="{00000000-0005-0000-0000-000028030000}"/>
    <cellStyle name="20% - Accent3 7 2 3" xfId="823" xr:uid="{00000000-0005-0000-0000-000029030000}"/>
    <cellStyle name="20% - Accent3 7 2 3 2" xfId="824" xr:uid="{00000000-0005-0000-0000-00002A030000}"/>
    <cellStyle name="20% - Accent3 7 2 3 3" xfId="825" xr:uid="{00000000-0005-0000-0000-00002B030000}"/>
    <cellStyle name="20% - Accent3 7 2 4" xfId="826" xr:uid="{00000000-0005-0000-0000-00002C030000}"/>
    <cellStyle name="20% - Accent3 7 2 4 2" xfId="827" xr:uid="{00000000-0005-0000-0000-00002D030000}"/>
    <cellStyle name="20% - Accent3 7 2 4 3" xfId="828" xr:uid="{00000000-0005-0000-0000-00002E030000}"/>
    <cellStyle name="20% - Accent3 7 2 5" xfId="829" xr:uid="{00000000-0005-0000-0000-00002F030000}"/>
    <cellStyle name="20% - Accent3 7 2 5 2" xfId="830" xr:uid="{00000000-0005-0000-0000-000030030000}"/>
    <cellStyle name="20% - Accent3 7 2 5 3" xfId="831" xr:uid="{00000000-0005-0000-0000-000031030000}"/>
    <cellStyle name="20% - Accent3 7 2 6" xfId="832" xr:uid="{00000000-0005-0000-0000-000032030000}"/>
    <cellStyle name="20% - Accent3 7 2 6 2" xfId="833" xr:uid="{00000000-0005-0000-0000-000033030000}"/>
    <cellStyle name="20% - Accent3 7 2 6 3" xfId="834" xr:uid="{00000000-0005-0000-0000-000034030000}"/>
    <cellStyle name="20% - Accent3 7 2 7" xfId="835" xr:uid="{00000000-0005-0000-0000-000035030000}"/>
    <cellStyle name="20% - Accent3 7 2 7 2" xfId="836" xr:uid="{00000000-0005-0000-0000-000036030000}"/>
    <cellStyle name="20% - Accent3 7 2 7 3" xfId="837" xr:uid="{00000000-0005-0000-0000-000037030000}"/>
    <cellStyle name="20% - Accent3 7 2 8" xfId="838" xr:uid="{00000000-0005-0000-0000-000038030000}"/>
    <cellStyle name="20% - Accent3 7 2 8 2" xfId="839" xr:uid="{00000000-0005-0000-0000-000039030000}"/>
    <cellStyle name="20% - Accent3 7 2 8 3" xfId="840" xr:uid="{00000000-0005-0000-0000-00003A030000}"/>
    <cellStyle name="20% - Accent3 7 2 9" xfId="841" xr:uid="{00000000-0005-0000-0000-00003B030000}"/>
    <cellStyle name="20% - Accent3 7 3" xfId="842" xr:uid="{00000000-0005-0000-0000-00003C030000}"/>
    <cellStyle name="20% - Accent3 7 3 10" xfId="843" xr:uid="{00000000-0005-0000-0000-00003D030000}"/>
    <cellStyle name="20% - Accent3 7 3 2" xfId="844" xr:uid="{00000000-0005-0000-0000-00003E030000}"/>
    <cellStyle name="20% - Accent3 7 3 2 2" xfId="845" xr:uid="{00000000-0005-0000-0000-00003F030000}"/>
    <cellStyle name="20% - Accent3 7 3 2 2 2" xfId="846" xr:uid="{00000000-0005-0000-0000-000040030000}"/>
    <cellStyle name="20% - Accent3 7 3 2 2 3" xfId="847" xr:uid="{00000000-0005-0000-0000-000041030000}"/>
    <cellStyle name="20% - Accent3 7 3 2 3" xfId="848" xr:uid="{00000000-0005-0000-0000-000042030000}"/>
    <cellStyle name="20% - Accent3 7 3 2 3 2" xfId="849" xr:uid="{00000000-0005-0000-0000-000043030000}"/>
    <cellStyle name="20% - Accent3 7 3 2 3 3" xfId="850" xr:uid="{00000000-0005-0000-0000-000044030000}"/>
    <cellStyle name="20% - Accent3 7 3 2 4" xfId="851" xr:uid="{00000000-0005-0000-0000-000045030000}"/>
    <cellStyle name="20% - Accent3 7 3 2 4 2" xfId="852" xr:uid="{00000000-0005-0000-0000-000046030000}"/>
    <cellStyle name="20% - Accent3 7 3 2 4 3" xfId="853" xr:uid="{00000000-0005-0000-0000-000047030000}"/>
    <cellStyle name="20% - Accent3 7 3 2 5" xfId="854" xr:uid="{00000000-0005-0000-0000-000048030000}"/>
    <cellStyle name="20% - Accent3 7 3 2 5 2" xfId="855" xr:uid="{00000000-0005-0000-0000-000049030000}"/>
    <cellStyle name="20% - Accent3 7 3 2 5 3" xfId="856" xr:uid="{00000000-0005-0000-0000-00004A030000}"/>
    <cellStyle name="20% - Accent3 7 3 2 6" xfId="857" xr:uid="{00000000-0005-0000-0000-00004B030000}"/>
    <cellStyle name="20% - Accent3 7 3 2 6 2" xfId="858" xr:uid="{00000000-0005-0000-0000-00004C030000}"/>
    <cellStyle name="20% - Accent3 7 3 2 6 3" xfId="859" xr:uid="{00000000-0005-0000-0000-00004D030000}"/>
    <cellStyle name="20% - Accent3 7 3 2 7" xfId="860" xr:uid="{00000000-0005-0000-0000-00004E030000}"/>
    <cellStyle name="20% - Accent3 7 3 2 7 2" xfId="861" xr:uid="{00000000-0005-0000-0000-00004F030000}"/>
    <cellStyle name="20% - Accent3 7 3 2 7 3" xfId="862" xr:uid="{00000000-0005-0000-0000-000050030000}"/>
    <cellStyle name="20% - Accent3 7 3 2 8" xfId="863" xr:uid="{00000000-0005-0000-0000-000051030000}"/>
    <cellStyle name="20% - Accent3 7 3 2 9" xfId="864" xr:uid="{00000000-0005-0000-0000-000052030000}"/>
    <cellStyle name="20% - Accent3 7 3 3" xfId="865" xr:uid="{00000000-0005-0000-0000-000053030000}"/>
    <cellStyle name="20% - Accent3 7 3 3 2" xfId="866" xr:uid="{00000000-0005-0000-0000-000054030000}"/>
    <cellStyle name="20% - Accent3 7 3 3 3" xfId="867" xr:uid="{00000000-0005-0000-0000-000055030000}"/>
    <cellStyle name="20% - Accent3 7 3 4" xfId="868" xr:uid="{00000000-0005-0000-0000-000056030000}"/>
    <cellStyle name="20% - Accent3 7 3 4 2" xfId="869" xr:uid="{00000000-0005-0000-0000-000057030000}"/>
    <cellStyle name="20% - Accent3 7 3 4 3" xfId="870" xr:uid="{00000000-0005-0000-0000-000058030000}"/>
    <cellStyle name="20% - Accent3 7 3 5" xfId="871" xr:uid="{00000000-0005-0000-0000-000059030000}"/>
    <cellStyle name="20% - Accent3 7 3 5 2" xfId="872" xr:uid="{00000000-0005-0000-0000-00005A030000}"/>
    <cellStyle name="20% - Accent3 7 3 5 3" xfId="873" xr:uid="{00000000-0005-0000-0000-00005B030000}"/>
    <cellStyle name="20% - Accent3 7 3 6" xfId="874" xr:uid="{00000000-0005-0000-0000-00005C030000}"/>
    <cellStyle name="20% - Accent3 7 3 6 2" xfId="875" xr:uid="{00000000-0005-0000-0000-00005D030000}"/>
    <cellStyle name="20% - Accent3 7 3 6 3" xfId="876" xr:uid="{00000000-0005-0000-0000-00005E030000}"/>
    <cellStyle name="20% - Accent3 7 3 7" xfId="877" xr:uid="{00000000-0005-0000-0000-00005F030000}"/>
    <cellStyle name="20% - Accent3 7 3 7 2" xfId="878" xr:uid="{00000000-0005-0000-0000-000060030000}"/>
    <cellStyle name="20% - Accent3 7 3 7 3" xfId="879" xr:uid="{00000000-0005-0000-0000-000061030000}"/>
    <cellStyle name="20% - Accent3 7 3 8" xfId="880" xr:uid="{00000000-0005-0000-0000-000062030000}"/>
    <cellStyle name="20% - Accent3 7 3 8 2" xfId="881" xr:uid="{00000000-0005-0000-0000-000063030000}"/>
    <cellStyle name="20% - Accent3 7 3 8 3" xfId="882" xr:uid="{00000000-0005-0000-0000-000064030000}"/>
    <cellStyle name="20% - Accent3 7 3 9" xfId="883" xr:uid="{00000000-0005-0000-0000-000065030000}"/>
    <cellStyle name="20% - Accent3 7 4" xfId="884" xr:uid="{00000000-0005-0000-0000-000066030000}"/>
    <cellStyle name="20% - Accent3 7 4 2" xfId="885" xr:uid="{00000000-0005-0000-0000-000067030000}"/>
    <cellStyle name="20% - Accent3 7 4 2 2" xfId="886" xr:uid="{00000000-0005-0000-0000-000068030000}"/>
    <cellStyle name="20% - Accent3 7 4 2 3" xfId="887" xr:uid="{00000000-0005-0000-0000-000069030000}"/>
    <cellStyle name="20% - Accent3 7 4 3" xfId="888" xr:uid="{00000000-0005-0000-0000-00006A030000}"/>
    <cellStyle name="20% - Accent3 7 4 3 2" xfId="889" xr:uid="{00000000-0005-0000-0000-00006B030000}"/>
    <cellStyle name="20% - Accent3 7 4 3 3" xfId="890" xr:uid="{00000000-0005-0000-0000-00006C030000}"/>
    <cellStyle name="20% - Accent3 7 4 4" xfId="891" xr:uid="{00000000-0005-0000-0000-00006D030000}"/>
    <cellStyle name="20% - Accent3 7 4 4 2" xfId="892" xr:uid="{00000000-0005-0000-0000-00006E030000}"/>
    <cellStyle name="20% - Accent3 7 4 4 3" xfId="893" xr:uid="{00000000-0005-0000-0000-00006F030000}"/>
    <cellStyle name="20% - Accent3 7 4 5" xfId="894" xr:uid="{00000000-0005-0000-0000-000070030000}"/>
    <cellStyle name="20% - Accent3 7 4 5 2" xfId="895" xr:uid="{00000000-0005-0000-0000-000071030000}"/>
    <cellStyle name="20% - Accent3 7 4 5 3" xfId="896" xr:uid="{00000000-0005-0000-0000-000072030000}"/>
    <cellStyle name="20% - Accent3 7 4 6" xfId="897" xr:uid="{00000000-0005-0000-0000-000073030000}"/>
    <cellStyle name="20% - Accent3 7 4 6 2" xfId="898" xr:uid="{00000000-0005-0000-0000-000074030000}"/>
    <cellStyle name="20% - Accent3 7 4 6 3" xfId="899" xr:uid="{00000000-0005-0000-0000-000075030000}"/>
    <cellStyle name="20% - Accent3 7 4 7" xfId="900" xr:uid="{00000000-0005-0000-0000-000076030000}"/>
    <cellStyle name="20% - Accent3 7 4 7 2" xfId="901" xr:uid="{00000000-0005-0000-0000-000077030000}"/>
    <cellStyle name="20% - Accent3 7 4 7 3" xfId="902" xr:uid="{00000000-0005-0000-0000-000078030000}"/>
    <cellStyle name="20% - Accent3 7 4 8" xfId="903" xr:uid="{00000000-0005-0000-0000-000079030000}"/>
    <cellStyle name="20% - Accent3 7 4 9" xfId="904" xr:uid="{00000000-0005-0000-0000-00007A030000}"/>
    <cellStyle name="20% - Accent3 7 5" xfId="905" xr:uid="{00000000-0005-0000-0000-00007B030000}"/>
    <cellStyle name="20% - Accent3 7 5 2" xfId="906" xr:uid="{00000000-0005-0000-0000-00007C030000}"/>
    <cellStyle name="20% - Accent3 7 5 3" xfId="907" xr:uid="{00000000-0005-0000-0000-00007D030000}"/>
    <cellStyle name="20% - Accent3 7 6" xfId="908" xr:uid="{00000000-0005-0000-0000-00007E030000}"/>
    <cellStyle name="20% - Accent3 7 6 2" xfId="909" xr:uid="{00000000-0005-0000-0000-00007F030000}"/>
    <cellStyle name="20% - Accent3 7 6 3" xfId="910" xr:uid="{00000000-0005-0000-0000-000080030000}"/>
    <cellStyle name="20% - Accent3 7 7" xfId="911" xr:uid="{00000000-0005-0000-0000-000081030000}"/>
    <cellStyle name="20% - Accent3 7 7 2" xfId="912" xr:uid="{00000000-0005-0000-0000-000082030000}"/>
    <cellStyle name="20% - Accent3 7 7 3" xfId="913" xr:uid="{00000000-0005-0000-0000-000083030000}"/>
    <cellStyle name="20% - Accent3 7 8" xfId="914" xr:uid="{00000000-0005-0000-0000-000084030000}"/>
    <cellStyle name="20% - Accent3 7 8 2" xfId="915" xr:uid="{00000000-0005-0000-0000-000085030000}"/>
    <cellStyle name="20% - Accent3 7 8 3" xfId="916" xr:uid="{00000000-0005-0000-0000-000086030000}"/>
    <cellStyle name="20% - Accent3 7 9" xfId="917" xr:uid="{00000000-0005-0000-0000-000087030000}"/>
    <cellStyle name="20% - Accent3 7 9 2" xfId="918" xr:uid="{00000000-0005-0000-0000-000088030000}"/>
    <cellStyle name="20% - Accent3 7 9 3" xfId="919" xr:uid="{00000000-0005-0000-0000-000089030000}"/>
    <cellStyle name="20% - Accent3 8" xfId="920" xr:uid="{00000000-0005-0000-0000-00008A030000}"/>
    <cellStyle name="20% - Accent3 8 2" xfId="921" xr:uid="{00000000-0005-0000-0000-00008B030000}"/>
    <cellStyle name="20% - Accent3 8 2 2" xfId="922" xr:uid="{00000000-0005-0000-0000-00008C030000}"/>
    <cellStyle name="20% - Accent3 8 2 3" xfId="923" xr:uid="{00000000-0005-0000-0000-00008D030000}"/>
    <cellStyle name="20% - Accent3 8 3" xfId="924" xr:uid="{00000000-0005-0000-0000-00008E030000}"/>
    <cellStyle name="20% - Accent3 8 3 2" xfId="925" xr:uid="{00000000-0005-0000-0000-00008F030000}"/>
    <cellStyle name="20% - Accent3 8 3 3" xfId="926" xr:uid="{00000000-0005-0000-0000-000090030000}"/>
    <cellStyle name="20% - Accent3 8 4" xfId="927" xr:uid="{00000000-0005-0000-0000-000091030000}"/>
    <cellStyle name="20% - Accent3 8 4 2" xfId="928" xr:uid="{00000000-0005-0000-0000-000092030000}"/>
    <cellStyle name="20% - Accent3 8 4 3" xfId="929" xr:uid="{00000000-0005-0000-0000-000093030000}"/>
    <cellStyle name="20% - Accent3 8 5" xfId="930" xr:uid="{00000000-0005-0000-0000-000094030000}"/>
    <cellStyle name="20% - Accent3 8 5 2" xfId="931" xr:uid="{00000000-0005-0000-0000-000095030000}"/>
    <cellStyle name="20% - Accent3 8 5 3" xfId="932" xr:uid="{00000000-0005-0000-0000-000096030000}"/>
    <cellStyle name="20% - Accent3 8 6" xfId="933" xr:uid="{00000000-0005-0000-0000-000097030000}"/>
    <cellStyle name="20% - Accent3 8 6 2" xfId="934" xr:uid="{00000000-0005-0000-0000-000098030000}"/>
    <cellStyle name="20% - Accent3 8 6 3" xfId="935" xr:uid="{00000000-0005-0000-0000-000099030000}"/>
    <cellStyle name="20% - Accent3 8 7" xfId="936" xr:uid="{00000000-0005-0000-0000-00009A030000}"/>
    <cellStyle name="20% - Accent3 8 7 2" xfId="937" xr:uid="{00000000-0005-0000-0000-00009B030000}"/>
    <cellStyle name="20% - Accent3 8 7 3" xfId="938" xr:uid="{00000000-0005-0000-0000-00009C030000}"/>
    <cellStyle name="20% - Accent3 8 8" xfId="939" xr:uid="{00000000-0005-0000-0000-00009D030000}"/>
    <cellStyle name="20% - Accent3 8 9" xfId="940" xr:uid="{00000000-0005-0000-0000-00009E030000}"/>
    <cellStyle name="20% - Accent3 9" xfId="941" xr:uid="{00000000-0005-0000-0000-00009F030000}"/>
    <cellStyle name="20% - Accent3 9 2" xfId="942" xr:uid="{00000000-0005-0000-0000-0000A0030000}"/>
    <cellStyle name="20% - Accent3 9 3" xfId="943" xr:uid="{00000000-0005-0000-0000-0000A1030000}"/>
    <cellStyle name="20% - Accent4 10" xfId="944" xr:uid="{00000000-0005-0000-0000-0000A2030000}"/>
    <cellStyle name="20% - Accent4 10 2" xfId="945" xr:uid="{00000000-0005-0000-0000-0000A3030000}"/>
    <cellStyle name="20% - Accent4 10 3" xfId="946" xr:uid="{00000000-0005-0000-0000-0000A4030000}"/>
    <cellStyle name="20% - Accent4 11" xfId="947" xr:uid="{00000000-0005-0000-0000-0000A5030000}"/>
    <cellStyle name="20% - Accent4 11 2" xfId="948" xr:uid="{00000000-0005-0000-0000-0000A6030000}"/>
    <cellStyle name="20% - Accent4 11 3" xfId="949" xr:uid="{00000000-0005-0000-0000-0000A7030000}"/>
    <cellStyle name="20% - Accent4 12" xfId="950" xr:uid="{00000000-0005-0000-0000-0000A8030000}"/>
    <cellStyle name="20% - Accent4 12 2" xfId="951" xr:uid="{00000000-0005-0000-0000-0000A9030000}"/>
    <cellStyle name="20% - Accent4 12 3" xfId="952" xr:uid="{00000000-0005-0000-0000-0000AA030000}"/>
    <cellStyle name="20% - Accent4 13" xfId="953" xr:uid="{00000000-0005-0000-0000-0000AB030000}"/>
    <cellStyle name="20% - Accent4 13 2" xfId="954" xr:uid="{00000000-0005-0000-0000-0000AC030000}"/>
    <cellStyle name="20% - Accent4 13 3" xfId="955" xr:uid="{00000000-0005-0000-0000-0000AD030000}"/>
    <cellStyle name="20% - Accent4 14" xfId="956" xr:uid="{00000000-0005-0000-0000-0000AE030000}"/>
    <cellStyle name="20% - Accent4 14 2" xfId="957" xr:uid="{00000000-0005-0000-0000-0000AF030000}"/>
    <cellStyle name="20% - Accent4 14 3" xfId="958" xr:uid="{00000000-0005-0000-0000-0000B0030000}"/>
    <cellStyle name="20% - Accent4 2" xfId="959" xr:uid="{00000000-0005-0000-0000-0000B1030000}"/>
    <cellStyle name="20% - Accent4 3" xfId="960" xr:uid="{00000000-0005-0000-0000-0000B2030000}"/>
    <cellStyle name="20% - Accent4 4" xfId="961" xr:uid="{00000000-0005-0000-0000-0000B3030000}"/>
    <cellStyle name="20% - Accent4 5" xfId="962" xr:uid="{00000000-0005-0000-0000-0000B4030000}"/>
    <cellStyle name="20% - Accent4 5 10" xfId="963" xr:uid="{00000000-0005-0000-0000-0000B5030000}"/>
    <cellStyle name="20% - Accent4 5 10 2" xfId="964" xr:uid="{00000000-0005-0000-0000-0000B6030000}"/>
    <cellStyle name="20% - Accent4 5 10 3" xfId="965" xr:uid="{00000000-0005-0000-0000-0000B7030000}"/>
    <cellStyle name="20% - Accent4 5 11" xfId="966" xr:uid="{00000000-0005-0000-0000-0000B8030000}"/>
    <cellStyle name="20% - Accent4 5 11 2" xfId="967" xr:uid="{00000000-0005-0000-0000-0000B9030000}"/>
    <cellStyle name="20% - Accent4 5 11 3" xfId="968" xr:uid="{00000000-0005-0000-0000-0000BA030000}"/>
    <cellStyle name="20% - Accent4 5 12" xfId="969" xr:uid="{00000000-0005-0000-0000-0000BB030000}"/>
    <cellStyle name="20% - Accent4 5 12 2" xfId="970" xr:uid="{00000000-0005-0000-0000-0000BC030000}"/>
    <cellStyle name="20% - Accent4 5 12 3" xfId="971" xr:uid="{00000000-0005-0000-0000-0000BD030000}"/>
    <cellStyle name="20% - Accent4 5 13" xfId="972" xr:uid="{00000000-0005-0000-0000-0000BE030000}"/>
    <cellStyle name="20% - Accent4 5 14" xfId="973" xr:uid="{00000000-0005-0000-0000-0000BF030000}"/>
    <cellStyle name="20% - Accent4 5 2" xfId="974" xr:uid="{00000000-0005-0000-0000-0000C0030000}"/>
    <cellStyle name="20% - Accent4 5 2 10" xfId="975" xr:uid="{00000000-0005-0000-0000-0000C1030000}"/>
    <cellStyle name="20% - Accent4 5 2 10 2" xfId="976" xr:uid="{00000000-0005-0000-0000-0000C2030000}"/>
    <cellStyle name="20% - Accent4 5 2 10 3" xfId="977" xr:uid="{00000000-0005-0000-0000-0000C3030000}"/>
    <cellStyle name="20% - Accent4 5 2 11" xfId="978" xr:uid="{00000000-0005-0000-0000-0000C4030000}"/>
    <cellStyle name="20% - Accent4 5 2 11 2" xfId="979" xr:uid="{00000000-0005-0000-0000-0000C5030000}"/>
    <cellStyle name="20% - Accent4 5 2 11 3" xfId="980" xr:uid="{00000000-0005-0000-0000-0000C6030000}"/>
    <cellStyle name="20% - Accent4 5 2 12" xfId="981" xr:uid="{00000000-0005-0000-0000-0000C7030000}"/>
    <cellStyle name="20% - Accent4 5 2 13" xfId="982" xr:uid="{00000000-0005-0000-0000-0000C8030000}"/>
    <cellStyle name="20% - Accent4 5 2 2" xfId="983" xr:uid="{00000000-0005-0000-0000-0000C9030000}"/>
    <cellStyle name="20% - Accent4 5 2 2 10" xfId="984" xr:uid="{00000000-0005-0000-0000-0000CA030000}"/>
    <cellStyle name="20% - Accent4 5 2 2 10 2" xfId="985" xr:uid="{00000000-0005-0000-0000-0000CB030000}"/>
    <cellStyle name="20% - Accent4 5 2 2 10 3" xfId="986" xr:uid="{00000000-0005-0000-0000-0000CC030000}"/>
    <cellStyle name="20% - Accent4 5 2 2 11" xfId="987" xr:uid="{00000000-0005-0000-0000-0000CD030000}"/>
    <cellStyle name="20% - Accent4 5 2 2 12" xfId="988" xr:uid="{00000000-0005-0000-0000-0000CE030000}"/>
    <cellStyle name="20% - Accent4 5 2 2 2" xfId="989" xr:uid="{00000000-0005-0000-0000-0000CF030000}"/>
    <cellStyle name="20% - Accent4 5 2 2 2 10" xfId="990" xr:uid="{00000000-0005-0000-0000-0000D0030000}"/>
    <cellStyle name="20% - Accent4 5 2 2 2 2" xfId="991" xr:uid="{00000000-0005-0000-0000-0000D1030000}"/>
    <cellStyle name="20% - Accent4 5 2 2 2 2 2" xfId="992" xr:uid="{00000000-0005-0000-0000-0000D2030000}"/>
    <cellStyle name="20% - Accent4 5 2 2 2 2 2 2" xfId="993" xr:uid="{00000000-0005-0000-0000-0000D3030000}"/>
    <cellStyle name="20% - Accent4 5 2 2 2 2 2 3" xfId="994" xr:uid="{00000000-0005-0000-0000-0000D4030000}"/>
    <cellStyle name="20% - Accent4 5 2 2 2 2 3" xfId="995" xr:uid="{00000000-0005-0000-0000-0000D5030000}"/>
    <cellStyle name="20% - Accent4 5 2 2 2 2 3 2" xfId="996" xr:uid="{00000000-0005-0000-0000-0000D6030000}"/>
    <cellStyle name="20% - Accent4 5 2 2 2 2 3 3" xfId="997" xr:uid="{00000000-0005-0000-0000-0000D7030000}"/>
    <cellStyle name="20% - Accent4 5 2 2 2 2 4" xfId="998" xr:uid="{00000000-0005-0000-0000-0000D8030000}"/>
    <cellStyle name="20% - Accent4 5 2 2 2 2 4 2" xfId="999" xr:uid="{00000000-0005-0000-0000-0000D9030000}"/>
    <cellStyle name="20% - Accent4 5 2 2 2 2 4 3" xfId="1000" xr:uid="{00000000-0005-0000-0000-0000DA030000}"/>
    <cellStyle name="20% - Accent4 5 2 2 2 2 5" xfId="1001" xr:uid="{00000000-0005-0000-0000-0000DB030000}"/>
    <cellStyle name="20% - Accent4 5 2 2 2 2 5 2" xfId="1002" xr:uid="{00000000-0005-0000-0000-0000DC030000}"/>
    <cellStyle name="20% - Accent4 5 2 2 2 2 5 3" xfId="1003" xr:uid="{00000000-0005-0000-0000-0000DD030000}"/>
    <cellStyle name="20% - Accent4 5 2 2 2 2 6" xfId="1004" xr:uid="{00000000-0005-0000-0000-0000DE030000}"/>
    <cellStyle name="20% - Accent4 5 2 2 2 2 6 2" xfId="1005" xr:uid="{00000000-0005-0000-0000-0000DF030000}"/>
    <cellStyle name="20% - Accent4 5 2 2 2 2 6 3" xfId="1006" xr:uid="{00000000-0005-0000-0000-0000E0030000}"/>
    <cellStyle name="20% - Accent4 5 2 2 2 2 7" xfId="1007" xr:uid="{00000000-0005-0000-0000-0000E1030000}"/>
    <cellStyle name="20% - Accent4 5 2 2 2 2 7 2" xfId="1008" xr:uid="{00000000-0005-0000-0000-0000E2030000}"/>
    <cellStyle name="20% - Accent4 5 2 2 2 2 7 3" xfId="1009" xr:uid="{00000000-0005-0000-0000-0000E3030000}"/>
    <cellStyle name="20% - Accent4 5 2 2 2 2 8" xfId="1010" xr:uid="{00000000-0005-0000-0000-0000E4030000}"/>
    <cellStyle name="20% - Accent4 5 2 2 2 2 9" xfId="1011" xr:uid="{00000000-0005-0000-0000-0000E5030000}"/>
    <cellStyle name="20% - Accent4 5 2 2 2 3" xfId="1012" xr:uid="{00000000-0005-0000-0000-0000E6030000}"/>
    <cellStyle name="20% - Accent4 5 2 2 2 3 2" xfId="1013" xr:uid="{00000000-0005-0000-0000-0000E7030000}"/>
    <cellStyle name="20% - Accent4 5 2 2 2 3 3" xfId="1014" xr:uid="{00000000-0005-0000-0000-0000E8030000}"/>
    <cellStyle name="20% - Accent4 5 2 2 2 4" xfId="1015" xr:uid="{00000000-0005-0000-0000-0000E9030000}"/>
    <cellStyle name="20% - Accent4 5 2 2 2 4 2" xfId="1016" xr:uid="{00000000-0005-0000-0000-0000EA030000}"/>
    <cellStyle name="20% - Accent4 5 2 2 2 4 3" xfId="1017" xr:uid="{00000000-0005-0000-0000-0000EB030000}"/>
    <cellStyle name="20% - Accent4 5 2 2 2 5" xfId="1018" xr:uid="{00000000-0005-0000-0000-0000EC030000}"/>
    <cellStyle name="20% - Accent4 5 2 2 2 5 2" xfId="1019" xr:uid="{00000000-0005-0000-0000-0000ED030000}"/>
    <cellStyle name="20% - Accent4 5 2 2 2 5 3" xfId="1020" xr:uid="{00000000-0005-0000-0000-0000EE030000}"/>
    <cellStyle name="20% - Accent4 5 2 2 2 6" xfId="1021" xr:uid="{00000000-0005-0000-0000-0000EF030000}"/>
    <cellStyle name="20% - Accent4 5 2 2 2 6 2" xfId="1022" xr:uid="{00000000-0005-0000-0000-0000F0030000}"/>
    <cellStyle name="20% - Accent4 5 2 2 2 6 3" xfId="1023" xr:uid="{00000000-0005-0000-0000-0000F1030000}"/>
    <cellStyle name="20% - Accent4 5 2 2 2 7" xfId="1024" xr:uid="{00000000-0005-0000-0000-0000F2030000}"/>
    <cellStyle name="20% - Accent4 5 2 2 2 7 2" xfId="1025" xr:uid="{00000000-0005-0000-0000-0000F3030000}"/>
    <cellStyle name="20% - Accent4 5 2 2 2 7 3" xfId="1026" xr:uid="{00000000-0005-0000-0000-0000F4030000}"/>
    <cellStyle name="20% - Accent4 5 2 2 2 8" xfId="1027" xr:uid="{00000000-0005-0000-0000-0000F5030000}"/>
    <cellStyle name="20% - Accent4 5 2 2 2 8 2" xfId="1028" xr:uid="{00000000-0005-0000-0000-0000F6030000}"/>
    <cellStyle name="20% - Accent4 5 2 2 2 8 3" xfId="1029" xr:uid="{00000000-0005-0000-0000-0000F7030000}"/>
    <cellStyle name="20% - Accent4 5 2 2 2 9" xfId="1030" xr:uid="{00000000-0005-0000-0000-0000F8030000}"/>
    <cellStyle name="20% - Accent4 5 2 2 3" xfId="1031" xr:uid="{00000000-0005-0000-0000-0000F9030000}"/>
    <cellStyle name="20% - Accent4 5 2 2 3 10" xfId="1032" xr:uid="{00000000-0005-0000-0000-0000FA030000}"/>
    <cellStyle name="20% - Accent4 5 2 2 3 2" xfId="1033" xr:uid="{00000000-0005-0000-0000-0000FB030000}"/>
    <cellStyle name="20% - Accent4 5 2 2 3 2 2" xfId="1034" xr:uid="{00000000-0005-0000-0000-0000FC030000}"/>
    <cellStyle name="20% - Accent4 5 2 2 3 2 2 2" xfId="1035" xr:uid="{00000000-0005-0000-0000-0000FD030000}"/>
    <cellStyle name="20% - Accent4 5 2 2 3 2 2 3" xfId="1036" xr:uid="{00000000-0005-0000-0000-0000FE030000}"/>
    <cellStyle name="20% - Accent4 5 2 2 3 2 3" xfId="1037" xr:uid="{00000000-0005-0000-0000-0000FF030000}"/>
    <cellStyle name="20% - Accent4 5 2 2 3 2 3 2" xfId="1038" xr:uid="{00000000-0005-0000-0000-000000040000}"/>
    <cellStyle name="20% - Accent4 5 2 2 3 2 3 3" xfId="1039" xr:uid="{00000000-0005-0000-0000-000001040000}"/>
    <cellStyle name="20% - Accent4 5 2 2 3 2 4" xfId="1040" xr:uid="{00000000-0005-0000-0000-000002040000}"/>
    <cellStyle name="20% - Accent4 5 2 2 3 2 4 2" xfId="1041" xr:uid="{00000000-0005-0000-0000-000003040000}"/>
    <cellStyle name="20% - Accent4 5 2 2 3 2 4 3" xfId="1042" xr:uid="{00000000-0005-0000-0000-000004040000}"/>
    <cellStyle name="20% - Accent4 5 2 2 3 2 5" xfId="1043" xr:uid="{00000000-0005-0000-0000-000005040000}"/>
    <cellStyle name="20% - Accent4 5 2 2 3 2 5 2" xfId="1044" xr:uid="{00000000-0005-0000-0000-000006040000}"/>
    <cellStyle name="20% - Accent4 5 2 2 3 2 5 3" xfId="1045" xr:uid="{00000000-0005-0000-0000-000007040000}"/>
    <cellStyle name="20% - Accent4 5 2 2 3 2 6" xfId="1046" xr:uid="{00000000-0005-0000-0000-000008040000}"/>
    <cellStyle name="20% - Accent4 5 2 2 3 2 6 2" xfId="1047" xr:uid="{00000000-0005-0000-0000-000009040000}"/>
    <cellStyle name="20% - Accent4 5 2 2 3 2 6 3" xfId="1048" xr:uid="{00000000-0005-0000-0000-00000A040000}"/>
    <cellStyle name="20% - Accent4 5 2 2 3 2 7" xfId="1049" xr:uid="{00000000-0005-0000-0000-00000B040000}"/>
    <cellStyle name="20% - Accent4 5 2 2 3 2 7 2" xfId="1050" xr:uid="{00000000-0005-0000-0000-00000C040000}"/>
    <cellStyle name="20% - Accent4 5 2 2 3 2 7 3" xfId="1051" xr:uid="{00000000-0005-0000-0000-00000D040000}"/>
    <cellStyle name="20% - Accent4 5 2 2 3 2 8" xfId="1052" xr:uid="{00000000-0005-0000-0000-00000E040000}"/>
    <cellStyle name="20% - Accent4 5 2 2 3 2 9" xfId="1053" xr:uid="{00000000-0005-0000-0000-00000F040000}"/>
    <cellStyle name="20% - Accent4 5 2 2 3 3" xfId="1054" xr:uid="{00000000-0005-0000-0000-000010040000}"/>
    <cellStyle name="20% - Accent4 5 2 2 3 3 2" xfId="1055" xr:uid="{00000000-0005-0000-0000-000011040000}"/>
    <cellStyle name="20% - Accent4 5 2 2 3 3 3" xfId="1056" xr:uid="{00000000-0005-0000-0000-000012040000}"/>
    <cellStyle name="20% - Accent4 5 2 2 3 4" xfId="1057" xr:uid="{00000000-0005-0000-0000-000013040000}"/>
    <cellStyle name="20% - Accent4 5 2 2 3 4 2" xfId="1058" xr:uid="{00000000-0005-0000-0000-000014040000}"/>
    <cellStyle name="20% - Accent4 5 2 2 3 4 3" xfId="1059" xr:uid="{00000000-0005-0000-0000-000015040000}"/>
    <cellStyle name="20% - Accent4 5 2 2 3 5" xfId="1060" xr:uid="{00000000-0005-0000-0000-000016040000}"/>
    <cellStyle name="20% - Accent4 5 2 2 3 5 2" xfId="1061" xr:uid="{00000000-0005-0000-0000-000017040000}"/>
    <cellStyle name="20% - Accent4 5 2 2 3 5 3" xfId="1062" xr:uid="{00000000-0005-0000-0000-000018040000}"/>
    <cellStyle name="20% - Accent4 5 2 2 3 6" xfId="1063" xr:uid="{00000000-0005-0000-0000-000019040000}"/>
    <cellStyle name="20% - Accent4 5 2 2 3 6 2" xfId="1064" xr:uid="{00000000-0005-0000-0000-00001A040000}"/>
    <cellStyle name="20% - Accent4 5 2 2 3 6 3" xfId="1065" xr:uid="{00000000-0005-0000-0000-00001B040000}"/>
    <cellStyle name="20% - Accent4 5 2 2 3 7" xfId="1066" xr:uid="{00000000-0005-0000-0000-00001C040000}"/>
    <cellStyle name="20% - Accent4 5 2 2 3 7 2" xfId="1067" xr:uid="{00000000-0005-0000-0000-00001D040000}"/>
    <cellStyle name="20% - Accent4 5 2 2 3 7 3" xfId="1068" xr:uid="{00000000-0005-0000-0000-00001E040000}"/>
    <cellStyle name="20% - Accent4 5 2 2 3 8" xfId="1069" xr:uid="{00000000-0005-0000-0000-00001F040000}"/>
    <cellStyle name="20% - Accent4 5 2 2 3 8 2" xfId="1070" xr:uid="{00000000-0005-0000-0000-000020040000}"/>
    <cellStyle name="20% - Accent4 5 2 2 3 8 3" xfId="1071" xr:uid="{00000000-0005-0000-0000-000021040000}"/>
    <cellStyle name="20% - Accent4 5 2 2 3 9" xfId="1072" xr:uid="{00000000-0005-0000-0000-000022040000}"/>
    <cellStyle name="20% - Accent4 5 2 2 4" xfId="1073" xr:uid="{00000000-0005-0000-0000-000023040000}"/>
    <cellStyle name="20% - Accent4 5 2 2 4 2" xfId="1074" xr:uid="{00000000-0005-0000-0000-000024040000}"/>
    <cellStyle name="20% - Accent4 5 2 2 4 2 2" xfId="1075" xr:uid="{00000000-0005-0000-0000-000025040000}"/>
    <cellStyle name="20% - Accent4 5 2 2 4 2 3" xfId="1076" xr:uid="{00000000-0005-0000-0000-000026040000}"/>
    <cellStyle name="20% - Accent4 5 2 2 4 3" xfId="1077" xr:uid="{00000000-0005-0000-0000-000027040000}"/>
    <cellStyle name="20% - Accent4 5 2 2 4 3 2" xfId="1078" xr:uid="{00000000-0005-0000-0000-000028040000}"/>
    <cellStyle name="20% - Accent4 5 2 2 4 3 3" xfId="1079" xr:uid="{00000000-0005-0000-0000-000029040000}"/>
    <cellStyle name="20% - Accent4 5 2 2 4 4" xfId="1080" xr:uid="{00000000-0005-0000-0000-00002A040000}"/>
    <cellStyle name="20% - Accent4 5 2 2 4 4 2" xfId="1081" xr:uid="{00000000-0005-0000-0000-00002B040000}"/>
    <cellStyle name="20% - Accent4 5 2 2 4 4 3" xfId="1082" xr:uid="{00000000-0005-0000-0000-00002C040000}"/>
    <cellStyle name="20% - Accent4 5 2 2 4 5" xfId="1083" xr:uid="{00000000-0005-0000-0000-00002D040000}"/>
    <cellStyle name="20% - Accent4 5 2 2 4 5 2" xfId="1084" xr:uid="{00000000-0005-0000-0000-00002E040000}"/>
    <cellStyle name="20% - Accent4 5 2 2 4 5 3" xfId="1085" xr:uid="{00000000-0005-0000-0000-00002F040000}"/>
    <cellStyle name="20% - Accent4 5 2 2 4 6" xfId="1086" xr:uid="{00000000-0005-0000-0000-000030040000}"/>
    <cellStyle name="20% - Accent4 5 2 2 4 6 2" xfId="1087" xr:uid="{00000000-0005-0000-0000-000031040000}"/>
    <cellStyle name="20% - Accent4 5 2 2 4 6 3" xfId="1088" xr:uid="{00000000-0005-0000-0000-000032040000}"/>
    <cellStyle name="20% - Accent4 5 2 2 4 7" xfId="1089" xr:uid="{00000000-0005-0000-0000-000033040000}"/>
    <cellStyle name="20% - Accent4 5 2 2 4 7 2" xfId="1090" xr:uid="{00000000-0005-0000-0000-000034040000}"/>
    <cellStyle name="20% - Accent4 5 2 2 4 7 3" xfId="1091" xr:uid="{00000000-0005-0000-0000-000035040000}"/>
    <cellStyle name="20% - Accent4 5 2 2 4 8" xfId="1092" xr:uid="{00000000-0005-0000-0000-000036040000}"/>
    <cellStyle name="20% - Accent4 5 2 2 4 9" xfId="1093" xr:uid="{00000000-0005-0000-0000-000037040000}"/>
    <cellStyle name="20% - Accent4 5 2 2 5" xfId="1094" xr:uid="{00000000-0005-0000-0000-000038040000}"/>
    <cellStyle name="20% - Accent4 5 2 2 5 2" xfId="1095" xr:uid="{00000000-0005-0000-0000-000039040000}"/>
    <cellStyle name="20% - Accent4 5 2 2 5 3" xfId="1096" xr:uid="{00000000-0005-0000-0000-00003A040000}"/>
    <cellStyle name="20% - Accent4 5 2 2 6" xfId="1097" xr:uid="{00000000-0005-0000-0000-00003B040000}"/>
    <cellStyle name="20% - Accent4 5 2 2 6 2" xfId="1098" xr:uid="{00000000-0005-0000-0000-00003C040000}"/>
    <cellStyle name="20% - Accent4 5 2 2 6 3" xfId="1099" xr:uid="{00000000-0005-0000-0000-00003D040000}"/>
    <cellStyle name="20% - Accent4 5 2 2 7" xfId="1100" xr:uid="{00000000-0005-0000-0000-00003E040000}"/>
    <cellStyle name="20% - Accent4 5 2 2 7 2" xfId="1101" xr:uid="{00000000-0005-0000-0000-00003F040000}"/>
    <cellStyle name="20% - Accent4 5 2 2 7 3" xfId="1102" xr:uid="{00000000-0005-0000-0000-000040040000}"/>
    <cellStyle name="20% - Accent4 5 2 2 8" xfId="1103" xr:uid="{00000000-0005-0000-0000-000041040000}"/>
    <cellStyle name="20% - Accent4 5 2 2 8 2" xfId="1104" xr:uid="{00000000-0005-0000-0000-000042040000}"/>
    <cellStyle name="20% - Accent4 5 2 2 8 3" xfId="1105" xr:uid="{00000000-0005-0000-0000-000043040000}"/>
    <cellStyle name="20% - Accent4 5 2 2 9" xfId="1106" xr:uid="{00000000-0005-0000-0000-000044040000}"/>
    <cellStyle name="20% - Accent4 5 2 2 9 2" xfId="1107" xr:uid="{00000000-0005-0000-0000-000045040000}"/>
    <cellStyle name="20% - Accent4 5 2 2 9 3" xfId="1108" xr:uid="{00000000-0005-0000-0000-000046040000}"/>
    <cellStyle name="20% - Accent4 5 2 3" xfId="1109" xr:uid="{00000000-0005-0000-0000-000047040000}"/>
    <cellStyle name="20% - Accent4 5 2 3 10" xfId="1110" xr:uid="{00000000-0005-0000-0000-000048040000}"/>
    <cellStyle name="20% - Accent4 5 2 3 2" xfId="1111" xr:uid="{00000000-0005-0000-0000-000049040000}"/>
    <cellStyle name="20% - Accent4 5 2 3 2 2" xfId="1112" xr:uid="{00000000-0005-0000-0000-00004A040000}"/>
    <cellStyle name="20% - Accent4 5 2 3 2 2 2" xfId="1113" xr:uid="{00000000-0005-0000-0000-00004B040000}"/>
    <cellStyle name="20% - Accent4 5 2 3 2 2 3" xfId="1114" xr:uid="{00000000-0005-0000-0000-00004C040000}"/>
    <cellStyle name="20% - Accent4 5 2 3 2 3" xfId="1115" xr:uid="{00000000-0005-0000-0000-00004D040000}"/>
    <cellStyle name="20% - Accent4 5 2 3 2 3 2" xfId="1116" xr:uid="{00000000-0005-0000-0000-00004E040000}"/>
    <cellStyle name="20% - Accent4 5 2 3 2 3 3" xfId="1117" xr:uid="{00000000-0005-0000-0000-00004F040000}"/>
    <cellStyle name="20% - Accent4 5 2 3 2 4" xfId="1118" xr:uid="{00000000-0005-0000-0000-000050040000}"/>
    <cellStyle name="20% - Accent4 5 2 3 2 4 2" xfId="1119" xr:uid="{00000000-0005-0000-0000-000051040000}"/>
    <cellStyle name="20% - Accent4 5 2 3 2 4 3" xfId="1120" xr:uid="{00000000-0005-0000-0000-000052040000}"/>
    <cellStyle name="20% - Accent4 5 2 3 2 5" xfId="1121" xr:uid="{00000000-0005-0000-0000-000053040000}"/>
    <cellStyle name="20% - Accent4 5 2 3 2 5 2" xfId="1122" xr:uid="{00000000-0005-0000-0000-000054040000}"/>
    <cellStyle name="20% - Accent4 5 2 3 2 5 3" xfId="1123" xr:uid="{00000000-0005-0000-0000-000055040000}"/>
    <cellStyle name="20% - Accent4 5 2 3 2 6" xfId="1124" xr:uid="{00000000-0005-0000-0000-000056040000}"/>
    <cellStyle name="20% - Accent4 5 2 3 2 6 2" xfId="1125" xr:uid="{00000000-0005-0000-0000-000057040000}"/>
    <cellStyle name="20% - Accent4 5 2 3 2 6 3" xfId="1126" xr:uid="{00000000-0005-0000-0000-000058040000}"/>
    <cellStyle name="20% - Accent4 5 2 3 2 7" xfId="1127" xr:uid="{00000000-0005-0000-0000-000059040000}"/>
    <cellStyle name="20% - Accent4 5 2 3 2 7 2" xfId="1128" xr:uid="{00000000-0005-0000-0000-00005A040000}"/>
    <cellStyle name="20% - Accent4 5 2 3 2 7 3" xfId="1129" xr:uid="{00000000-0005-0000-0000-00005B040000}"/>
    <cellStyle name="20% - Accent4 5 2 3 2 8" xfId="1130" xr:uid="{00000000-0005-0000-0000-00005C040000}"/>
    <cellStyle name="20% - Accent4 5 2 3 2 9" xfId="1131" xr:uid="{00000000-0005-0000-0000-00005D040000}"/>
    <cellStyle name="20% - Accent4 5 2 3 3" xfId="1132" xr:uid="{00000000-0005-0000-0000-00005E040000}"/>
    <cellStyle name="20% - Accent4 5 2 3 3 2" xfId="1133" xr:uid="{00000000-0005-0000-0000-00005F040000}"/>
    <cellStyle name="20% - Accent4 5 2 3 3 3" xfId="1134" xr:uid="{00000000-0005-0000-0000-000060040000}"/>
    <cellStyle name="20% - Accent4 5 2 3 4" xfId="1135" xr:uid="{00000000-0005-0000-0000-000061040000}"/>
    <cellStyle name="20% - Accent4 5 2 3 4 2" xfId="1136" xr:uid="{00000000-0005-0000-0000-000062040000}"/>
    <cellStyle name="20% - Accent4 5 2 3 4 3" xfId="1137" xr:uid="{00000000-0005-0000-0000-000063040000}"/>
    <cellStyle name="20% - Accent4 5 2 3 5" xfId="1138" xr:uid="{00000000-0005-0000-0000-000064040000}"/>
    <cellStyle name="20% - Accent4 5 2 3 5 2" xfId="1139" xr:uid="{00000000-0005-0000-0000-000065040000}"/>
    <cellStyle name="20% - Accent4 5 2 3 5 3" xfId="1140" xr:uid="{00000000-0005-0000-0000-000066040000}"/>
    <cellStyle name="20% - Accent4 5 2 3 6" xfId="1141" xr:uid="{00000000-0005-0000-0000-000067040000}"/>
    <cellStyle name="20% - Accent4 5 2 3 6 2" xfId="1142" xr:uid="{00000000-0005-0000-0000-000068040000}"/>
    <cellStyle name="20% - Accent4 5 2 3 6 3" xfId="1143" xr:uid="{00000000-0005-0000-0000-000069040000}"/>
    <cellStyle name="20% - Accent4 5 2 3 7" xfId="1144" xr:uid="{00000000-0005-0000-0000-00006A040000}"/>
    <cellStyle name="20% - Accent4 5 2 3 7 2" xfId="1145" xr:uid="{00000000-0005-0000-0000-00006B040000}"/>
    <cellStyle name="20% - Accent4 5 2 3 7 3" xfId="1146" xr:uid="{00000000-0005-0000-0000-00006C040000}"/>
    <cellStyle name="20% - Accent4 5 2 3 8" xfId="1147" xr:uid="{00000000-0005-0000-0000-00006D040000}"/>
    <cellStyle name="20% - Accent4 5 2 3 8 2" xfId="1148" xr:uid="{00000000-0005-0000-0000-00006E040000}"/>
    <cellStyle name="20% - Accent4 5 2 3 8 3" xfId="1149" xr:uid="{00000000-0005-0000-0000-00006F040000}"/>
    <cellStyle name="20% - Accent4 5 2 3 9" xfId="1150" xr:uid="{00000000-0005-0000-0000-000070040000}"/>
    <cellStyle name="20% - Accent4 5 2 4" xfId="1151" xr:uid="{00000000-0005-0000-0000-000071040000}"/>
    <cellStyle name="20% - Accent4 5 2 4 10" xfId="1152" xr:uid="{00000000-0005-0000-0000-000072040000}"/>
    <cellStyle name="20% - Accent4 5 2 4 2" xfId="1153" xr:uid="{00000000-0005-0000-0000-000073040000}"/>
    <cellStyle name="20% - Accent4 5 2 4 2 2" xfId="1154" xr:uid="{00000000-0005-0000-0000-000074040000}"/>
    <cellStyle name="20% - Accent4 5 2 4 2 2 2" xfId="1155" xr:uid="{00000000-0005-0000-0000-000075040000}"/>
    <cellStyle name="20% - Accent4 5 2 4 2 2 3" xfId="1156" xr:uid="{00000000-0005-0000-0000-000076040000}"/>
    <cellStyle name="20% - Accent4 5 2 4 2 3" xfId="1157" xr:uid="{00000000-0005-0000-0000-000077040000}"/>
    <cellStyle name="20% - Accent4 5 2 4 2 3 2" xfId="1158" xr:uid="{00000000-0005-0000-0000-000078040000}"/>
    <cellStyle name="20% - Accent4 5 2 4 2 3 3" xfId="1159" xr:uid="{00000000-0005-0000-0000-000079040000}"/>
    <cellStyle name="20% - Accent4 5 2 4 2 4" xfId="1160" xr:uid="{00000000-0005-0000-0000-00007A040000}"/>
    <cellStyle name="20% - Accent4 5 2 4 2 4 2" xfId="1161" xr:uid="{00000000-0005-0000-0000-00007B040000}"/>
    <cellStyle name="20% - Accent4 5 2 4 2 4 3" xfId="1162" xr:uid="{00000000-0005-0000-0000-00007C040000}"/>
    <cellStyle name="20% - Accent4 5 2 4 2 5" xfId="1163" xr:uid="{00000000-0005-0000-0000-00007D040000}"/>
    <cellStyle name="20% - Accent4 5 2 4 2 5 2" xfId="1164" xr:uid="{00000000-0005-0000-0000-00007E040000}"/>
    <cellStyle name="20% - Accent4 5 2 4 2 5 3" xfId="1165" xr:uid="{00000000-0005-0000-0000-00007F040000}"/>
    <cellStyle name="20% - Accent4 5 2 4 2 6" xfId="1166" xr:uid="{00000000-0005-0000-0000-000080040000}"/>
    <cellStyle name="20% - Accent4 5 2 4 2 6 2" xfId="1167" xr:uid="{00000000-0005-0000-0000-000081040000}"/>
    <cellStyle name="20% - Accent4 5 2 4 2 6 3" xfId="1168" xr:uid="{00000000-0005-0000-0000-000082040000}"/>
    <cellStyle name="20% - Accent4 5 2 4 2 7" xfId="1169" xr:uid="{00000000-0005-0000-0000-000083040000}"/>
    <cellStyle name="20% - Accent4 5 2 4 2 7 2" xfId="1170" xr:uid="{00000000-0005-0000-0000-000084040000}"/>
    <cellStyle name="20% - Accent4 5 2 4 2 7 3" xfId="1171" xr:uid="{00000000-0005-0000-0000-000085040000}"/>
    <cellStyle name="20% - Accent4 5 2 4 2 8" xfId="1172" xr:uid="{00000000-0005-0000-0000-000086040000}"/>
    <cellStyle name="20% - Accent4 5 2 4 2 9" xfId="1173" xr:uid="{00000000-0005-0000-0000-000087040000}"/>
    <cellStyle name="20% - Accent4 5 2 4 3" xfId="1174" xr:uid="{00000000-0005-0000-0000-000088040000}"/>
    <cellStyle name="20% - Accent4 5 2 4 3 2" xfId="1175" xr:uid="{00000000-0005-0000-0000-000089040000}"/>
    <cellStyle name="20% - Accent4 5 2 4 3 3" xfId="1176" xr:uid="{00000000-0005-0000-0000-00008A040000}"/>
    <cellStyle name="20% - Accent4 5 2 4 4" xfId="1177" xr:uid="{00000000-0005-0000-0000-00008B040000}"/>
    <cellStyle name="20% - Accent4 5 2 4 4 2" xfId="1178" xr:uid="{00000000-0005-0000-0000-00008C040000}"/>
    <cellStyle name="20% - Accent4 5 2 4 4 3" xfId="1179" xr:uid="{00000000-0005-0000-0000-00008D040000}"/>
    <cellStyle name="20% - Accent4 5 2 4 5" xfId="1180" xr:uid="{00000000-0005-0000-0000-00008E040000}"/>
    <cellStyle name="20% - Accent4 5 2 4 5 2" xfId="1181" xr:uid="{00000000-0005-0000-0000-00008F040000}"/>
    <cellStyle name="20% - Accent4 5 2 4 5 3" xfId="1182" xr:uid="{00000000-0005-0000-0000-000090040000}"/>
    <cellStyle name="20% - Accent4 5 2 4 6" xfId="1183" xr:uid="{00000000-0005-0000-0000-000091040000}"/>
    <cellStyle name="20% - Accent4 5 2 4 6 2" xfId="1184" xr:uid="{00000000-0005-0000-0000-000092040000}"/>
    <cellStyle name="20% - Accent4 5 2 4 6 3" xfId="1185" xr:uid="{00000000-0005-0000-0000-000093040000}"/>
    <cellStyle name="20% - Accent4 5 2 4 7" xfId="1186" xr:uid="{00000000-0005-0000-0000-000094040000}"/>
    <cellStyle name="20% - Accent4 5 2 4 7 2" xfId="1187" xr:uid="{00000000-0005-0000-0000-000095040000}"/>
    <cellStyle name="20% - Accent4 5 2 4 7 3" xfId="1188" xr:uid="{00000000-0005-0000-0000-000096040000}"/>
    <cellStyle name="20% - Accent4 5 2 4 8" xfId="1189" xr:uid="{00000000-0005-0000-0000-000097040000}"/>
    <cellStyle name="20% - Accent4 5 2 4 8 2" xfId="1190" xr:uid="{00000000-0005-0000-0000-000098040000}"/>
    <cellStyle name="20% - Accent4 5 2 4 8 3" xfId="1191" xr:uid="{00000000-0005-0000-0000-000099040000}"/>
    <cellStyle name="20% - Accent4 5 2 4 9" xfId="1192" xr:uid="{00000000-0005-0000-0000-00009A040000}"/>
    <cellStyle name="20% - Accent4 5 2 5" xfId="1193" xr:uid="{00000000-0005-0000-0000-00009B040000}"/>
    <cellStyle name="20% - Accent4 5 2 5 2" xfId="1194" xr:uid="{00000000-0005-0000-0000-00009C040000}"/>
    <cellStyle name="20% - Accent4 5 2 5 2 2" xfId="1195" xr:uid="{00000000-0005-0000-0000-00009D040000}"/>
    <cellStyle name="20% - Accent4 5 2 5 2 3" xfId="1196" xr:uid="{00000000-0005-0000-0000-00009E040000}"/>
    <cellStyle name="20% - Accent4 5 2 5 3" xfId="1197" xr:uid="{00000000-0005-0000-0000-00009F040000}"/>
    <cellStyle name="20% - Accent4 5 2 5 3 2" xfId="1198" xr:uid="{00000000-0005-0000-0000-0000A0040000}"/>
    <cellStyle name="20% - Accent4 5 2 5 3 3" xfId="1199" xr:uid="{00000000-0005-0000-0000-0000A1040000}"/>
    <cellStyle name="20% - Accent4 5 2 5 4" xfId="1200" xr:uid="{00000000-0005-0000-0000-0000A2040000}"/>
    <cellStyle name="20% - Accent4 5 2 5 4 2" xfId="1201" xr:uid="{00000000-0005-0000-0000-0000A3040000}"/>
    <cellStyle name="20% - Accent4 5 2 5 4 3" xfId="1202" xr:uid="{00000000-0005-0000-0000-0000A4040000}"/>
    <cellStyle name="20% - Accent4 5 2 5 5" xfId="1203" xr:uid="{00000000-0005-0000-0000-0000A5040000}"/>
    <cellStyle name="20% - Accent4 5 2 5 5 2" xfId="1204" xr:uid="{00000000-0005-0000-0000-0000A6040000}"/>
    <cellStyle name="20% - Accent4 5 2 5 5 3" xfId="1205" xr:uid="{00000000-0005-0000-0000-0000A7040000}"/>
    <cellStyle name="20% - Accent4 5 2 5 6" xfId="1206" xr:uid="{00000000-0005-0000-0000-0000A8040000}"/>
    <cellStyle name="20% - Accent4 5 2 5 6 2" xfId="1207" xr:uid="{00000000-0005-0000-0000-0000A9040000}"/>
    <cellStyle name="20% - Accent4 5 2 5 6 3" xfId="1208" xr:uid="{00000000-0005-0000-0000-0000AA040000}"/>
    <cellStyle name="20% - Accent4 5 2 5 7" xfId="1209" xr:uid="{00000000-0005-0000-0000-0000AB040000}"/>
    <cellStyle name="20% - Accent4 5 2 5 7 2" xfId="1210" xr:uid="{00000000-0005-0000-0000-0000AC040000}"/>
    <cellStyle name="20% - Accent4 5 2 5 7 3" xfId="1211" xr:uid="{00000000-0005-0000-0000-0000AD040000}"/>
    <cellStyle name="20% - Accent4 5 2 5 8" xfId="1212" xr:uid="{00000000-0005-0000-0000-0000AE040000}"/>
    <cellStyle name="20% - Accent4 5 2 5 9" xfId="1213" xr:uid="{00000000-0005-0000-0000-0000AF040000}"/>
    <cellStyle name="20% - Accent4 5 2 6" xfId="1214" xr:uid="{00000000-0005-0000-0000-0000B0040000}"/>
    <cellStyle name="20% - Accent4 5 2 6 2" xfId="1215" xr:uid="{00000000-0005-0000-0000-0000B1040000}"/>
    <cellStyle name="20% - Accent4 5 2 6 3" xfId="1216" xr:uid="{00000000-0005-0000-0000-0000B2040000}"/>
    <cellStyle name="20% - Accent4 5 2 7" xfId="1217" xr:uid="{00000000-0005-0000-0000-0000B3040000}"/>
    <cellStyle name="20% - Accent4 5 2 7 2" xfId="1218" xr:uid="{00000000-0005-0000-0000-0000B4040000}"/>
    <cellStyle name="20% - Accent4 5 2 7 3" xfId="1219" xr:uid="{00000000-0005-0000-0000-0000B5040000}"/>
    <cellStyle name="20% - Accent4 5 2 8" xfId="1220" xr:uid="{00000000-0005-0000-0000-0000B6040000}"/>
    <cellStyle name="20% - Accent4 5 2 8 2" xfId="1221" xr:uid="{00000000-0005-0000-0000-0000B7040000}"/>
    <cellStyle name="20% - Accent4 5 2 8 3" xfId="1222" xr:uid="{00000000-0005-0000-0000-0000B8040000}"/>
    <cellStyle name="20% - Accent4 5 2 9" xfId="1223" xr:uid="{00000000-0005-0000-0000-0000B9040000}"/>
    <cellStyle name="20% - Accent4 5 2 9 2" xfId="1224" xr:uid="{00000000-0005-0000-0000-0000BA040000}"/>
    <cellStyle name="20% - Accent4 5 2 9 3" xfId="1225" xr:uid="{00000000-0005-0000-0000-0000BB040000}"/>
    <cellStyle name="20% - Accent4 5 3" xfId="1226" xr:uid="{00000000-0005-0000-0000-0000BC040000}"/>
    <cellStyle name="20% - Accent4 5 3 10" xfId="1227" xr:uid="{00000000-0005-0000-0000-0000BD040000}"/>
    <cellStyle name="20% - Accent4 5 3 10 2" xfId="1228" xr:uid="{00000000-0005-0000-0000-0000BE040000}"/>
    <cellStyle name="20% - Accent4 5 3 10 3" xfId="1229" xr:uid="{00000000-0005-0000-0000-0000BF040000}"/>
    <cellStyle name="20% - Accent4 5 3 11" xfId="1230" xr:uid="{00000000-0005-0000-0000-0000C0040000}"/>
    <cellStyle name="20% - Accent4 5 3 12" xfId="1231" xr:uid="{00000000-0005-0000-0000-0000C1040000}"/>
    <cellStyle name="20% - Accent4 5 3 2" xfId="1232" xr:uid="{00000000-0005-0000-0000-0000C2040000}"/>
    <cellStyle name="20% - Accent4 5 3 2 10" xfId="1233" xr:uid="{00000000-0005-0000-0000-0000C3040000}"/>
    <cellStyle name="20% - Accent4 5 3 2 2" xfId="1234" xr:uid="{00000000-0005-0000-0000-0000C4040000}"/>
    <cellStyle name="20% - Accent4 5 3 2 2 2" xfId="1235" xr:uid="{00000000-0005-0000-0000-0000C5040000}"/>
    <cellStyle name="20% - Accent4 5 3 2 2 2 2" xfId="1236" xr:uid="{00000000-0005-0000-0000-0000C6040000}"/>
    <cellStyle name="20% - Accent4 5 3 2 2 2 3" xfId="1237" xr:uid="{00000000-0005-0000-0000-0000C7040000}"/>
    <cellStyle name="20% - Accent4 5 3 2 2 3" xfId="1238" xr:uid="{00000000-0005-0000-0000-0000C8040000}"/>
    <cellStyle name="20% - Accent4 5 3 2 2 3 2" xfId="1239" xr:uid="{00000000-0005-0000-0000-0000C9040000}"/>
    <cellStyle name="20% - Accent4 5 3 2 2 3 3" xfId="1240" xr:uid="{00000000-0005-0000-0000-0000CA040000}"/>
    <cellStyle name="20% - Accent4 5 3 2 2 4" xfId="1241" xr:uid="{00000000-0005-0000-0000-0000CB040000}"/>
    <cellStyle name="20% - Accent4 5 3 2 2 4 2" xfId="1242" xr:uid="{00000000-0005-0000-0000-0000CC040000}"/>
    <cellStyle name="20% - Accent4 5 3 2 2 4 3" xfId="1243" xr:uid="{00000000-0005-0000-0000-0000CD040000}"/>
    <cellStyle name="20% - Accent4 5 3 2 2 5" xfId="1244" xr:uid="{00000000-0005-0000-0000-0000CE040000}"/>
    <cellStyle name="20% - Accent4 5 3 2 2 5 2" xfId="1245" xr:uid="{00000000-0005-0000-0000-0000CF040000}"/>
    <cellStyle name="20% - Accent4 5 3 2 2 5 3" xfId="1246" xr:uid="{00000000-0005-0000-0000-0000D0040000}"/>
    <cellStyle name="20% - Accent4 5 3 2 2 6" xfId="1247" xr:uid="{00000000-0005-0000-0000-0000D1040000}"/>
    <cellStyle name="20% - Accent4 5 3 2 2 6 2" xfId="1248" xr:uid="{00000000-0005-0000-0000-0000D2040000}"/>
    <cellStyle name="20% - Accent4 5 3 2 2 6 3" xfId="1249" xr:uid="{00000000-0005-0000-0000-0000D3040000}"/>
    <cellStyle name="20% - Accent4 5 3 2 2 7" xfId="1250" xr:uid="{00000000-0005-0000-0000-0000D4040000}"/>
    <cellStyle name="20% - Accent4 5 3 2 2 7 2" xfId="1251" xr:uid="{00000000-0005-0000-0000-0000D5040000}"/>
    <cellStyle name="20% - Accent4 5 3 2 2 7 3" xfId="1252" xr:uid="{00000000-0005-0000-0000-0000D6040000}"/>
    <cellStyle name="20% - Accent4 5 3 2 2 8" xfId="1253" xr:uid="{00000000-0005-0000-0000-0000D7040000}"/>
    <cellStyle name="20% - Accent4 5 3 2 2 9" xfId="1254" xr:uid="{00000000-0005-0000-0000-0000D8040000}"/>
    <cellStyle name="20% - Accent4 5 3 2 3" xfId="1255" xr:uid="{00000000-0005-0000-0000-0000D9040000}"/>
    <cellStyle name="20% - Accent4 5 3 2 3 2" xfId="1256" xr:uid="{00000000-0005-0000-0000-0000DA040000}"/>
    <cellStyle name="20% - Accent4 5 3 2 3 3" xfId="1257" xr:uid="{00000000-0005-0000-0000-0000DB040000}"/>
    <cellStyle name="20% - Accent4 5 3 2 4" xfId="1258" xr:uid="{00000000-0005-0000-0000-0000DC040000}"/>
    <cellStyle name="20% - Accent4 5 3 2 4 2" xfId="1259" xr:uid="{00000000-0005-0000-0000-0000DD040000}"/>
    <cellStyle name="20% - Accent4 5 3 2 4 3" xfId="1260" xr:uid="{00000000-0005-0000-0000-0000DE040000}"/>
    <cellStyle name="20% - Accent4 5 3 2 5" xfId="1261" xr:uid="{00000000-0005-0000-0000-0000DF040000}"/>
    <cellStyle name="20% - Accent4 5 3 2 5 2" xfId="1262" xr:uid="{00000000-0005-0000-0000-0000E0040000}"/>
    <cellStyle name="20% - Accent4 5 3 2 5 3" xfId="1263" xr:uid="{00000000-0005-0000-0000-0000E1040000}"/>
    <cellStyle name="20% - Accent4 5 3 2 6" xfId="1264" xr:uid="{00000000-0005-0000-0000-0000E2040000}"/>
    <cellStyle name="20% - Accent4 5 3 2 6 2" xfId="1265" xr:uid="{00000000-0005-0000-0000-0000E3040000}"/>
    <cellStyle name="20% - Accent4 5 3 2 6 3" xfId="1266" xr:uid="{00000000-0005-0000-0000-0000E4040000}"/>
    <cellStyle name="20% - Accent4 5 3 2 7" xfId="1267" xr:uid="{00000000-0005-0000-0000-0000E5040000}"/>
    <cellStyle name="20% - Accent4 5 3 2 7 2" xfId="1268" xr:uid="{00000000-0005-0000-0000-0000E6040000}"/>
    <cellStyle name="20% - Accent4 5 3 2 7 3" xfId="1269" xr:uid="{00000000-0005-0000-0000-0000E7040000}"/>
    <cellStyle name="20% - Accent4 5 3 2 8" xfId="1270" xr:uid="{00000000-0005-0000-0000-0000E8040000}"/>
    <cellStyle name="20% - Accent4 5 3 2 8 2" xfId="1271" xr:uid="{00000000-0005-0000-0000-0000E9040000}"/>
    <cellStyle name="20% - Accent4 5 3 2 8 3" xfId="1272" xr:uid="{00000000-0005-0000-0000-0000EA040000}"/>
    <cellStyle name="20% - Accent4 5 3 2 9" xfId="1273" xr:uid="{00000000-0005-0000-0000-0000EB040000}"/>
    <cellStyle name="20% - Accent4 5 3 3" xfId="1274" xr:uid="{00000000-0005-0000-0000-0000EC040000}"/>
    <cellStyle name="20% - Accent4 5 3 3 10" xfId="1275" xr:uid="{00000000-0005-0000-0000-0000ED040000}"/>
    <cellStyle name="20% - Accent4 5 3 3 2" xfId="1276" xr:uid="{00000000-0005-0000-0000-0000EE040000}"/>
    <cellStyle name="20% - Accent4 5 3 3 2 2" xfId="1277" xr:uid="{00000000-0005-0000-0000-0000EF040000}"/>
    <cellStyle name="20% - Accent4 5 3 3 2 2 2" xfId="1278" xr:uid="{00000000-0005-0000-0000-0000F0040000}"/>
    <cellStyle name="20% - Accent4 5 3 3 2 2 3" xfId="1279" xr:uid="{00000000-0005-0000-0000-0000F1040000}"/>
    <cellStyle name="20% - Accent4 5 3 3 2 3" xfId="1280" xr:uid="{00000000-0005-0000-0000-0000F2040000}"/>
    <cellStyle name="20% - Accent4 5 3 3 2 3 2" xfId="1281" xr:uid="{00000000-0005-0000-0000-0000F3040000}"/>
    <cellStyle name="20% - Accent4 5 3 3 2 3 3" xfId="1282" xr:uid="{00000000-0005-0000-0000-0000F4040000}"/>
    <cellStyle name="20% - Accent4 5 3 3 2 4" xfId="1283" xr:uid="{00000000-0005-0000-0000-0000F5040000}"/>
    <cellStyle name="20% - Accent4 5 3 3 2 4 2" xfId="1284" xr:uid="{00000000-0005-0000-0000-0000F6040000}"/>
    <cellStyle name="20% - Accent4 5 3 3 2 4 3" xfId="1285" xr:uid="{00000000-0005-0000-0000-0000F7040000}"/>
    <cellStyle name="20% - Accent4 5 3 3 2 5" xfId="1286" xr:uid="{00000000-0005-0000-0000-0000F8040000}"/>
    <cellStyle name="20% - Accent4 5 3 3 2 5 2" xfId="1287" xr:uid="{00000000-0005-0000-0000-0000F9040000}"/>
    <cellStyle name="20% - Accent4 5 3 3 2 5 3" xfId="1288" xr:uid="{00000000-0005-0000-0000-0000FA040000}"/>
    <cellStyle name="20% - Accent4 5 3 3 2 6" xfId="1289" xr:uid="{00000000-0005-0000-0000-0000FB040000}"/>
    <cellStyle name="20% - Accent4 5 3 3 2 6 2" xfId="1290" xr:uid="{00000000-0005-0000-0000-0000FC040000}"/>
    <cellStyle name="20% - Accent4 5 3 3 2 6 3" xfId="1291" xr:uid="{00000000-0005-0000-0000-0000FD040000}"/>
    <cellStyle name="20% - Accent4 5 3 3 2 7" xfId="1292" xr:uid="{00000000-0005-0000-0000-0000FE040000}"/>
    <cellStyle name="20% - Accent4 5 3 3 2 7 2" xfId="1293" xr:uid="{00000000-0005-0000-0000-0000FF040000}"/>
    <cellStyle name="20% - Accent4 5 3 3 2 7 3" xfId="1294" xr:uid="{00000000-0005-0000-0000-000000050000}"/>
    <cellStyle name="20% - Accent4 5 3 3 2 8" xfId="1295" xr:uid="{00000000-0005-0000-0000-000001050000}"/>
    <cellStyle name="20% - Accent4 5 3 3 2 9" xfId="1296" xr:uid="{00000000-0005-0000-0000-000002050000}"/>
    <cellStyle name="20% - Accent4 5 3 3 3" xfId="1297" xr:uid="{00000000-0005-0000-0000-000003050000}"/>
    <cellStyle name="20% - Accent4 5 3 3 3 2" xfId="1298" xr:uid="{00000000-0005-0000-0000-000004050000}"/>
    <cellStyle name="20% - Accent4 5 3 3 3 3" xfId="1299" xr:uid="{00000000-0005-0000-0000-000005050000}"/>
    <cellStyle name="20% - Accent4 5 3 3 4" xfId="1300" xr:uid="{00000000-0005-0000-0000-000006050000}"/>
    <cellStyle name="20% - Accent4 5 3 3 4 2" xfId="1301" xr:uid="{00000000-0005-0000-0000-000007050000}"/>
    <cellStyle name="20% - Accent4 5 3 3 4 3" xfId="1302" xr:uid="{00000000-0005-0000-0000-000008050000}"/>
    <cellStyle name="20% - Accent4 5 3 3 5" xfId="1303" xr:uid="{00000000-0005-0000-0000-000009050000}"/>
    <cellStyle name="20% - Accent4 5 3 3 5 2" xfId="1304" xr:uid="{00000000-0005-0000-0000-00000A050000}"/>
    <cellStyle name="20% - Accent4 5 3 3 5 3" xfId="1305" xr:uid="{00000000-0005-0000-0000-00000B050000}"/>
    <cellStyle name="20% - Accent4 5 3 3 6" xfId="1306" xr:uid="{00000000-0005-0000-0000-00000C050000}"/>
    <cellStyle name="20% - Accent4 5 3 3 6 2" xfId="1307" xr:uid="{00000000-0005-0000-0000-00000D050000}"/>
    <cellStyle name="20% - Accent4 5 3 3 6 3" xfId="1308" xr:uid="{00000000-0005-0000-0000-00000E050000}"/>
    <cellStyle name="20% - Accent4 5 3 3 7" xfId="1309" xr:uid="{00000000-0005-0000-0000-00000F050000}"/>
    <cellStyle name="20% - Accent4 5 3 3 7 2" xfId="1310" xr:uid="{00000000-0005-0000-0000-000010050000}"/>
    <cellStyle name="20% - Accent4 5 3 3 7 3" xfId="1311" xr:uid="{00000000-0005-0000-0000-000011050000}"/>
    <cellStyle name="20% - Accent4 5 3 3 8" xfId="1312" xr:uid="{00000000-0005-0000-0000-000012050000}"/>
    <cellStyle name="20% - Accent4 5 3 3 8 2" xfId="1313" xr:uid="{00000000-0005-0000-0000-000013050000}"/>
    <cellStyle name="20% - Accent4 5 3 3 8 3" xfId="1314" xr:uid="{00000000-0005-0000-0000-000014050000}"/>
    <cellStyle name="20% - Accent4 5 3 3 9" xfId="1315" xr:uid="{00000000-0005-0000-0000-000015050000}"/>
    <cellStyle name="20% - Accent4 5 3 4" xfId="1316" xr:uid="{00000000-0005-0000-0000-000016050000}"/>
    <cellStyle name="20% - Accent4 5 3 4 2" xfId="1317" xr:uid="{00000000-0005-0000-0000-000017050000}"/>
    <cellStyle name="20% - Accent4 5 3 4 2 2" xfId="1318" xr:uid="{00000000-0005-0000-0000-000018050000}"/>
    <cellStyle name="20% - Accent4 5 3 4 2 3" xfId="1319" xr:uid="{00000000-0005-0000-0000-000019050000}"/>
    <cellStyle name="20% - Accent4 5 3 4 3" xfId="1320" xr:uid="{00000000-0005-0000-0000-00001A050000}"/>
    <cellStyle name="20% - Accent4 5 3 4 3 2" xfId="1321" xr:uid="{00000000-0005-0000-0000-00001B050000}"/>
    <cellStyle name="20% - Accent4 5 3 4 3 3" xfId="1322" xr:uid="{00000000-0005-0000-0000-00001C050000}"/>
    <cellStyle name="20% - Accent4 5 3 4 4" xfId="1323" xr:uid="{00000000-0005-0000-0000-00001D050000}"/>
    <cellStyle name="20% - Accent4 5 3 4 4 2" xfId="1324" xr:uid="{00000000-0005-0000-0000-00001E050000}"/>
    <cellStyle name="20% - Accent4 5 3 4 4 3" xfId="1325" xr:uid="{00000000-0005-0000-0000-00001F050000}"/>
    <cellStyle name="20% - Accent4 5 3 4 5" xfId="1326" xr:uid="{00000000-0005-0000-0000-000020050000}"/>
    <cellStyle name="20% - Accent4 5 3 4 5 2" xfId="1327" xr:uid="{00000000-0005-0000-0000-000021050000}"/>
    <cellStyle name="20% - Accent4 5 3 4 5 3" xfId="1328" xr:uid="{00000000-0005-0000-0000-000022050000}"/>
    <cellStyle name="20% - Accent4 5 3 4 6" xfId="1329" xr:uid="{00000000-0005-0000-0000-000023050000}"/>
    <cellStyle name="20% - Accent4 5 3 4 6 2" xfId="1330" xr:uid="{00000000-0005-0000-0000-000024050000}"/>
    <cellStyle name="20% - Accent4 5 3 4 6 3" xfId="1331" xr:uid="{00000000-0005-0000-0000-000025050000}"/>
    <cellStyle name="20% - Accent4 5 3 4 7" xfId="1332" xr:uid="{00000000-0005-0000-0000-000026050000}"/>
    <cellStyle name="20% - Accent4 5 3 4 7 2" xfId="1333" xr:uid="{00000000-0005-0000-0000-000027050000}"/>
    <cellStyle name="20% - Accent4 5 3 4 7 3" xfId="1334" xr:uid="{00000000-0005-0000-0000-000028050000}"/>
    <cellStyle name="20% - Accent4 5 3 4 8" xfId="1335" xr:uid="{00000000-0005-0000-0000-000029050000}"/>
    <cellStyle name="20% - Accent4 5 3 4 9" xfId="1336" xr:uid="{00000000-0005-0000-0000-00002A050000}"/>
    <cellStyle name="20% - Accent4 5 3 5" xfId="1337" xr:uid="{00000000-0005-0000-0000-00002B050000}"/>
    <cellStyle name="20% - Accent4 5 3 5 2" xfId="1338" xr:uid="{00000000-0005-0000-0000-00002C050000}"/>
    <cellStyle name="20% - Accent4 5 3 5 3" xfId="1339" xr:uid="{00000000-0005-0000-0000-00002D050000}"/>
    <cellStyle name="20% - Accent4 5 3 6" xfId="1340" xr:uid="{00000000-0005-0000-0000-00002E050000}"/>
    <cellStyle name="20% - Accent4 5 3 6 2" xfId="1341" xr:uid="{00000000-0005-0000-0000-00002F050000}"/>
    <cellStyle name="20% - Accent4 5 3 6 3" xfId="1342" xr:uid="{00000000-0005-0000-0000-000030050000}"/>
    <cellStyle name="20% - Accent4 5 3 7" xfId="1343" xr:uid="{00000000-0005-0000-0000-000031050000}"/>
    <cellStyle name="20% - Accent4 5 3 7 2" xfId="1344" xr:uid="{00000000-0005-0000-0000-000032050000}"/>
    <cellStyle name="20% - Accent4 5 3 7 3" xfId="1345" xr:uid="{00000000-0005-0000-0000-000033050000}"/>
    <cellStyle name="20% - Accent4 5 3 8" xfId="1346" xr:uid="{00000000-0005-0000-0000-000034050000}"/>
    <cellStyle name="20% - Accent4 5 3 8 2" xfId="1347" xr:uid="{00000000-0005-0000-0000-000035050000}"/>
    <cellStyle name="20% - Accent4 5 3 8 3" xfId="1348" xr:uid="{00000000-0005-0000-0000-000036050000}"/>
    <cellStyle name="20% - Accent4 5 3 9" xfId="1349" xr:uid="{00000000-0005-0000-0000-000037050000}"/>
    <cellStyle name="20% - Accent4 5 3 9 2" xfId="1350" xr:uid="{00000000-0005-0000-0000-000038050000}"/>
    <cellStyle name="20% - Accent4 5 3 9 3" xfId="1351" xr:uid="{00000000-0005-0000-0000-000039050000}"/>
    <cellStyle name="20% - Accent4 5 4" xfId="1352" xr:uid="{00000000-0005-0000-0000-00003A050000}"/>
    <cellStyle name="20% - Accent4 5 4 10" xfId="1353" xr:uid="{00000000-0005-0000-0000-00003B050000}"/>
    <cellStyle name="20% - Accent4 5 4 2" xfId="1354" xr:uid="{00000000-0005-0000-0000-00003C050000}"/>
    <cellStyle name="20% - Accent4 5 4 2 2" xfId="1355" xr:uid="{00000000-0005-0000-0000-00003D050000}"/>
    <cellStyle name="20% - Accent4 5 4 2 2 2" xfId="1356" xr:uid="{00000000-0005-0000-0000-00003E050000}"/>
    <cellStyle name="20% - Accent4 5 4 2 2 3" xfId="1357" xr:uid="{00000000-0005-0000-0000-00003F050000}"/>
    <cellStyle name="20% - Accent4 5 4 2 3" xfId="1358" xr:uid="{00000000-0005-0000-0000-000040050000}"/>
    <cellStyle name="20% - Accent4 5 4 2 3 2" xfId="1359" xr:uid="{00000000-0005-0000-0000-000041050000}"/>
    <cellStyle name="20% - Accent4 5 4 2 3 3" xfId="1360" xr:uid="{00000000-0005-0000-0000-000042050000}"/>
    <cellStyle name="20% - Accent4 5 4 2 4" xfId="1361" xr:uid="{00000000-0005-0000-0000-000043050000}"/>
    <cellStyle name="20% - Accent4 5 4 2 4 2" xfId="1362" xr:uid="{00000000-0005-0000-0000-000044050000}"/>
    <cellStyle name="20% - Accent4 5 4 2 4 3" xfId="1363" xr:uid="{00000000-0005-0000-0000-000045050000}"/>
    <cellStyle name="20% - Accent4 5 4 2 5" xfId="1364" xr:uid="{00000000-0005-0000-0000-000046050000}"/>
    <cellStyle name="20% - Accent4 5 4 2 5 2" xfId="1365" xr:uid="{00000000-0005-0000-0000-000047050000}"/>
    <cellStyle name="20% - Accent4 5 4 2 5 3" xfId="1366" xr:uid="{00000000-0005-0000-0000-000048050000}"/>
    <cellStyle name="20% - Accent4 5 4 2 6" xfId="1367" xr:uid="{00000000-0005-0000-0000-000049050000}"/>
    <cellStyle name="20% - Accent4 5 4 2 6 2" xfId="1368" xr:uid="{00000000-0005-0000-0000-00004A050000}"/>
    <cellStyle name="20% - Accent4 5 4 2 6 3" xfId="1369" xr:uid="{00000000-0005-0000-0000-00004B050000}"/>
    <cellStyle name="20% - Accent4 5 4 2 7" xfId="1370" xr:uid="{00000000-0005-0000-0000-00004C050000}"/>
    <cellStyle name="20% - Accent4 5 4 2 7 2" xfId="1371" xr:uid="{00000000-0005-0000-0000-00004D050000}"/>
    <cellStyle name="20% - Accent4 5 4 2 7 3" xfId="1372" xr:uid="{00000000-0005-0000-0000-00004E050000}"/>
    <cellStyle name="20% - Accent4 5 4 2 8" xfId="1373" xr:uid="{00000000-0005-0000-0000-00004F050000}"/>
    <cellStyle name="20% - Accent4 5 4 2 9" xfId="1374" xr:uid="{00000000-0005-0000-0000-000050050000}"/>
    <cellStyle name="20% - Accent4 5 4 3" xfId="1375" xr:uid="{00000000-0005-0000-0000-000051050000}"/>
    <cellStyle name="20% - Accent4 5 4 3 2" xfId="1376" xr:uid="{00000000-0005-0000-0000-000052050000}"/>
    <cellStyle name="20% - Accent4 5 4 3 3" xfId="1377" xr:uid="{00000000-0005-0000-0000-000053050000}"/>
    <cellStyle name="20% - Accent4 5 4 4" xfId="1378" xr:uid="{00000000-0005-0000-0000-000054050000}"/>
    <cellStyle name="20% - Accent4 5 4 4 2" xfId="1379" xr:uid="{00000000-0005-0000-0000-000055050000}"/>
    <cellStyle name="20% - Accent4 5 4 4 3" xfId="1380" xr:uid="{00000000-0005-0000-0000-000056050000}"/>
    <cellStyle name="20% - Accent4 5 4 5" xfId="1381" xr:uid="{00000000-0005-0000-0000-000057050000}"/>
    <cellStyle name="20% - Accent4 5 4 5 2" xfId="1382" xr:uid="{00000000-0005-0000-0000-000058050000}"/>
    <cellStyle name="20% - Accent4 5 4 5 3" xfId="1383" xr:uid="{00000000-0005-0000-0000-000059050000}"/>
    <cellStyle name="20% - Accent4 5 4 6" xfId="1384" xr:uid="{00000000-0005-0000-0000-00005A050000}"/>
    <cellStyle name="20% - Accent4 5 4 6 2" xfId="1385" xr:uid="{00000000-0005-0000-0000-00005B050000}"/>
    <cellStyle name="20% - Accent4 5 4 6 3" xfId="1386" xr:uid="{00000000-0005-0000-0000-00005C050000}"/>
    <cellStyle name="20% - Accent4 5 4 7" xfId="1387" xr:uid="{00000000-0005-0000-0000-00005D050000}"/>
    <cellStyle name="20% - Accent4 5 4 7 2" xfId="1388" xr:uid="{00000000-0005-0000-0000-00005E050000}"/>
    <cellStyle name="20% - Accent4 5 4 7 3" xfId="1389" xr:uid="{00000000-0005-0000-0000-00005F050000}"/>
    <cellStyle name="20% - Accent4 5 4 8" xfId="1390" xr:uid="{00000000-0005-0000-0000-000060050000}"/>
    <cellStyle name="20% - Accent4 5 4 8 2" xfId="1391" xr:uid="{00000000-0005-0000-0000-000061050000}"/>
    <cellStyle name="20% - Accent4 5 4 8 3" xfId="1392" xr:uid="{00000000-0005-0000-0000-000062050000}"/>
    <cellStyle name="20% - Accent4 5 4 9" xfId="1393" xr:uid="{00000000-0005-0000-0000-000063050000}"/>
    <cellStyle name="20% - Accent4 5 5" xfId="1394" xr:uid="{00000000-0005-0000-0000-000064050000}"/>
    <cellStyle name="20% - Accent4 5 5 10" xfId="1395" xr:uid="{00000000-0005-0000-0000-000065050000}"/>
    <cellStyle name="20% - Accent4 5 5 2" xfId="1396" xr:uid="{00000000-0005-0000-0000-000066050000}"/>
    <cellStyle name="20% - Accent4 5 5 2 2" xfId="1397" xr:uid="{00000000-0005-0000-0000-000067050000}"/>
    <cellStyle name="20% - Accent4 5 5 2 2 2" xfId="1398" xr:uid="{00000000-0005-0000-0000-000068050000}"/>
    <cellStyle name="20% - Accent4 5 5 2 2 3" xfId="1399" xr:uid="{00000000-0005-0000-0000-000069050000}"/>
    <cellStyle name="20% - Accent4 5 5 2 3" xfId="1400" xr:uid="{00000000-0005-0000-0000-00006A050000}"/>
    <cellStyle name="20% - Accent4 5 5 2 3 2" xfId="1401" xr:uid="{00000000-0005-0000-0000-00006B050000}"/>
    <cellStyle name="20% - Accent4 5 5 2 3 3" xfId="1402" xr:uid="{00000000-0005-0000-0000-00006C050000}"/>
    <cellStyle name="20% - Accent4 5 5 2 4" xfId="1403" xr:uid="{00000000-0005-0000-0000-00006D050000}"/>
    <cellStyle name="20% - Accent4 5 5 2 4 2" xfId="1404" xr:uid="{00000000-0005-0000-0000-00006E050000}"/>
    <cellStyle name="20% - Accent4 5 5 2 4 3" xfId="1405" xr:uid="{00000000-0005-0000-0000-00006F050000}"/>
    <cellStyle name="20% - Accent4 5 5 2 5" xfId="1406" xr:uid="{00000000-0005-0000-0000-000070050000}"/>
    <cellStyle name="20% - Accent4 5 5 2 5 2" xfId="1407" xr:uid="{00000000-0005-0000-0000-000071050000}"/>
    <cellStyle name="20% - Accent4 5 5 2 5 3" xfId="1408" xr:uid="{00000000-0005-0000-0000-000072050000}"/>
    <cellStyle name="20% - Accent4 5 5 2 6" xfId="1409" xr:uid="{00000000-0005-0000-0000-000073050000}"/>
    <cellStyle name="20% - Accent4 5 5 2 6 2" xfId="1410" xr:uid="{00000000-0005-0000-0000-000074050000}"/>
    <cellStyle name="20% - Accent4 5 5 2 6 3" xfId="1411" xr:uid="{00000000-0005-0000-0000-000075050000}"/>
    <cellStyle name="20% - Accent4 5 5 2 7" xfId="1412" xr:uid="{00000000-0005-0000-0000-000076050000}"/>
    <cellStyle name="20% - Accent4 5 5 2 7 2" xfId="1413" xr:uid="{00000000-0005-0000-0000-000077050000}"/>
    <cellStyle name="20% - Accent4 5 5 2 7 3" xfId="1414" xr:uid="{00000000-0005-0000-0000-000078050000}"/>
    <cellStyle name="20% - Accent4 5 5 2 8" xfId="1415" xr:uid="{00000000-0005-0000-0000-000079050000}"/>
    <cellStyle name="20% - Accent4 5 5 2 9" xfId="1416" xr:uid="{00000000-0005-0000-0000-00007A050000}"/>
    <cellStyle name="20% - Accent4 5 5 3" xfId="1417" xr:uid="{00000000-0005-0000-0000-00007B050000}"/>
    <cellStyle name="20% - Accent4 5 5 3 2" xfId="1418" xr:uid="{00000000-0005-0000-0000-00007C050000}"/>
    <cellStyle name="20% - Accent4 5 5 3 3" xfId="1419" xr:uid="{00000000-0005-0000-0000-00007D050000}"/>
    <cellStyle name="20% - Accent4 5 5 4" xfId="1420" xr:uid="{00000000-0005-0000-0000-00007E050000}"/>
    <cellStyle name="20% - Accent4 5 5 4 2" xfId="1421" xr:uid="{00000000-0005-0000-0000-00007F050000}"/>
    <cellStyle name="20% - Accent4 5 5 4 3" xfId="1422" xr:uid="{00000000-0005-0000-0000-000080050000}"/>
    <cellStyle name="20% - Accent4 5 5 5" xfId="1423" xr:uid="{00000000-0005-0000-0000-000081050000}"/>
    <cellStyle name="20% - Accent4 5 5 5 2" xfId="1424" xr:uid="{00000000-0005-0000-0000-000082050000}"/>
    <cellStyle name="20% - Accent4 5 5 5 3" xfId="1425" xr:uid="{00000000-0005-0000-0000-000083050000}"/>
    <cellStyle name="20% - Accent4 5 5 6" xfId="1426" xr:uid="{00000000-0005-0000-0000-000084050000}"/>
    <cellStyle name="20% - Accent4 5 5 6 2" xfId="1427" xr:uid="{00000000-0005-0000-0000-000085050000}"/>
    <cellStyle name="20% - Accent4 5 5 6 3" xfId="1428" xr:uid="{00000000-0005-0000-0000-000086050000}"/>
    <cellStyle name="20% - Accent4 5 5 7" xfId="1429" xr:uid="{00000000-0005-0000-0000-000087050000}"/>
    <cellStyle name="20% - Accent4 5 5 7 2" xfId="1430" xr:uid="{00000000-0005-0000-0000-000088050000}"/>
    <cellStyle name="20% - Accent4 5 5 7 3" xfId="1431" xr:uid="{00000000-0005-0000-0000-000089050000}"/>
    <cellStyle name="20% - Accent4 5 5 8" xfId="1432" xr:uid="{00000000-0005-0000-0000-00008A050000}"/>
    <cellStyle name="20% - Accent4 5 5 8 2" xfId="1433" xr:uid="{00000000-0005-0000-0000-00008B050000}"/>
    <cellStyle name="20% - Accent4 5 5 8 3" xfId="1434" xr:uid="{00000000-0005-0000-0000-00008C050000}"/>
    <cellStyle name="20% - Accent4 5 5 9" xfId="1435" xr:uid="{00000000-0005-0000-0000-00008D050000}"/>
    <cellStyle name="20% - Accent4 5 6" xfId="1436" xr:uid="{00000000-0005-0000-0000-00008E050000}"/>
    <cellStyle name="20% - Accent4 5 6 2" xfId="1437" xr:uid="{00000000-0005-0000-0000-00008F050000}"/>
    <cellStyle name="20% - Accent4 5 6 2 2" xfId="1438" xr:uid="{00000000-0005-0000-0000-000090050000}"/>
    <cellStyle name="20% - Accent4 5 6 2 3" xfId="1439" xr:uid="{00000000-0005-0000-0000-000091050000}"/>
    <cellStyle name="20% - Accent4 5 6 3" xfId="1440" xr:uid="{00000000-0005-0000-0000-000092050000}"/>
    <cellStyle name="20% - Accent4 5 6 3 2" xfId="1441" xr:uid="{00000000-0005-0000-0000-000093050000}"/>
    <cellStyle name="20% - Accent4 5 6 3 3" xfId="1442" xr:uid="{00000000-0005-0000-0000-000094050000}"/>
    <cellStyle name="20% - Accent4 5 6 4" xfId="1443" xr:uid="{00000000-0005-0000-0000-000095050000}"/>
    <cellStyle name="20% - Accent4 5 6 4 2" xfId="1444" xr:uid="{00000000-0005-0000-0000-000096050000}"/>
    <cellStyle name="20% - Accent4 5 6 4 3" xfId="1445" xr:uid="{00000000-0005-0000-0000-000097050000}"/>
    <cellStyle name="20% - Accent4 5 6 5" xfId="1446" xr:uid="{00000000-0005-0000-0000-000098050000}"/>
    <cellStyle name="20% - Accent4 5 6 5 2" xfId="1447" xr:uid="{00000000-0005-0000-0000-000099050000}"/>
    <cellStyle name="20% - Accent4 5 6 5 3" xfId="1448" xr:uid="{00000000-0005-0000-0000-00009A050000}"/>
    <cellStyle name="20% - Accent4 5 6 6" xfId="1449" xr:uid="{00000000-0005-0000-0000-00009B050000}"/>
    <cellStyle name="20% - Accent4 5 6 6 2" xfId="1450" xr:uid="{00000000-0005-0000-0000-00009C050000}"/>
    <cellStyle name="20% - Accent4 5 6 6 3" xfId="1451" xr:uid="{00000000-0005-0000-0000-00009D050000}"/>
    <cellStyle name="20% - Accent4 5 6 7" xfId="1452" xr:uid="{00000000-0005-0000-0000-00009E050000}"/>
    <cellStyle name="20% - Accent4 5 6 7 2" xfId="1453" xr:uid="{00000000-0005-0000-0000-00009F050000}"/>
    <cellStyle name="20% - Accent4 5 6 7 3" xfId="1454" xr:uid="{00000000-0005-0000-0000-0000A0050000}"/>
    <cellStyle name="20% - Accent4 5 6 8" xfId="1455" xr:uid="{00000000-0005-0000-0000-0000A1050000}"/>
    <cellStyle name="20% - Accent4 5 6 9" xfId="1456" xr:uid="{00000000-0005-0000-0000-0000A2050000}"/>
    <cellStyle name="20% - Accent4 5 7" xfId="1457" xr:uid="{00000000-0005-0000-0000-0000A3050000}"/>
    <cellStyle name="20% - Accent4 5 7 2" xfId="1458" xr:uid="{00000000-0005-0000-0000-0000A4050000}"/>
    <cellStyle name="20% - Accent4 5 7 3" xfId="1459" xr:uid="{00000000-0005-0000-0000-0000A5050000}"/>
    <cellStyle name="20% - Accent4 5 8" xfId="1460" xr:uid="{00000000-0005-0000-0000-0000A6050000}"/>
    <cellStyle name="20% - Accent4 5 8 2" xfId="1461" xr:uid="{00000000-0005-0000-0000-0000A7050000}"/>
    <cellStyle name="20% - Accent4 5 8 3" xfId="1462" xr:uid="{00000000-0005-0000-0000-0000A8050000}"/>
    <cellStyle name="20% - Accent4 5 9" xfId="1463" xr:uid="{00000000-0005-0000-0000-0000A9050000}"/>
    <cellStyle name="20% - Accent4 5 9 2" xfId="1464" xr:uid="{00000000-0005-0000-0000-0000AA050000}"/>
    <cellStyle name="20% - Accent4 5 9 3" xfId="1465" xr:uid="{00000000-0005-0000-0000-0000AB050000}"/>
    <cellStyle name="20% - Accent4 6" xfId="1466" xr:uid="{00000000-0005-0000-0000-0000AC050000}"/>
    <cellStyle name="20% - Accent4 6 10" xfId="1467" xr:uid="{00000000-0005-0000-0000-0000AD050000}"/>
    <cellStyle name="20% - Accent4 6 10 2" xfId="1468" xr:uid="{00000000-0005-0000-0000-0000AE050000}"/>
    <cellStyle name="20% - Accent4 6 10 3" xfId="1469" xr:uid="{00000000-0005-0000-0000-0000AF050000}"/>
    <cellStyle name="20% - Accent4 6 11" xfId="1470" xr:uid="{00000000-0005-0000-0000-0000B0050000}"/>
    <cellStyle name="20% - Accent4 6 11 2" xfId="1471" xr:uid="{00000000-0005-0000-0000-0000B1050000}"/>
    <cellStyle name="20% - Accent4 6 11 3" xfId="1472" xr:uid="{00000000-0005-0000-0000-0000B2050000}"/>
    <cellStyle name="20% - Accent4 6 12" xfId="1473" xr:uid="{00000000-0005-0000-0000-0000B3050000}"/>
    <cellStyle name="20% - Accent4 6 13" xfId="1474" xr:uid="{00000000-0005-0000-0000-0000B4050000}"/>
    <cellStyle name="20% - Accent4 6 2" xfId="1475" xr:uid="{00000000-0005-0000-0000-0000B5050000}"/>
    <cellStyle name="20% - Accent4 6 2 10" xfId="1476" xr:uid="{00000000-0005-0000-0000-0000B6050000}"/>
    <cellStyle name="20% - Accent4 6 2 10 2" xfId="1477" xr:uid="{00000000-0005-0000-0000-0000B7050000}"/>
    <cellStyle name="20% - Accent4 6 2 10 3" xfId="1478" xr:uid="{00000000-0005-0000-0000-0000B8050000}"/>
    <cellStyle name="20% - Accent4 6 2 11" xfId="1479" xr:uid="{00000000-0005-0000-0000-0000B9050000}"/>
    <cellStyle name="20% - Accent4 6 2 12" xfId="1480" xr:uid="{00000000-0005-0000-0000-0000BA050000}"/>
    <cellStyle name="20% - Accent4 6 2 2" xfId="1481" xr:uid="{00000000-0005-0000-0000-0000BB050000}"/>
    <cellStyle name="20% - Accent4 6 2 2 10" xfId="1482" xr:uid="{00000000-0005-0000-0000-0000BC050000}"/>
    <cellStyle name="20% - Accent4 6 2 2 2" xfId="1483" xr:uid="{00000000-0005-0000-0000-0000BD050000}"/>
    <cellStyle name="20% - Accent4 6 2 2 2 2" xfId="1484" xr:uid="{00000000-0005-0000-0000-0000BE050000}"/>
    <cellStyle name="20% - Accent4 6 2 2 2 2 2" xfId="1485" xr:uid="{00000000-0005-0000-0000-0000BF050000}"/>
    <cellStyle name="20% - Accent4 6 2 2 2 2 3" xfId="1486" xr:uid="{00000000-0005-0000-0000-0000C0050000}"/>
    <cellStyle name="20% - Accent4 6 2 2 2 3" xfId="1487" xr:uid="{00000000-0005-0000-0000-0000C1050000}"/>
    <cellStyle name="20% - Accent4 6 2 2 2 3 2" xfId="1488" xr:uid="{00000000-0005-0000-0000-0000C2050000}"/>
    <cellStyle name="20% - Accent4 6 2 2 2 3 3" xfId="1489" xr:uid="{00000000-0005-0000-0000-0000C3050000}"/>
    <cellStyle name="20% - Accent4 6 2 2 2 4" xfId="1490" xr:uid="{00000000-0005-0000-0000-0000C4050000}"/>
    <cellStyle name="20% - Accent4 6 2 2 2 4 2" xfId="1491" xr:uid="{00000000-0005-0000-0000-0000C5050000}"/>
    <cellStyle name="20% - Accent4 6 2 2 2 4 3" xfId="1492" xr:uid="{00000000-0005-0000-0000-0000C6050000}"/>
    <cellStyle name="20% - Accent4 6 2 2 2 5" xfId="1493" xr:uid="{00000000-0005-0000-0000-0000C7050000}"/>
    <cellStyle name="20% - Accent4 6 2 2 2 5 2" xfId="1494" xr:uid="{00000000-0005-0000-0000-0000C8050000}"/>
    <cellStyle name="20% - Accent4 6 2 2 2 5 3" xfId="1495" xr:uid="{00000000-0005-0000-0000-0000C9050000}"/>
    <cellStyle name="20% - Accent4 6 2 2 2 6" xfId="1496" xr:uid="{00000000-0005-0000-0000-0000CA050000}"/>
    <cellStyle name="20% - Accent4 6 2 2 2 6 2" xfId="1497" xr:uid="{00000000-0005-0000-0000-0000CB050000}"/>
    <cellStyle name="20% - Accent4 6 2 2 2 6 3" xfId="1498" xr:uid="{00000000-0005-0000-0000-0000CC050000}"/>
    <cellStyle name="20% - Accent4 6 2 2 2 7" xfId="1499" xr:uid="{00000000-0005-0000-0000-0000CD050000}"/>
    <cellStyle name="20% - Accent4 6 2 2 2 7 2" xfId="1500" xr:uid="{00000000-0005-0000-0000-0000CE050000}"/>
    <cellStyle name="20% - Accent4 6 2 2 2 7 3" xfId="1501" xr:uid="{00000000-0005-0000-0000-0000CF050000}"/>
    <cellStyle name="20% - Accent4 6 2 2 2 8" xfId="1502" xr:uid="{00000000-0005-0000-0000-0000D0050000}"/>
    <cellStyle name="20% - Accent4 6 2 2 2 9" xfId="1503" xr:uid="{00000000-0005-0000-0000-0000D1050000}"/>
    <cellStyle name="20% - Accent4 6 2 2 3" xfId="1504" xr:uid="{00000000-0005-0000-0000-0000D2050000}"/>
    <cellStyle name="20% - Accent4 6 2 2 3 2" xfId="1505" xr:uid="{00000000-0005-0000-0000-0000D3050000}"/>
    <cellStyle name="20% - Accent4 6 2 2 3 3" xfId="1506" xr:uid="{00000000-0005-0000-0000-0000D4050000}"/>
    <cellStyle name="20% - Accent4 6 2 2 4" xfId="1507" xr:uid="{00000000-0005-0000-0000-0000D5050000}"/>
    <cellStyle name="20% - Accent4 6 2 2 4 2" xfId="1508" xr:uid="{00000000-0005-0000-0000-0000D6050000}"/>
    <cellStyle name="20% - Accent4 6 2 2 4 3" xfId="1509" xr:uid="{00000000-0005-0000-0000-0000D7050000}"/>
    <cellStyle name="20% - Accent4 6 2 2 5" xfId="1510" xr:uid="{00000000-0005-0000-0000-0000D8050000}"/>
    <cellStyle name="20% - Accent4 6 2 2 5 2" xfId="1511" xr:uid="{00000000-0005-0000-0000-0000D9050000}"/>
    <cellStyle name="20% - Accent4 6 2 2 5 3" xfId="1512" xr:uid="{00000000-0005-0000-0000-0000DA050000}"/>
    <cellStyle name="20% - Accent4 6 2 2 6" xfId="1513" xr:uid="{00000000-0005-0000-0000-0000DB050000}"/>
    <cellStyle name="20% - Accent4 6 2 2 6 2" xfId="1514" xr:uid="{00000000-0005-0000-0000-0000DC050000}"/>
    <cellStyle name="20% - Accent4 6 2 2 6 3" xfId="1515" xr:uid="{00000000-0005-0000-0000-0000DD050000}"/>
    <cellStyle name="20% - Accent4 6 2 2 7" xfId="1516" xr:uid="{00000000-0005-0000-0000-0000DE050000}"/>
    <cellStyle name="20% - Accent4 6 2 2 7 2" xfId="1517" xr:uid="{00000000-0005-0000-0000-0000DF050000}"/>
    <cellStyle name="20% - Accent4 6 2 2 7 3" xfId="1518" xr:uid="{00000000-0005-0000-0000-0000E0050000}"/>
    <cellStyle name="20% - Accent4 6 2 2 8" xfId="1519" xr:uid="{00000000-0005-0000-0000-0000E1050000}"/>
    <cellStyle name="20% - Accent4 6 2 2 8 2" xfId="1520" xr:uid="{00000000-0005-0000-0000-0000E2050000}"/>
    <cellStyle name="20% - Accent4 6 2 2 8 3" xfId="1521" xr:uid="{00000000-0005-0000-0000-0000E3050000}"/>
    <cellStyle name="20% - Accent4 6 2 2 9" xfId="1522" xr:uid="{00000000-0005-0000-0000-0000E4050000}"/>
    <cellStyle name="20% - Accent4 6 2 3" xfId="1523" xr:uid="{00000000-0005-0000-0000-0000E5050000}"/>
    <cellStyle name="20% - Accent4 6 2 3 10" xfId="1524" xr:uid="{00000000-0005-0000-0000-0000E6050000}"/>
    <cellStyle name="20% - Accent4 6 2 3 2" xfId="1525" xr:uid="{00000000-0005-0000-0000-0000E7050000}"/>
    <cellStyle name="20% - Accent4 6 2 3 2 2" xfId="1526" xr:uid="{00000000-0005-0000-0000-0000E8050000}"/>
    <cellStyle name="20% - Accent4 6 2 3 2 2 2" xfId="1527" xr:uid="{00000000-0005-0000-0000-0000E9050000}"/>
    <cellStyle name="20% - Accent4 6 2 3 2 2 3" xfId="1528" xr:uid="{00000000-0005-0000-0000-0000EA050000}"/>
    <cellStyle name="20% - Accent4 6 2 3 2 3" xfId="1529" xr:uid="{00000000-0005-0000-0000-0000EB050000}"/>
    <cellStyle name="20% - Accent4 6 2 3 2 3 2" xfId="1530" xr:uid="{00000000-0005-0000-0000-0000EC050000}"/>
    <cellStyle name="20% - Accent4 6 2 3 2 3 3" xfId="1531" xr:uid="{00000000-0005-0000-0000-0000ED050000}"/>
    <cellStyle name="20% - Accent4 6 2 3 2 4" xfId="1532" xr:uid="{00000000-0005-0000-0000-0000EE050000}"/>
    <cellStyle name="20% - Accent4 6 2 3 2 4 2" xfId="1533" xr:uid="{00000000-0005-0000-0000-0000EF050000}"/>
    <cellStyle name="20% - Accent4 6 2 3 2 4 3" xfId="1534" xr:uid="{00000000-0005-0000-0000-0000F0050000}"/>
    <cellStyle name="20% - Accent4 6 2 3 2 5" xfId="1535" xr:uid="{00000000-0005-0000-0000-0000F1050000}"/>
    <cellStyle name="20% - Accent4 6 2 3 2 5 2" xfId="1536" xr:uid="{00000000-0005-0000-0000-0000F2050000}"/>
    <cellStyle name="20% - Accent4 6 2 3 2 5 3" xfId="1537" xr:uid="{00000000-0005-0000-0000-0000F3050000}"/>
    <cellStyle name="20% - Accent4 6 2 3 2 6" xfId="1538" xr:uid="{00000000-0005-0000-0000-0000F4050000}"/>
    <cellStyle name="20% - Accent4 6 2 3 2 6 2" xfId="1539" xr:uid="{00000000-0005-0000-0000-0000F5050000}"/>
    <cellStyle name="20% - Accent4 6 2 3 2 6 3" xfId="1540" xr:uid="{00000000-0005-0000-0000-0000F6050000}"/>
    <cellStyle name="20% - Accent4 6 2 3 2 7" xfId="1541" xr:uid="{00000000-0005-0000-0000-0000F7050000}"/>
    <cellStyle name="20% - Accent4 6 2 3 2 7 2" xfId="1542" xr:uid="{00000000-0005-0000-0000-0000F8050000}"/>
    <cellStyle name="20% - Accent4 6 2 3 2 7 3" xfId="1543" xr:uid="{00000000-0005-0000-0000-0000F9050000}"/>
    <cellStyle name="20% - Accent4 6 2 3 2 8" xfId="1544" xr:uid="{00000000-0005-0000-0000-0000FA050000}"/>
    <cellStyle name="20% - Accent4 6 2 3 2 9" xfId="1545" xr:uid="{00000000-0005-0000-0000-0000FB050000}"/>
    <cellStyle name="20% - Accent4 6 2 3 3" xfId="1546" xr:uid="{00000000-0005-0000-0000-0000FC050000}"/>
    <cellStyle name="20% - Accent4 6 2 3 3 2" xfId="1547" xr:uid="{00000000-0005-0000-0000-0000FD050000}"/>
    <cellStyle name="20% - Accent4 6 2 3 3 3" xfId="1548" xr:uid="{00000000-0005-0000-0000-0000FE050000}"/>
    <cellStyle name="20% - Accent4 6 2 3 4" xfId="1549" xr:uid="{00000000-0005-0000-0000-0000FF050000}"/>
    <cellStyle name="20% - Accent4 6 2 3 4 2" xfId="1550" xr:uid="{00000000-0005-0000-0000-000000060000}"/>
    <cellStyle name="20% - Accent4 6 2 3 4 3" xfId="1551" xr:uid="{00000000-0005-0000-0000-000001060000}"/>
    <cellStyle name="20% - Accent4 6 2 3 5" xfId="1552" xr:uid="{00000000-0005-0000-0000-000002060000}"/>
    <cellStyle name="20% - Accent4 6 2 3 5 2" xfId="1553" xr:uid="{00000000-0005-0000-0000-000003060000}"/>
    <cellStyle name="20% - Accent4 6 2 3 5 3" xfId="1554" xr:uid="{00000000-0005-0000-0000-000004060000}"/>
    <cellStyle name="20% - Accent4 6 2 3 6" xfId="1555" xr:uid="{00000000-0005-0000-0000-000005060000}"/>
    <cellStyle name="20% - Accent4 6 2 3 6 2" xfId="1556" xr:uid="{00000000-0005-0000-0000-000006060000}"/>
    <cellStyle name="20% - Accent4 6 2 3 6 3" xfId="1557" xr:uid="{00000000-0005-0000-0000-000007060000}"/>
    <cellStyle name="20% - Accent4 6 2 3 7" xfId="1558" xr:uid="{00000000-0005-0000-0000-000008060000}"/>
    <cellStyle name="20% - Accent4 6 2 3 7 2" xfId="1559" xr:uid="{00000000-0005-0000-0000-000009060000}"/>
    <cellStyle name="20% - Accent4 6 2 3 7 3" xfId="1560" xr:uid="{00000000-0005-0000-0000-00000A060000}"/>
    <cellStyle name="20% - Accent4 6 2 3 8" xfId="1561" xr:uid="{00000000-0005-0000-0000-00000B060000}"/>
    <cellStyle name="20% - Accent4 6 2 3 8 2" xfId="1562" xr:uid="{00000000-0005-0000-0000-00000C060000}"/>
    <cellStyle name="20% - Accent4 6 2 3 8 3" xfId="1563" xr:uid="{00000000-0005-0000-0000-00000D060000}"/>
    <cellStyle name="20% - Accent4 6 2 3 9" xfId="1564" xr:uid="{00000000-0005-0000-0000-00000E060000}"/>
    <cellStyle name="20% - Accent4 6 2 4" xfId="1565" xr:uid="{00000000-0005-0000-0000-00000F060000}"/>
    <cellStyle name="20% - Accent4 6 2 4 2" xfId="1566" xr:uid="{00000000-0005-0000-0000-000010060000}"/>
    <cellStyle name="20% - Accent4 6 2 4 2 2" xfId="1567" xr:uid="{00000000-0005-0000-0000-000011060000}"/>
    <cellStyle name="20% - Accent4 6 2 4 2 3" xfId="1568" xr:uid="{00000000-0005-0000-0000-000012060000}"/>
    <cellStyle name="20% - Accent4 6 2 4 3" xfId="1569" xr:uid="{00000000-0005-0000-0000-000013060000}"/>
    <cellStyle name="20% - Accent4 6 2 4 3 2" xfId="1570" xr:uid="{00000000-0005-0000-0000-000014060000}"/>
    <cellStyle name="20% - Accent4 6 2 4 3 3" xfId="1571" xr:uid="{00000000-0005-0000-0000-000015060000}"/>
    <cellStyle name="20% - Accent4 6 2 4 4" xfId="1572" xr:uid="{00000000-0005-0000-0000-000016060000}"/>
    <cellStyle name="20% - Accent4 6 2 4 4 2" xfId="1573" xr:uid="{00000000-0005-0000-0000-000017060000}"/>
    <cellStyle name="20% - Accent4 6 2 4 4 3" xfId="1574" xr:uid="{00000000-0005-0000-0000-000018060000}"/>
    <cellStyle name="20% - Accent4 6 2 4 5" xfId="1575" xr:uid="{00000000-0005-0000-0000-000019060000}"/>
    <cellStyle name="20% - Accent4 6 2 4 5 2" xfId="1576" xr:uid="{00000000-0005-0000-0000-00001A060000}"/>
    <cellStyle name="20% - Accent4 6 2 4 5 3" xfId="1577" xr:uid="{00000000-0005-0000-0000-00001B060000}"/>
    <cellStyle name="20% - Accent4 6 2 4 6" xfId="1578" xr:uid="{00000000-0005-0000-0000-00001C060000}"/>
    <cellStyle name="20% - Accent4 6 2 4 6 2" xfId="1579" xr:uid="{00000000-0005-0000-0000-00001D060000}"/>
    <cellStyle name="20% - Accent4 6 2 4 6 3" xfId="1580" xr:uid="{00000000-0005-0000-0000-00001E060000}"/>
    <cellStyle name="20% - Accent4 6 2 4 7" xfId="1581" xr:uid="{00000000-0005-0000-0000-00001F060000}"/>
    <cellStyle name="20% - Accent4 6 2 4 7 2" xfId="1582" xr:uid="{00000000-0005-0000-0000-000020060000}"/>
    <cellStyle name="20% - Accent4 6 2 4 7 3" xfId="1583" xr:uid="{00000000-0005-0000-0000-000021060000}"/>
    <cellStyle name="20% - Accent4 6 2 4 8" xfId="1584" xr:uid="{00000000-0005-0000-0000-000022060000}"/>
    <cellStyle name="20% - Accent4 6 2 4 9" xfId="1585" xr:uid="{00000000-0005-0000-0000-000023060000}"/>
    <cellStyle name="20% - Accent4 6 2 5" xfId="1586" xr:uid="{00000000-0005-0000-0000-000024060000}"/>
    <cellStyle name="20% - Accent4 6 2 5 2" xfId="1587" xr:uid="{00000000-0005-0000-0000-000025060000}"/>
    <cellStyle name="20% - Accent4 6 2 5 3" xfId="1588" xr:uid="{00000000-0005-0000-0000-000026060000}"/>
    <cellStyle name="20% - Accent4 6 2 6" xfId="1589" xr:uid="{00000000-0005-0000-0000-000027060000}"/>
    <cellStyle name="20% - Accent4 6 2 6 2" xfId="1590" xr:uid="{00000000-0005-0000-0000-000028060000}"/>
    <cellStyle name="20% - Accent4 6 2 6 3" xfId="1591" xr:uid="{00000000-0005-0000-0000-000029060000}"/>
    <cellStyle name="20% - Accent4 6 2 7" xfId="1592" xr:uid="{00000000-0005-0000-0000-00002A060000}"/>
    <cellStyle name="20% - Accent4 6 2 7 2" xfId="1593" xr:uid="{00000000-0005-0000-0000-00002B060000}"/>
    <cellStyle name="20% - Accent4 6 2 7 3" xfId="1594" xr:uid="{00000000-0005-0000-0000-00002C060000}"/>
    <cellStyle name="20% - Accent4 6 2 8" xfId="1595" xr:uid="{00000000-0005-0000-0000-00002D060000}"/>
    <cellStyle name="20% - Accent4 6 2 8 2" xfId="1596" xr:uid="{00000000-0005-0000-0000-00002E060000}"/>
    <cellStyle name="20% - Accent4 6 2 8 3" xfId="1597" xr:uid="{00000000-0005-0000-0000-00002F060000}"/>
    <cellStyle name="20% - Accent4 6 2 9" xfId="1598" xr:uid="{00000000-0005-0000-0000-000030060000}"/>
    <cellStyle name="20% - Accent4 6 2 9 2" xfId="1599" xr:uid="{00000000-0005-0000-0000-000031060000}"/>
    <cellStyle name="20% - Accent4 6 2 9 3" xfId="1600" xr:uid="{00000000-0005-0000-0000-000032060000}"/>
    <cellStyle name="20% - Accent4 6 3" xfId="1601" xr:uid="{00000000-0005-0000-0000-000033060000}"/>
    <cellStyle name="20% - Accent4 6 3 10" xfId="1602" xr:uid="{00000000-0005-0000-0000-000034060000}"/>
    <cellStyle name="20% - Accent4 6 3 2" xfId="1603" xr:uid="{00000000-0005-0000-0000-000035060000}"/>
    <cellStyle name="20% - Accent4 6 3 2 2" xfId="1604" xr:uid="{00000000-0005-0000-0000-000036060000}"/>
    <cellStyle name="20% - Accent4 6 3 2 2 2" xfId="1605" xr:uid="{00000000-0005-0000-0000-000037060000}"/>
    <cellStyle name="20% - Accent4 6 3 2 2 3" xfId="1606" xr:uid="{00000000-0005-0000-0000-000038060000}"/>
    <cellStyle name="20% - Accent4 6 3 2 3" xfId="1607" xr:uid="{00000000-0005-0000-0000-000039060000}"/>
    <cellStyle name="20% - Accent4 6 3 2 3 2" xfId="1608" xr:uid="{00000000-0005-0000-0000-00003A060000}"/>
    <cellStyle name="20% - Accent4 6 3 2 3 3" xfId="1609" xr:uid="{00000000-0005-0000-0000-00003B060000}"/>
    <cellStyle name="20% - Accent4 6 3 2 4" xfId="1610" xr:uid="{00000000-0005-0000-0000-00003C060000}"/>
    <cellStyle name="20% - Accent4 6 3 2 4 2" xfId="1611" xr:uid="{00000000-0005-0000-0000-00003D060000}"/>
    <cellStyle name="20% - Accent4 6 3 2 4 3" xfId="1612" xr:uid="{00000000-0005-0000-0000-00003E060000}"/>
    <cellStyle name="20% - Accent4 6 3 2 5" xfId="1613" xr:uid="{00000000-0005-0000-0000-00003F060000}"/>
    <cellStyle name="20% - Accent4 6 3 2 5 2" xfId="1614" xr:uid="{00000000-0005-0000-0000-000040060000}"/>
    <cellStyle name="20% - Accent4 6 3 2 5 3" xfId="1615" xr:uid="{00000000-0005-0000-0000-000041060000}"/>
    <cellStyle name="20% - Accent4 6 3 2 6" xfId="1616" xr:uid="{00000000-0005-0000-0000-000042060000}"/>
    <cellStyle name="20% - Accent4 6 3 2 6 2" xfId="1617" xr:uid="{00000000-0005-0000-0000-000043060000}"/>
    <cellStyle name="20% - Accent4 6 3 2 6 3" xfId="1618" xr:uid="{00000000-0005-0000-0000-000044060000}"/>
    <cellStyle name="20% - Accent4 6 3 2 7" xfId="1619" xr:uid="{00000000-0005-0000-0000-000045060000}"/>
    <cellStyle name="20% - Accent4 6 3 2 7 2" xfId="1620" xr:uid="{00000000-0005-0000-0000-000046060000}"/>
    <cellStyle name="20% - Accent4 6 3 2 7 3" xfId="1621" xr:uid="{00000000-0005-0000-0000-000047060000}"/>
    <cellStyle name="20% - Accent4 6 3 2 8" xfId="1622" xr:uid="{00000000-0005-0000-0000-000048060000}"/>
    <cellStyle name="20% - Accent4 6 3 2 9" xfId="1623" xr:uid="{00000000-0005-0000-0000-000049060000}"/>
    <cellStyle name="20% - Accent4 6 3 3" xfId="1624" xr:uid="{00000000-0005-0000-0000-00004A060000}"/>
    <cellStyle name="20% - Accent4 6 3 3 2" xfId="1625" xr:uid="{00000000-0005-0000-0000-00004B060000}"/>
    <cellStyle name="20% - Accent4 6 3 3 3" xfId="1626" xr:uid="{00000000-0005-0000-0000-00004C060000}"/>
    <cellStyle name="20% - Accent4 6 3 4" xfId="1627" xr:uid="{00000000-0005-0000-0000-00004D060000}"/>
    <cellStyle name="20% - Accent4 6 3 4 2" xfId="1628" xr:uid="{00000000-0005-0000-0000-00004E060000}"/>
    <cellStyle name="20% - Accent4 6 3 4 3" xfId="1629" xr:uid="{00000000-0005-0000-0000-00004F060000}"/>
    <cellStyle name="20% - Accent4 6 3 5" xfId="1630" xr:uid="{00000000-0005-0000-0000-000050060000}"/>
    <cellStyle name="20% - Accent4 6 3 5 2" xfId="1631" xr:uid="{00000000-0005-0000-0000-000051060000}"/>
    <cellStyle name="20% - Accent4 6 3 5 3" xfId="1632" xr:uid="{00000000-0005-0000-0000-000052060000}"/>
    <cellStyle name="20% - Accent4 6 3 6" xfId="1633" xr:uid="{00000000-0005-0000-0000-000053060000}"/>
    <cellStyle name="20% - Accent4 6 3 6 2" xfId="1634" xr:uid="{00000000-0005-0000-0000-000054060000}"/>
    <cellStyle name="20% - Accent4 6 3 6 3" xfId="1635" xr:uid="{00000000-0005-0000-0000-000055060000}"/>
    <cellStyle name="20% - Accent4 6 3 7" xfId="1636" xr:uid="{00000000-0005-0000-0000-000056060000}"/>
    <cellStyle name="20% - Accent4 6 3 7 2" xfId="1637" xr:uid="{00000000-0005-0000-0000-000057060000}"/>
    <cellStyle name="20% - Accent4 6 3 7 3" xfId="1638" xr:uid="{00000000-0005-0000-0000-000058060000}"/>
    <cellStyle name="20% - Accent4 6 3 8" xfId="1639" xr:uid="{00000000-0005-0000-0000-000059060000}"/>
    <cellStyle name="20% - Accent4 6 3 8 2" xfId="1640" xr:uid="{00000000-0005-0000-0000-00005A060000}"/>
    <cellStyle name="20% - Accent4 6 3 8 3" xfId="1641" xr:uid="{00000000-0005-0000-0000-00005B060000}"/>
    <cellStyle name="20% - Accent4 6 3 9" xfId="1642" xr:uid="{00000000-0005-0000-0000-00005C060000}"/>
    <cellStyle name="20% - Accent4 6 4" xfId="1643" xr:uid="{00000000-0005-0000-0000-00005D060000}"/>
    <cellStyle name="20% - Accent4 6 4 10" xfId="1644" xr:uid="{00000000-0005-0000-0000-00005E060000}"/>
    <cellStyle name="20% - Accent4 6 4 2" xfId="1645" xr:uid="{00000000-0005-0000-0000-00005F060000}"/>
    <cellStyle name="20% - Accent4 6 4 2 2" xfId="1646" xr:uid="{00000000-0005-0000-0000-000060060000}"/>
    <cellStyle name="20% - Accent4 6 4 2 2 2" xfId="1647" xr:uid="{00000000-0005-0000-0000-000061060000}"/>
    <cellStyle name="20% - Accent4 6 4 2 2 3" xfId="1648" xr:uid="{00000000-0005-0000-0000-000062060000}"/>
    <cellStyle name="20% - Accent4 6 4 2 3" xfId="1649" xr:uid="{00000000-0005-0000-0000-000063060000}"/>
    <cellStyle name="20% - Accent4 6 4 2 3 2" xfId="1650" xr:uid="{00000000-0005-0000-0000-000064060000}"/>
    <cellStyle name="20% - Accent4 6 4 2 3 3" xfId="1651" xr:uid="{00000000-0005-0000-0000-000065060000}"/>
    <cellStyle name="20% - Accent4 6 4 2 4" xfId="1652" xr:uid="{00000000-0005-0000-0000-000066060000}"/>
    <cellStyle name="20% - Accent4 6 4 2 4 2" xfId="1653" xr:uid="{00000000-0005-0000-0000-000067060000}"/>
    <cellStyle name="20% - Accent4 6 4 2 4 3" xfId="1654" xr:uid="{00000000-0005-0000-0000-000068060000}"/>
    <cellStyle name="20% - Accent4 6 4 2 5" xfId="1655" xr:uid="{00000000-0005-0000-0000-000069060000}"/>
    <cellStyle name="20% - Accent4 6 4 2 5 2" xfId="1656" xr:uid="{00000000-0005-0000-0000-00006A060000}"/>
    <cellStyle name="20% - Accent4 6 4 2 5 3" xfId="1657" xr:uid="{00000000-0005-0000-0000-00006B060000}"/>
    <cellStyle name="20% - Accent4 6 4 2 6" xfId="1658" xr:uid="{00000000-0005-0000-0000-00006C060000}"/>
    <cellStyle name="20% - Accent4 6 4 2 6 2" xfId="1659" xr:uid="{00000000-0005-0000-0000-00006D060000}"/>
    <cellStyle name="20% - Accent4 6 4 2 6 3" xfId="1660" xr:uid="{00000000-0005-0000-0000-00006E060000}"/>
    <cellStyle name="20% - Accent4 6 4 2 7" xfId="1661" xr:uid="{00000000-0005-0000-0000-00006F060000}"/>
    <cellStyle name="20% - Accent4 6 4 2 7 2" xfId="1662" xr:uid="{00000000-0005-0000-0000-000070060000}"/>
    <cellStyle name="20% - Accent4 6 4 2 7 3" xfId="1663" xr:uid="{00000000-0005-0000-0000-000071060000}"/>
    <cellStyle name="20% - Accent4 6 4 2 8" xfId="1664" xr:uid="{00000000-0005-0000-0000-000072060000}"/>
    <cellStyle name="20% - Accent4 6 4 2 9" xfId="1665" xr:uid="{00000000-0005-0000-0000-000073060000}"/>
    <cellStyle name="20% - Accent4 6 4 3" xfId="1666" xr:uid="{00000000-0005-0000-0000-000074060000}"/>
    <cellStyle name="20% - Accent4 6 4 3 2" xfId="1667" xr:uid="{00000000-0005-0000-0000-000075060000}"/>
    <cellStyle name="20% - Accent4 6 4 3 3" xfId="1668" xr:uid="{00000000-0005-0000-0000-000076060000}"/>
    <cellStyle name="20% - Accent4 6 4 4" xfId="1669" xr:uid="{00000000-0005-0000-0000-000077060000}"/>
    <cellStyle name="20% - Accent4 6 4 4 2" xfId="1670" xr:uid="{00000000-0005-0000-0000-000078060000}"/>
    <cellStyle name="20% - Accent4 6 4 4 3" xfId="1671" xr:uid="{00000000-0005-0000-0000-000079060000}"/>
    <cellStyle name="20% - Accent4 6 4 5" xfId="1672" xr:uid="{00000000-0005-0000-0000-00007A060000}"/>
    <cellStyle name="20% - Accent4 6 4 5 2" xfId="1673" xr:uid="{00000000-0005-0000-0000-00007B060000}"/>
    <cellStyle name="20% - Accent4 6 4 5 3" xfId="1674" xr:uid="{00000000-0005-0000-0000-00007C060000}"/>
    <cellStyle name="20% - Accent4 6 4 6" xfId="1675" xr:uid="{00000000-0005-0000-0000-00007D060000}"/>
    <cellStyle name="20% - Accent4 6 4 6 2" xfId="1676" xr:uid="{00000000-0005-0000-0000-00007E060000}"/>
    <cellStyle name="20% - Accent4 6 4 6 3" xfId="1677" xr:uid="{00000000-0005-0000-0000-00007F060000}"/>
    <cellStyle name="20% - Accent4 6 4 7" xfId="1678" xr:uid="{00000000-0005-0000-0000-000080060000}"/>
    <cellStyle name="20% - Accent4 6 4 7 2" xfId="1679" xr:uid="{00000000-0005-0000-0000-000081060000}"/>
    <cellStyle name="20% - Accent4 6 4 7 3" xfId="1680" xr:uid="{00000000-0005-0000-0000-000082060000}"/>
    <cellStyle name="20% - Accent4 6 4 8" xfId="1681" xr:uid="{00000000-0005-0000-0000-000083060000}"/>
    <cellStyle name="20% - Accent4 6 4 8 2" xfId="1682" xr:uid="{00000000-0005-0000-0000-000084060000}"/>
    <cellStyle name="20% - Accent4 6 4 8 3" xfId="1683" xr:uid="{00000000-0005-0000-0000-000085060000}"/>
    <cellStyle name="20% - Accent4 6 4 9" xfId="1684" xr:uid="{00000000-0005-0000-0000-000086060000}"/>
    <cellStyle name="20% - Accent4 6 5" xfId="1685" xr:uid="{00000000-0005-0000-0000-000087060000}"/>
    <cellStyle name="20% - Accent4 6 5 2" xfId="1686" xr:uid="{00000000-0005-0000-0000-000088060000}"/>
    <cellStyle name="20% - Accent4 6 5 2 2" xfId="1687" xr:uid="{00000000-0005-0000-0000-000089060000}"/>
    <cellStyle name="20% - Accent4 6 5 2 3" xfId="1688" xr:uid="{00000000-0005-0000-0000-00008A060000}"/>
    <cellStyle name="20% - Accent4 6 5 3" xfId="1689" xr:uid="{00000000-0005-0000-0000-00008B060000}"/>
    <cellStyle name="20% - Accent4 6 5 3 2" xfId="1690" xr:uid="{00000000-0005-0000-0000-00008C060000}"/>
    <cellStyle name="20% - Accent4 6 5 3 3" xfId="1691" xr:uid="{00000000-0005-0000-0000-00008D060000}"/>
    <cellStyle name="20% - Accent4 6 5 4" xfId="1692" xr:uid="{00000000-0005-0000-0000-00008E060000}"/>
    <cellStyle name="20% - Accent4 6 5 4 2" xfId="1693" xr:uid="{00000000-0005-0000-0000-00008F060000}"/>
    <cellStyle name="20% - Accent4 6 5 4 3" xfId="1694" xr:uid="{00000000-0005-0000-0000-000090060000}"/>
    <cellStyle name="20% - Accent4 6 5 5" xfId="1695" xr:uid="{00000000-0005-0000-0000-000091060000}"/>
    <cellStyle name="20% - Accent4 6 5 5 2" xfId="1696" xr:uid="{00000000-0005-0000-0000-000092060000}"/>
    <cellStyle name="20% - Accent4 6 5 5 3" xfId="1697" xr:uid="{00000000-0005-0000-0000-000093060000}"/>
    <cellStyle name="20% - Accent4 6 5 6" xfId="1698" xr:uid="{00000000-0005-0000-0000-000094060000}"/>
    <cellStyle name="20% - Accent4 6 5 6 2" xfId="1699" xr:uid="{00000000-0005-0000-0000-000095060000}"/>
    <cellStyle name="20% - Accent4 6 5 6 3" xfId="1700" xr:uid="{00000000-0005-0000-0000-000096060000}"/>
    <cellStyle name="20% - Accent4 6 5 7" xfId="1701" xr:uid="{00000000-0005-0000-0000-000097060000}"/>
    <cellStyle name="20% - Accent4 6 5 7 2" xfId="1702" xr:uid="{00000000-0005-0000-0000-000098060000}"/>
    <cellStyle name="20% - Accent4 6 5 7 3" xfId="1703" xr:uid="{00000000-0005-0000-0000-000099060000}"/>
    <cellStyle name="20% - Accent4 6 5 8" xfId="1704" xr:uid="{00000000-0005-0000-0000-00009A060000}"/>
    <cellStyle name="20% - Accent4 6 5 9" xfId="1705" xr:uid="{00000000-0005-0000-0000-00009B060000}"/>
    <cellStyle name="20% - Accent4 6 6" xfId="1706" xr:uid="{00000000-0005-0000-0000-00009C060000}"/>
    <cellStyle name="20% - Accent4 6 6 2" xfId="1707" xr:uid="{00000000-0005-0000-0000-00009D060000}"/>
    <cellStyle name="20% - Accent4 6 6 3" xfId="1708" xr:uid="{00000000-0005-0000-0000-00009E060000}"/>
    <cellStyle name="20% - Accent4 6 7" xfId="1709" xr:uid="{00000000-0005-0000-0000-00009F060000}"/>
    <cellStyle name="20% - Accent4 6 7 2" xfId="1710" xr:uid="{00000000-0005-0000-0000-0000A0060000}"/>
    <cellStyle name="20% - Accent4 6 7 3" xfId="1711" xr:uid="{00000000-0005-0000-0000-0000A1060000}"/>
    <cellStyle name="20% - Accent4 6 8" xfId="1712" xr:uid="{00000000-0005-0000-0000-0000A2060000}"/>
    <cellStyle name="20% - Accent4 6 8 2" xfId="1713" xr:uid="{00000000-0005-0000-0000-0000A3060000}"/>
    <cellStyle name="20% - Accent4 6 8 3" xfId="1714" xr:uid="{00000000-0005-0000-0000-0000A4060000}"/>
    <cellStyle name="20% - Accent4 6 9" xfId="1715" xr:uid="{00000000-0005-0000-0000-0000A5060000}"/>
    <cellStyle name="20% - Accent4 6 9 2" xfId="1716" xr:uid="{00000000-0005-0000-0000-0000A6060000}"/>
    <cellStyle name="20% - Accent4 6 9 3" xfId="1717" xr:uid="{00000000-0005-0000-0000-0000A7060000}"/>
    <cellStyle name="20% - Accent4 7" xfId="1718" xr:uid="{00000000-0005-0000-0000-0000A8060000}"/>
    <cellStyle name="20% - Accent4 7 10" xfId="1719" xr:uid="{00000000-0005-0000-0000-0000A9060000}"/>
    <cellStyle name="20% - Accent4 7 10 2" xfId="1720" xr:uid="{00000000-0005-0000-0000-0000AA060000}"/>
    <cellStyle name="20% - Accent4 7 10 3" xfId="1721" xr:uid="{00000000-0005-0000-0000-0000AB060000}"/>
    <cellStyle name="20% - Accent4 7 11" xfId="1722" xr:uid="{00000000-0005-0000-0000-0000AC060000}"/>
    <cellStyle name="20% - Accent4 7 12" xfId="1723" xr:uid="{00000000-0005-0000-0000-0000AD060000}"/>
    <cellStyle name="20% - Accent4 7 2" xfId="1724" xr:uid="{00000000-0005-0000-0000-0000AE060000}"/>
    <cellStyle name="20% - Accent4 7 2 10" xfId="1725" xr:uid="{00000000-0005-0000-0000-0000AF060000}"/>
    <cellStyle name="20% - Accent4 7 2 2" xfId="1726" xr:uid="{00000000-0005-0000-0000-0000B0060000}"/>
    <cellStyle name="20% - Accent4 7 2 2 2" xfId="1727" xr:uid="{00000000-0005-0000-0000-0000B1060000}"/>
    <cellStyle name="20% - Accent4 7 2 2 2 2" xfId="1728" xr:uid="{00000000-0005-0000-0000-0000B2060000}"/>
    <cellStyle name="20% - Accent4 7 2 2 2 3" xfId="1729" xr:uid="{00000000-0005-0000-0000-0000B3060000}"/>
    <cellStyle name="20% - Accent4 7 2 2 3" xfId="1730" xr:uid="{00000000-0005-0000-0000-0000B4060000}"/>
    <cellStyle name="20% - Accent4 7 2 2 3 2" xfId="1731" xr:uid="{00000000-0005-0000-0000-0000B5060000}"/>
    <cellStyle name="20% - Accent4 7 2 2 3 3" xfId="1732" xr:uid="{00000000-0005-0000-0000-0000B6060000}"/>
    <cellStyle name="20% - Accent4 7 2 2 4" xfId="1733" xr:uid="{00000000-0005-0000-0000-0000B7060000}"/>
    <cellStyle name="20% - Accent4 7 2 2 4 2" xfId="1734" xr:uid="{00000000-0005-0000-0000-0000B8060000}"/>
    <cellStyle name="20% - Accent4 7 2 2 4 3" xfId="1735" xr:uid="{00000000-0005-0000-0000-0000B9060000}"/>
    <cellStyle name="20% - Accent4 7 2 2 5" xfId="1736" xr:uid="{00000000-0005-0000-0000-0000BA060000}"/>
    <cellStyle name="20% - Accent4 7 2 2 5 2" xfId="1737" xr:uid="{00000000-0005-0000-0000-0000BB060000}"/>
    <cellStyle name="20% - Accent4 7 2 2 5 3" xfId="1738" xr:uid="{00000000-0005-0000-0000-0000BC060000}"/>
    <cellStyle name="20% - Accent4 7 2 2 6" xfId="1739" xr:uid="{00000000-0005-0000-0000-0000BD060000}"/>
    <cellStyle name="20% - Accent4 7 2 2 6 2" xfId="1740" xr:uid="{00000000-0005-0000-0000-0000BE060000}"/>
    <cellStyle name="20% - Accent4 7 2 2 6 3" xfId="1741" xr:uid="{00000000-0005-0000-0000-0000BF060000}"/>
    <cellStyle name="20% - Accent4 7 2 2 7" xfId="1742" xr:uid="{00000000-0005-0000-0000-0000C0060000}"/>
    <cellStyle name="20% - Accent4 7 2 2 7 2" xfId="1743" xr:uid="{00000000-0005-0000-0000-0000C1060000}"/>
    <cellStyle name="20% - Accent4 7 2 2 7 3" xfId="1744" xr:uid="{00000000-0005-0000-0000-0000C2060000}"/>
    <cellStyle name="20% - Accent4 7 2 2 8" xfId="1745" xr:uid="{00000000-0005-0000-0000-0000C3060000}"/>
    <cellStyle name="20% - Accent4 7 2 2 9" xfId="1746" xr:uid="{00000000-0005-0000-0000-0000C4060000}"/>
    <cellStyle name="20% - Accent4 7 2 3" xfId="1747" xr:uid="{00000000-0005-0000-0000-0000C5060000}"/>
    <cellStyle name="20% - Accent4 7 2 3 2" xfId="1748" xr:uid="{00000000-0005-0000-0000-0000C6060000}"/>
    <cellStyle name="20% - Accent4 7 2 3 3" xfId="1749" xr:uid="{00000000-0005-0000-0000-0000C7060000}"/>
    <cellStyle name="20% - Accent4 7 2 4" xfId="1750" xr:uid="{00000000-0005-0000-0000-0000C8060000}"/>
    <cellStyle name="20% - Accent4 7 2 4 2" xfId="1751" xr:uid="{00000000-0005-0000-0000-0000C9060000}"/>
    <cellStyle name="20% - Accent4 7 2 4 3" xfId="1752" xr:uid="{00000000-0005-0000-0000-0000CA060000}"/>
    <cellStyle name="20% - Accent4 7 2 5" xfId="1753" xr:uid="{00000000-0005-0000-0000-0000CB060000}"/>
    <cellStyle name="20% - Accent4 7 2 5 2" xfId="1754" xr:uid="{00000000-0005-0000-0000-0000CC060000}"/>
    <cellStyle name="20% - Accent4 7 2 5 3" xfId="1755" xr:uid="{00000000-0005-0000-0000-0000CD060000}"/>
    <cellStyle name="20% - Accent4 7 2 6" xfId="1756" xr:uid="{00000000-0005-0000-0000-0000CE060000}"/>
    <cellStyle name="20% - Accent4 7 2 6 2" xfId="1757" xr:uid="{00000000-0005-0000-0000-0000CF060000}"/>
    <cellStyle name="20% - Accent4 7 2 6 3" xfId="1758" xr:uid="{00000000-0005-0000-0000-0000D0060000}"/>
    <cellStyle name="20% - Accent4 7 2 7" xfId="1759" xr:uid="{00000000-0005-0000-0000-0000D1060000}"/>
    <cellStyle name="20% - Accent4 7 2 7 2" xfId="1760" xr:uid="{00000000-0005-0000-0000-0000D2060000}"/>
    <cellStyle name="20% - Accent4 7 2 7 3" xfId="1761" xr:uid="{00000000-0005-0000-0000-0000D3060000}"/>
    <cellStyle name="20% - Accent4 7 2 8" xfId="1762" xr:uid="{00000000-0005-0000-0000-0000D4060000}"/>
    <cellStyle name="20% - Accent4 7 2 8 2" xfId="1763" xr:uid="{00000000-0005-0000-0000-0000D5060000}"/>
    <cellStyle name="20% - Accent4 7 2 8 3" xfId="1764" xr:uid="{00000000-0005-0000-0000-0000D6060000}"/>
    <cellStyle name="20% - Accent4 7 2 9" xfId="1765" xr:uid="{00000000-0005-0000-0000-0000D7060000}"/>
    <cellStyle name="20% - Accent4 7 3" xfId="1766" xr:uid="{00000000-0005-0000-0000-0000D8060000}"/>
    <cellStyle name="20% - Accent4 7 3 10" xfId="1767" xr:uid="{00000000-0005-0000-0000-0000D9060000}"/>
    <cellStyle name="20% - Accent4 7 3 2" xfId="1768" xr:uid="{00000000-0005-0000-0000-0000DA060000}"/>
    <cellStyle name="20% - Accent4 7 3 2 2" xfId="1769" xr:uid="{00000000-0005-0000-0000-0000DB060000}"/>
    <cellStyle name="20% - Accent4 7 3 2 2 2" xfId="1770" xr:uid="{00000000-0005-0000-0000-0000DC060000}"/>
    <cellStyle name="20% - Accent4 7 3 2 2 3" xfId="1771" xr:uid="{00000000-0005-0000-0000-0000DD060000}"/>
    <cellStyle name="20% - Accent4 7 3 2 3" xfId="1772" xr:uid="{00000000-0005-0000-0000-0000DE060000}"/>
    <cellStyle name="20% - Accent4 7 3 2 3 2" xfId="1773" xr:uid="{00000000-0005-0000-0000-0000DF060000}"/>
    <cellStyle name="20% - Accent4 7 3 2 3 3" xfId="1774" xr:uid="{00000000-0005-0000-0000-0000E0060000}"/>
    <cellStyle name="20% - Accent4 7 3 2 4" xfId="1775" xr:uid="{00000000-0005-0000-0000-0000E1060000}"/>
    <cellStyle name="20% - Accent4 7 3 2 4 2" xfId="1776" xr:uid="{00000000-0005-0000-0000-0000E2060000}"/>
    <cellStyle name="20% - Accent4 7 3 2 4 3" xfId="1777" xr:uid="{00000000-0005-0000-0000-0000E3060000}"/>
    <cellStyle name="20% - Accent4 7 3 2 5" xfId="1778" xr:uid="{00000000-0005-0000-0000-0000E4060000}"/>
    <cellStyle name="20% - Accent4 7 3 2 5 2" xfId="1779" xr:uid="{00000000-0005-0000-0000-0000E5060000}"/>
    <cellStyle name="20% - Accent4 7 3 2 5 3" xfId="1780" xr:uid="{00000000-0005-0000-0000-0000E6060000}"/>
    <cellStyle name="20% - Accent4 7 3 2 6" xfId="1781" xr:uid="{00000000-0005-0000-0000-0000E7060000}"/>
    <cellStyle name="20% - Accent4 7 3 2 6 2" xfId="1782" xr:uid="{00000000-0005-0000-0000-0000E8060000}"/>
    <cellStyle name="20% - Accent4 7 3 2 6 3" xfId="1783" xr:uid="{00000000-0005-0000-0000-0000E9060000}"/>
    <cellStyle name="20% - Accent4 7 3 2 7" xfId="1784" xr:uid="{00000000-0005-0000-0000-0000EA060000}"/>
    <cellStyle name="20% - Accent4 7 3 2 7 2" xfId="1785" xr:uid="{00000000-0005-0000-0000-0000EB060000}"/>
    <cellStyle name="20% - Accent4 7 3 2 7 3" xfId="1786" xr:uid="{00000000-0005-0000-0000-0000EC060000}"/>
    <cellStyle name="20% - Accent4 7 3 2 8" xfId="1787" xr:uid="{00000000-0005-0000-0000-0000ED060000}"/>
    <cellStyle name="20% - Accent4 7 3 2 9" xfId="1788" xr:uid="{00000000-0005-0000-0000-0000EE060000}"/>
    <cellStyle name="20% - Accent4 7 3 3" xfId="1789" xr:uid="{00000000-0005-0000-0000-0000EF060000}"/>
    <cellStyle name="20% - Accent4 7 3 3 2" xfId="1790" xr:uid="{00000000-0005-0000-0000-0000F0060000}"/>
    <cellStyle name="20% - Accent4 7 3 3 3" xfId="1791" xr:uid="{00000000-0005-0000-0000-0000F1060000}"/>
    <cellStyle name="20% - Accent4 7 3 4" xfId="1792" xr:uid="{00000000-0005-0000-0000-0000F2060000}"/>
    <cellStyle name="20% - Accent4 7 3 4 2" xfId="1793" xr:uid="{00000000-0005-0000-0000-0000F3060000}"/>
    <cellStyle name="20% - Accent4 7 3 4 3" xfId="1794" xr:uid="{00000000-0005-0000-0000-0000F4060000}"/>
    <cellStyle name="20% - Accent4 7 3 5" xfId="1795" xr:uid="{00000000-0005-0000-0000-0000F5060000}"/>
    <cellStyle name="20% - Accent4 7 3 5 2" xfId="1796" xr:uid="{00000000-0005-0000-0000-0000F6060000}"/>
    <cellStyle name="20% - Accent4 7 3 5 3" xfId="1797" xr:uid="{00000000-0005-0000-0000-0000F7060000}"/>
    <cellStyle name="20% - Accent4 7 3 6" xfId="1798" xr:uid="{00000000-0005-0000-0000-0000F8060000}"/>
    <cellStyle name="20% - Accent4 7 3 6 2" xfId="1799" xr:uid="{00000000-0005-0000-0000-0000F9060000}"/>
    <cellStyle name="20% - Accent4 7 3 6 3" xfId="1800" xr:uid="{00000000-0005-0000-0000-0000FA060000}"/>
    <cellStyle name="20% - Accent4 7 3 7" xfId="1801" xr:uid="{00000000-0005-0000-0000-0000FB060000}"/>
    <cellStyle name="20% - Accent4 7 3 7 2" xfId="1802" xr:uid="{00000000-0005-0000-0000-0000FC060000}"/>
    <cellStyle name="20% - Accent4 7 3 7 3" xfId="1803" xr:uid="{00000000-0005-0000-0000-0000FD060000}"/>
    <cellStyle name="20% - Accent4 7 3 8" xfId="1804" xr:uid="{00000000-0005-0000-0000-0000FE060000}"/>
    <cellStyle name="20% - Accent4 7 3 8 2" xfId="1805" xr:uid="{00000000-0005-0000-0000-0000FF060000}"/>
    <cellStyle name="20% - Accent4 7 3 8 3" xfId="1806" xr:uid="{00000000-0005-0000-0000-000000070000}"/>
    <cellStyle name="20% - Accent4 7 3 9" xfId="1807" xr:uid="{00000000-0005-0000-0000-000001070000}"/>
    <cellStyle name="20% - Accent4 7 4" xfId="1808" xr:uid="{00000000-0005-0000-0000-000002070000}"/>
    <cellStyle name="20% - Accent4 7 4 2" xfId="1809" xr:uid="{00000000-0005-0000-0000-000003070000}"/>
    <cellStyle name="20% - Accent4 7 4 2 2" xfId="1810" xr:uid="{00000000-0005-0000-0000-000004070000}"/>
    <cellStyle name="20% - Accent4 7 4 2 3" xfId="1811" xr:uid="{00000000-0005-0000-0000-000005070000}"/>
    <cellStyle name="20% - Accent4 7 4 3" xfId="1812" xr:uid="{00000000-0005-0000-0000-000006070000}"/>
    <cellStyle name="20% - Accent4 7 4 3 2" xfId="1813" xr:uid="{00000000-0005-0000-0000-000007070000}"/>
    <cellStyle name="20% - Accent4 7 4 3 3" xfId="1814" xr:uid="{00000000-0005-0000-0000-000008070000}"/>
    <cellStyle name="20% - Accent4 7 4 4" xfId="1815" xr:uid="{00000000-0005-0000-0000-000009070000}"/>
    <cellStyle name="20% - Accent4 7 4 4 2" xfId="1816" xr:uid="{00000000-0005-0000-0000-00000A070000}"/>
    <cellStyle name="20% - Accent4 7 4 4 3" xfId="1817" xr:uid="{00000000-0005-0000-0000-00000B070000}"/>
    <cellStyle name="20% - Accent4 7 4 5" xfId="1818" xr:uid="{00000000-0005-0000-0000-00000C070000}"/>
    <cellStyle name="20% - Accent4 7 4 5 2" xfId="1819" xr:uid="{00000000-0005-0000-0000-00000D070000}"/>
    <cellStyle name="20% - Accent4 7 4 5 3" xfId="1820" xr:uid="{00000000-0005-0000-0000-00000E070000}"/>
    <cellStyle name="20% - Accent4 7 4 6" xfId="1821" xr:uid="{00000000-0005-0000-0000-00000F070000}"/>
    <cellStyle name="20% - Accent4 7 4 6 2" xfId="1822" xr:uid="{00000000-0005-0000-0000-000010070000}"/>
    <cellStyle name="20% - Accent4 7 4 6 3" xfId="1823" xr:uid="{00000000-0005-0000-0000-000011070000}"/>
    <cellStyle name="20% - Accent4 7 4 7" xfId="1824" xr:uid="{00000000-0005-0000-0000-000012070000}"/>
    <cellStyle name="20% - Accent4 7 4 7 2" xfId="1825" xr:uid="{00000000-0005-0000-0000-000013070000}"/>
    <cellStyle name="20% - Accent4 7 4 7 3" xfId="1826" xr:uid="{00000000-0005-0000-0000-000014070000}"/>
    <cellStyle name="20% - Accent4 7 4 8" xfId="1827" xr:uid="{00000000-0005-0000-0000-000015070000}"/>
    <cellStyle name="20% - Accent4 7 4 9" xfId="1828" xr:uid="{00000000-0005-0000-0000-000016070000}"/>
    <cellStyle name="20% - Accent4 7 5" xfId="1829" xr:uid="{00000000-0005-0000-0000-000017070000}"/>
    <cellStyle name="20% - Accent4 7 5 2" xfId="1830" xr:uid="{00000000-0005-0000-0000-000018070000}"/>
    <cellStyle name="20% - Accent4 7 5 3" xfId="1831" xr:uid="{00000000-0005-0000-0000-000019070000}"/>
    <cellStyle name="20% - Accent4 7 6" xfId="1832" xr:uid="{00000000-0005-0000-0000-00001A070000}"/>
    <cellStyle name="20% - Accent4 7 6 2" xfId="1833" xr:uid="{00000000-0005-0000-0000-00001B070000}"/>
    <cellStyle name="20% - Accent4 7 6 3" xfId="1834" xr:uid="{00000000-0005-0000-0000-00001C070000}"/>
    <cellStyle name="20% - Accent4 7 7" xfId="1835" xr:uid="{00000000-0005-0000-0000-00001D070000}"/>
    <cellStyle name="20% - Accent4 7 7 2" xfId="1836" xr:uid="{00000000-0005-0000-0000-00001E070000}"/>
    <cellStyle name="20% - Accent4 7 7 3" xfId="1837" xr:uid="{00000000-0005-0000-0000-00001F070000}"/>
    <cellStyle name="20% - Accent4 7 8" xfId="1838" xr:uid="{00000000-0005-0000-0000-000020070000}"/>
    <cellStyle name="20% - Accent4 7 8 2" xfId="1839" xr:uid="{00000000-0005-0000-0000-000021070000}"/>
    <cellStyle name="20% - Accent4 7 8 3" xfId="1840" xr:uid="{00000000-0005-0000-0000-000022070000}"/>
    <cellStyle name="20% - Accent4 7 9" xfId="1841" xr:uid="{00000000-0005-0000-0000-000023070000}"/>
    <cellStyle name="20% - Accent4 7 9 2" xfId="1842" xr:uid="{00000000-0005-0000-0000-000024070000}"/>
    <cellStyle name="20% - Accent4 7 9 3" xfId="1843" xr:uid="{00000000-0005-0000-0000-000025070000}"/>
    <cellStyle name="20% - Accent4 8" xfId="1844" xr:uid="{00000000-0005-0000-0000-000026070000}"/>
    <cellStyle name="20% - Accent4 8 2" xfId="1845" xr:uid="{00000000-0005-0000-0000-000027070000}"/>
    <cellStyle name="20% - Accent4 8 2 2" xfId="1846" xr:uid="{00000000-0005-0000-0000-000028070000}"/>
    <cellStyle name="20% - Accent4 8 2 3" xfId="1847" xr:uid="{00000000-0005-0000-0000-000029070000}"/>
    <cellStyle name="20% - Accent4 8 3" xfId="1848" xr:uid="{00000000-0005-0000-0000-00002A070000}"/>
    <cellStyle name="20% - Accent4 8 3 2" xfId="1849" xr:uid="{00000000-0005-0000-0000-00002B070000}"/>
    <cellStyle name="20% - Accent4 8 3 3" xfId="1850" xr:uid="{00000000-0005-0000-0000-00002C070000}"/>
    <cellStyle name="20% - Accent4 8 4" xfId="1851" xr:uid="{00000000-0005-0000-0000-00002D070000}"/>
    <cellStyle name="20% - Accent4 8 4 2" xfId="1852" xr:uid="{00000000-0005-0000-0000-00002E070000}"/>
    <cellStyle name="20% - Accent4 8 4 3" xfId="1853" xr:uid="{00000000-0005-0000-0000-00002F070000}"/>
    <cellStyle name="20% - Accent4 8 5" xfId="1854" xr:uid="{00000000-0005-0000-0000-000030070000}"/>
    <cellStyle name="20% - Accent4 8 5 2" xfId="1855" xr:uid="{00000000-0005-0000-0000-000031070000}"/>
    <cellStyle name="20% - Accent4 8 5 3" xfId="1856" xr:uid="{00000000-0005-0000-0000-000032070000}"/>
    <cellStyle name="20% - Accent4 8 6" xfId="1857" xr:uid="{00000000-0005-0000-0000-000033070000}"/>
    <cellStyle name="20% - Accent4 8 6 2" xfId="1858" xr:uid="{00000000-0005-0000-0000-000034070000}"/>
    <cellStyle name="20% - Accent4 8 6 3" xfId="1859" xr:uid="{00000000-0005-0000-0000-000035070000}"/>
    <cellStyle name="20% - Accent4 8 7" xfId="1860" xr:uid="{00000000-0005-0000-0000-000036070000}"/>
    <cellStyle name="20% - Accent4 8 7 2" xfId="1861" xr:uid="{00000000-0005-0000-0000-000037070000}"/>
    <cellStyle name="20% - Accent4 8 7 3" xfId="1862" xr:uid="{00000000-0005-0000-0000-000038070000}"/>
    <cellStyle name="20% - Accent4 8 8" xfId="1863" xr:uid="{00000000-0005-0000-0000-000039070000}"/>
    <cellStyle name="20% - Accent4 8 9" xfId="1864" xr:uid="{00000000-0005-0000-0000-00003A070000}"/>
    <cellStyle name="20% - Accent4 9" xfId="1865" xr:uid="{00000000-0005-0000-0000-00003B070000}"/>
    <cellStyle name="20% - Accent4 9 2" xfId="1866" xr:uid="{00000000-0005-0000-0000-00003C070000}"/>
    <cellStyle name="20% - Accent4 9 3" xfId="1867" xr:uid="{00000000-0005-0000-0000-00003D070000}"/>
    <cellStyle name="20% - Accent5 2" xfId="1868" xr:uid="{00000000-0005-0000-0000-00003E070000}"/>
    <cellStyle name="20% - Accent5 3" xfId="1869" xr:uid="{00000000-0005-0000-0000-00003F070000}"/>
    <cellStyle name="20% - Accent5 4" xfId="1870" xr:uid="{00000000-0005-0000-0000-000040070000}"/>
    <cellStyle name="20% - Accent6 2" xfId="1871" xr:uid="{00000000-0005-0000-0000-000041070000}"/>
    <cellStyle name="20% - Accent6 3" xfId="1872" xr:uid="{00000000-0005-0000-0000-000042070000}"/>
    <cellStyle name="20% - Accent6 4" xfId="1873" xr:uid="{00000000-0005-0000-0000-000043070000}"/>
    <cellStyle name="40% - Accent1 2" xfId="1874" xr:uid="{00000000-0005-0000-0000-000044070000}"/>
    <cellStyle name="40% - Accent1 3" xfId="1875" xr:uid="{00000000-0005-0000-0000-000045070000}"/>
    <cellStyle name="40% - Accent1 4" xfId="1876" xr:uid="{00000000-0005-0000-0000-000046070000}"/>
    <cellStyle name="40% - Accent2 10" xfId="1877" xr:uid="{00000000-0005-0000-0000-000047070000}"/>
    <cellStyle name="40% - Accent2 10 2" xfId="1878" xr:uid="{00000000-0005-0000-0000-000048070000}"/>
    <cellStyle name="40% - Accent2 10 3" xfId="1879" xr:uid="{00000000-0005-0000-0000-000049070000}"/>
    <cellStyle name="40% - Accent2 11" xfId="1880" xr:uid="{00000000-0005-0000-0000-00004A070000}"/>
    <cellStyle name="40% - Accent2 11 2" xfId="1881" xr:uid="{00000000-0005-0000-0000-00004B070000}"/>
    <cellStyle name="40% - Accent2 11 3" xfId="1882" xr:uid="{00000000-0005-0000-0000-00004C070000}"/>
    <cellStyle name="40% - Accent2 12" xfId="1883" xr:uid="{00000000-0005-0000-0000-00004D070000}"/>
    <cellStyle name="40% - Accent2 12 2" xfId="1884" xr:uid="{00000000-0005-0000-0000-00004E070000}"/>
    <cellStyle name="40% - Accent2 12 3" xfId="1885" xr:uid="{00000000-0005-0000-0000-00004F070000}"/>
    <cellStyle name="40% - Accent2 13" xfId="1886" xr:uid="{00000000-0005-0000-0000-000050070000}"/>
    <cellStyle name="40% - Accent2 13 2" xfId="1887" xr:uid="{00000000-0005-0000-0000-000051070000}"/>
    <cellStyle name="40% - Accent2 13 3" xfId="1888" xr:uid="{00000000-0005-0000-0000-000052070000}"/>
    <cellStyle name="40% - Accent2 14" xfId="1889" xr:uid="{00000000-0005-0000-0000-000053070000}"/>
    <cellStyle name="40% - Accent2 14 2" xfId="1890" xr:uid="{00000000-0005-0000-0000-000054070000}"/>
    <cellStyle name="40% - Accent2 14 3" xfId="1891" xr:uid="{00000000-0005-0000-0000-000055070000}"/>
    <cellStyle name="40% - Accent2 2" xfId="1892" xr:uid="{00000000-0005-0000-0000-000056070000}"/>
    <cellStyle name="40% - Accent2 3" xfId="1893" xr:uid="{00000000-0005-0000-0000-000057070000}"/>
    <cellStyle name="40% - Accent2 4" xfId="1894" xr:uid="{00000000-0005-0000-0000-000058070000}"/>
    <cellStyle name="40% - Accent2 5" xfId="1895" xr:uid="{00000000-0005-0000-0000-000059070000}"/>
    <cellStyle name="40% - Accent2 5 10" xfId="1896" xr:uid="{00000000-0005-0000-0000-00005A070000}"/>
    <cellStyle name="40% - Accent2 5 10 2" xfId="1897" xr:uid="{00000000-0005-0000-0000-00005B070000}"/>
    <cellStyle name="40% - Accent2 5 10 3" xfId="1898" xr:uid="{00000000-0005-0000-0000-00005C070000}"/>
    <cellStyle name="40% - Accent2 5 11" xfId="1899" xr:uid="{00000000-0005-0000-0000-00005D070000}"/>
    <cellStyle name="40% - Accent2 5 11 2" xfId="1900" xr:uid="{00000000-0005-0000-0000-00005E070000}"/>
    <cellStyle name="40% - Accent2 5 11 3" xfId="1901" xr:uid="{00000000-0005-0000-0000-00005F070000}"/>
    <cellStyle name="40% - Accent2 5 12" xfId="1902" xr:uid="{00000000-0005-0000-0000-000060070000}"/>
    <cellStyle name="40% - Accent2 5 12 2" xfId="1903" xr:uid="{00000000-0005-0000-0000-000061070000}"/>
    <cellStyle name="40% - Accent2 5 12 3" xfId="1904" xr:uid="{00000000-0005-0000-0000-000062070000}"/>
    <cellStyle name="40% - Accent2 5 13" xfId="1905" xr:uid="{00000000-0005-0000-0000-000063070000}"/>
    <cellStyle name="40% - Accent2 5 14" xfId="1906" xr:uid="{00000000-0005-0000-0000-000064070000}"/>
    <cellStyle name="40% - Accent2 5 2" xfId="1907" xr:uid="{00000000-0005-0000-0000-000065070000}"/>
    <cellStyle name="40% - Accent2 5 2 10" xfId="1908" xr:uid="{00000000-0005-0000-0000-000066070000}"/>
    <cellStyle name="40% - Accent2 5 2 10 2" xfId="1909" xr:uid="{00000000-0005-0000-0000-000067070000}"/>
    <cellStyle name="40% - Accent2 5 2 10 3" xfId="1910" xr:uid="{00000000-0005-0000-0000-000068070000}"/>
    <cellStyle name="40% - Accent2 5 2 11" xfId="1911" xr:uid="{00000000-0005-0000-0000-000069070000}"/>
    <cellStyle name="40% - Accent2 5 2 11 2" xfId="1912" xr:uid="{00000000-0005-0000-0000-00006A070000}"/>
    <cellStyle name="40% - Accent2 5 2 11 3" xfId="1913" xr:uid="{00000000-0005-0000-0000-00006B070000}"/>
    <cellStyle name="40% - Accent2 5 2 12" xfId="1914" xr:uid="{00000000-0005-0000-0000-00006C070000}"/>
    <cellStyle name="40% - Accent2 5 2 13" xfId="1915" xr:uid="{00000000-0005-0000-0000-00006D070000}"/>
    <cellStyle name="40% - Accent2 5 2 2" xfId="1916" xr:uid="{00000000-0005-0000-0000-00006E070000}"/>
    <cellStyle name="40% - Accent2 5 2 2 10" xfId="1917" xr:uid="{00000000-0005-0000-0000-00006F070000}"/>
    <cellStyle name="40% - Accent2 5 2 2 10 2" xfId="1918" xr:uid="{00000000-0005-0000-0000-000070070000}"/>
    <cellStyle name="40% - Accent2 5 2 2 10 3" xfId="1919" xr:uid="{00000000-0005-0000-0000-000071070000}"/>
    <cellStyle name="40% - Accent2 5 2 2 11" xfId="1920" xr:uid="{00000000-0005-0000-0000-000072070000}"/>
    <cellStyle name="40% - Accent2 5 2 2 12" xfId="1921" xr:uid="{00000000-0005-0000-0000-000073070000}"/>
    <cellStyle name="40% - Accent2 5 2 2 2" xfId="1922" xr:uid="{00000000-0005-0000-0000-000074070000}"/>
    <cellStyle name="40% - Accent2 5 2 2 2 10" xfId="1923" xr:uid="{00000000-0005-0000-0000-000075070000}"/>
    <cellStyle name="40% - Accent2 5 2 2 2 2" xfId="1924" xr:uid="{00000000-0005-0000-0000-000076070000}"/>
    <cellStyle name="40% - Accent2 5 2 2 2 2 2" xfId="1925" xr:uid="{00000000-0005-0000-0000-000077070000}"/>
    <cellStyle name="40% - Accent2 5 2 2 2 2 2 2" xfId="1926" xr:uid="{00000000-0005-0000-0000-000078070000}"/>
    <cellStyle name="40% - Accent2 5 2 2 2 2 2 3" xfId="1927" xr:uid="{00000000-0005-0000-0000-000079070000}"/>
    <cellStyle name="40% - Accent2 5 2 2 2 2 3" xfId="1928" xr:uid="{00000000-0005-0000-0000-00007A070000}"/>
    <cellStyle name="40% - Accent2 5 2 2 2 2 3 2" xfId="1929" xr:uid="{00000000-0005-0000-0000-00007B070000}"/>
    <cellStyle name="40% - Accent2 5 2 2 2 2 3 3" xfId="1930" xr:uid="{00000000-0005-0000-0000-00007C070000}"/>
    <cellStyle name="40% - Accent2 5 2 2 2 2 4" xfId="1931" xr:uid="{00000000-0005-0000-0000-00007D070000}"/>
    <cellStyle name="40% - Accent2 5 2 2 2 2 4 2" xfId="1932" xr:uid="{00000000-0005-0000-0000-00007E070000}"/>
    <cellStyle name="40% - Accent2 5 2 2 2 2 4 3" xfId="1933" xr:uid="{00000000-0005-0000-0000-00007F070000}"/>
    <cellStyle name="40% - Accent2 5 2 2 2 2 5" xfId="1934" xr:uid="{00000000-0005-0000-0000-000080070000}"/>
    <cellStyle name="40% - Accent2 5 2 2 2 2 5 2" xfId="1935" xr:uid="{00000000-0005-0000-0000-000081070000}"/>
    <cellStyle name="40% - Accent2 5 2 2 2 2 5 3" xfId="1936" xr:uid="{00000000-0005-0000-0000-000082070000}"/>
    <cellStyle name="40% - Accent2 5 2 2 2 2 6" xfId="1937" xr:uid="{00000000-0005-0000-0000-000083070000}"/>
    <cellStyle name="40% - Accent2 5 2 2 2 2 6 2" xfId="1938" xr:uid="{00000000-0005-0000-0000-000084070000}"/>
    <cellStyle name="40% - Accent2 5 2 2 2 2 6 3" xfId="1939" xr:uid="{00000000-0005-0000-0000-000085070000}"/>
    <cellStyle name="40% - Accent2 5 2 2 2 2 7" xfId="1940" xr:uid="{00000000-0005-0000-0000-000086070000}"/>
    <cellStyle name="40% - Accent2 5 2 2 2 2 7 2" xfId="1941" xr:uid="{00000000-0005-0000-0000-000087070000}"/>
    <cellStyle name="40% - Accent2 5 2 2 2 2 7 3" xfId="1942" xr:uid="{00000000-0005-0000-0000-000088070000}"/>
    <cellStyle name="40% - Accent2 5 2 2 2 2 8" xfId="1943" xr:uid="{00000000-0005-0000-0000-000089070000}"/>
    <cellStyle name="40% - Accent2 5 2 2 2 2 9" xfId="1944" xr:uid="{00000000-0005-0000-0000-00008A070000}"/>
    <cellStyle name="40% - Accent2 5 2 2 2 3" xfId="1945" xr:uid="{00000000-0005-0000-0000-00008B070000}"/>
    <cellStyle name="40% - Accent2 5 2 2 2 3 2" xfId="1946" xr:uid="{00000000-0005-0000-0000-00008C070000}"/>
    <cellStyle name="40% - Accent2 5 2 2 2 3 3" xfId="1947" xr:uid="{00000000-0005-0000-0000-00008D070000}"/>
    <cellStyle name="40% - Accent2 5 2 2 2 4" xfId="1948" xr:uid="{00000000-0005-0000-0000-00008E070000}"/>
    <cellStyle name="40% - Accent2 5 2 2 2 4 2" xfId="1949" xr:uid="{00000000-0005-0000-0000-00008F070000}"/>
    <cellStyle name="40% - Accent2 5 2 2 2 4 3" xfId="1950" xr:uid="{00000000-0005-0000-0000-000090070000}"/>
    <cellStyle name="40% - Accent2 5 2 2 2 5" xfId="1951" xr:uid="{00000000-0005-0000-0000-000091070000}"/>
    <cellStyle name="40% - Accent2 5 2 2 2 5 2" xfId="1952" xr:uid="{00000000-0005-0000-0000-000092070000}"/>
    <cellStyle name="40% - Accent2 5 2 2 2 5 3" xfId="1953" xr:uid="{00000000-0005-0000-0000-000093070000}"/>
    <cellStyle name="40% - Accent2 5 2 2 2 6" xfId="1954" xr:uid="{00000000-0005-0000-0000-000094070000}"/>
    <cellStyle name="40% - Accent2 5 2 2 2 6 2" xfId="1955" xr:uid="{00000000-0005-0000-0000-000095070000}"/>
    <cellStyle name="40% - Accent2 5 2 2 2 6 3" xfId="1956" xr:uid="{00000000-0005-0000-0000-000096070000}"/>
    <cellStyle name="40% - Accent2 5 2 2 2 7" xfId="1957" xr:uid="{00000000-0005-0000-0000-000097070000}"/>
    <cellStyle name="40% - Accent2 5 2 2 2 7 2" xfId="1958" xr:uid="{00000000-0005-0000-0000-000098070000}"/>
    <cellStyle name="40% - Accent2 5 2 2 2 7 3" xfId="1959" xr:uid="{00000000-0005-0000-0000-000099070000}"/>
    <cellStyle name="40% - Accent2 5 2 2 2 8" xfId="1960" xr:uid="{00000000-0005-0000-0000-00009A070000}"/>
    <cellStyle name="40% - Accent2 5 2 2 2 8 2" xfId="1961" xr:uid="{00000000-0005-0000-0000-00009B070000}"/>
    <cellStyle name="40% - Accent2 5 2 2 2 8 3" xfId="1962" xr:uid="{00000000-0005-0000-0000-00009C070000}"/>
    <cellStyle name="40% - Accent2 5 2 2 2 9" xfId="1963" xr:uid="{00000000-0005-0000-0000-00009D070000}"/>
    <cellStyle name="40% - Accent2 5 2 2 3" xfId="1964" xr:uid="{00000000-0005-0000-0000-00009E070000}"/>
    <cellStyle name="40% - Accent2 5 2 2 3 10" xfId="1965" xr:uid="{00000000-0005-0000-0000-00009F070000}"/>
    <cellStyle name="40% - Accent2 5 2 2 3 2" xfId="1966" xr:uid="{00000000-0005-0000-0000-0000A0070000}"/>
    <cellStyle name="40% - Accent2 5 2 2 3 2 2" xfId="1967" xr:uid="{00000000-0005-0000-0000-0000A1070000}"/>
    <cellStyle name="40% - Accent2 5 2 2 3 2 2 2" xfId="1968" xr:uid="{00000000-0005-0000-0000-0000A2070000}"/>
    <cellStyle name="40% - Accent2 5 2 2 3 2 2 3" xfId="1969" xr:uid="{00000000-0005-0000-0000-0000A3070000}"/>
    <cellStyle name="40% - Accent2 5 2 2 3 2 3" xfId="1970" xr:uid="{00000000-0005-0000-0000-0000A4070000}"/>
    <cellStyle name="40% - Accent2 5 2 2 3 2 3 2" xfId="1971" xr:uid="{00000000-0005-0000-0000-0000A5070000}"/>
    <cellStyle name="40% - Accent2 5 2 2 3 2 3 3" xfId="1972" xr:uid="{00000000-0005-0000-0000-0000A6070000}"/>
    <cellStyle name="40% - Accent2 5 2 2 3 2 4" xfId="1973" xr:uid="{00000000-0005-0000-0000-0000A7070000}"/>
    <cellStyle name="40% - Accent2 5 2 2 3 2 4 2" xfId="1974" xr:uid="{00000000-0005-0000-0000-0000A8070000}"/>
    <cellStyle name="40% - Accent2 5 2 2 3 2 4 3" xfId="1975" xr:uid="{00000000-0005-0000-0000-0000A9070000}"/>
    <cellStyle name="40% - Accent2 5 2 2 3 2 5" xfId="1976" xr:uid="{00000000-0005-0000-0000-0000AA070000}"/>
    <cellStyle name="40% - Accent2 5 2 2 3 2 5 2" xfId="1977" xr:uid="{00000000-0005-0000-0000-0000AB070000}"/>
    <cellStyle name="40% - Accent2 5 2 2 3 2 5 3" xfId="1978" xr:uid="{00000000-0005-0000-0000-0000AC070000}"/>
    <cellStyle name="40% - Accent2 5 2 2 3 2 6" xfId="1979" xr:uid="{00000000-0005-0000-0000-0000AD070000}"/>
    <cellStyle name="40% - Accent2 5 2 2 3 2 6 2" xfId="1980" xr:uid="{00000000-0005-0000-0000-0000AE070000}"/>
    <cellStyle name="40% - Accent2 5 2 2 3 2 6 3" xfId="1981" xr:uid="{00000000-0005-0000-0000-0000AF070000}"/>
    <cellStyle name="40% - Accent2 5 2 2 3 2 7" xfId="1982" xr:uid="{00000000-0005-0000-0000-0000B0070000}"/>
    <cellStyle name="40% - Accent2 5 2 2 3 2 7 2" xfId="1983" xr:uid="{00000000-0005-0000-0000-0000B1070000}"/>
    <cellStyle name="40% - Accent2 5 2 2 3 2 7 3" xfId="1984" xr:uid="{00000000-0005-0000-0000-0000B2070000}"/>
    <cellStyle name="40% - Accent2 5 2 2 3 2 8" xfId="1985" xr:uid="{00000000-0005-0000-0000-0000B3070000}"/>
    <cellStyle name="40% - Accent2 5 2 2 3 2 9" xfId="1986" xr:uid="{00000000-0005-0000-0000-0000B4070000}"/>
    <cellStyle name="40% - Accent2 5 2 2 3 3" xfId="1987" xr:uid="{00000000-0005-0000-0000-0000B5070000}"/>
    <cellStyle name="40% - Accent2 5 2 2 3 3 2" xfId="1988" xr:uid="{00000000-0005-0000-0000-0000B6070000}"/>
    <cellStyle name="40% - Accent2 5 2 2 3 3 3" xfId="1989" xr:uid="{00000000-0005-0000-0000-0000B7070000}"/>
    <cellStyle name="40% - Accent2 5 2 2 3 4" xfId="1990" xr:uid="{00000000-0005-0000-0000-0000B8070000}"/>
    <cellStyle name="40% - Accent2 5 2 2 3 4 2" xfId="1991" xr:uid="{00000000-0005-0000-0000-0000B9070000}"/>
    <cellStyle name="40% - Accent2 5 2 2 3 4 3" xfId="1992" xr:uid="{00000000-0005-0000-0000-0000BA070000}"/>
    <cellStyle name="40% - Accent2 5 2 2 3 5" xfId="1993" xr:uid="{00000000-0005-0000-0000-0000BB070000}"/>
    <cellStyle name="40% - Accent2 5 2 2 3 5 2" xfId="1994" xr:uid="{00000000-0005-0000-0000-0000BC070000}"/>
    <cellStyle name="40% - Accent2 5 2 2 3 5 3" xfId="1995" xr:uid="{00000000-0005-0000-0000-0000BD070000}"/>
    <cellStyle name="40% - Accent2 5 2 2 3 6" xfId="1996" xr:uid="{00000000-0005-0000-0000-0000BE070000}"/>
    <cellStyle name="40% - Accent2 5 2 2 3 6 2" xfId="1997" xr:uid="{00000000-0005-0000-0000-0000BF070000}"/>
    <cellStyle name="40% - Accent2 5 2 2 3 6 3" xfId="1998" xr:uid="{00000000-0005-0000-0000-0000C0070000}"/>
    <cellStyle name="40% - Accent2 5 2 2 3 7" xfId="1999" xr:uid="{00000000-0005-0000-0000-0000C1070000}"/>
    <cellStyle name="40% - Accent2 5 2 2 3 7 2" xfId="2000" xr:uid="{00000000-0005-0000-0000-0000C2070000}"/>
    <cellStyle name="40% - Accent2 5 2 2 3 7 3" xfId="2001" xr:uid="{00000000-0005-0000-0000-0000C3070000}"/>
    <cellStyle name="40% - Accent2 5 2 2 3 8" xfId="2002" xr:uid="{00000000-0005-0000-0000-0000C4070000}"/>
    <cellStyle name="40% - Accent2 5 2 2 3 8 2" xfId="2003" xr:uid="{00000000-0005-0000-0000-0000C5070000}"/>
    <cellStyle name="40% - Accent2 5 2 2 3 8 3" xfId="2004" xr:uid="{00000000-0005-0000-0000-0000C6070000}"/>
    <cellStyle name="40% - Accent2 5 2 2 3 9" xfId="2005" xr:uid="{00000000-0005-0000-0000-0000C7070000}"/>
    <cellStyle name="40% - Accent2 5 2 2 4" xfId="2006" xr:uid="{00000000-0005-0000-0000-0000C8070000}"/>
    <cellStyle name="40% - Accent2 5 2 2 4 2" xfId="2007" xr:uid="{00000000-0005-0000-0000-0000C9070000}"/>
    <cellStyle name="40% - Accent2 5 2 2 4 2 2" xfId="2008" xr:uid="{00000000-0005-0000-0000-0000CA070000}"/>
    <cellStyle name="40% - Accent2 5 2 2 4 2 3" xfId="2009" xr:uid="{00000000-0005-0000-0000-0000CB070000}"/>
    <cellStyle name="40% - Accent2 5 2 2 4 3" xfId="2010" xr:uid="{00000000-0005-0000-0000-0000CC070000}"/>
    <cellStyle name="40% - Accent2 5 2 2 4 3 2" xfId="2011" xr:uid="{00000000-0005-0000-0000-0000CD070000}"/>
    <cellStyle name="40% - Accent2 5 2 2 4 3 3" xfId="2012" xr:uid="{00000000-0005-0000-0000-0000CE070000}"/>
    <cellStyle name="40% - Accent2 5 2 2 4 4" xfId="2013" xr:uid="{00000000-0005-0000-0000-0000CF070000}"/>
    <cellStyle name="40% - Accent2 5 2 2 4 4 2" xfId="2014" xr:uid="{00000000-0005-0000-0000-0000D0070000}"/>
    <cellStyle name="40% - Accent2 5 2 2 4 4 3" xfId="2015" xr:uid="{00000000-0005-0000-0000-0000D1070000}"/>
    <cellStyle name="40% - Accent2 5 2 2 4 5" xfId="2016" xr:uid="{00000000-0005-0000-0000-0000D2070000}"/>
    <cellStyle name="40% - Accent2 5 2 2 4 5 2" xfId="2017" xr:uid="{00000000-0005-0000-0000-0000D3070000}"/>
    <cellStyle name="40% - Accent2 5 2 2 4 5 3" xfId="2018" xr:uid="{00000000-0005-0000-0000-0000D4070000}"/>
    <cellStyle name="40% - Accent2 5 2 2 4 6" xfId="2019" xr:uid="{00000000-0005-0000-0000-0000D5070000}"/>
    <cellStyle name="40% - Accent2 5 2 2 4 6 2" xfId="2020" xr:uid="{00000000-0005-0000-0000-0000D6070000}"/>
    <cellStyle name="40% - Accent2 5 2 2 4 6 3" xfId="2021" xr:uid="{00000000-0005-0000-0000-0000D7070000}"/>
    <cellStyle name="40% - Accent2 5 2 2 4 7" xfId="2022" xr:uid="{00000000-0005-0000-0000-0000D8070000}"/>
    <cellStyle name="40% - Accent2 5 2 2 4 7 2" xfId="2023" xr:uid="{00000000-0005-0000-0000-0000D9070000}"/>
    <cellStyle name="40% - Accent2 5 2 2 4 7 3" xfId="2024" xr:uid="{00000000-0005-0000-0000-0000DA070000}"/>
    <cellStyle name="40% - Accent2 5 2 2 4 8" xfId="2025" xr:uid="{00000000-0005-0000-0000-0000DB070000}"/>
    <cellStyle name="40% - Accent2 5 2 2 4 9" xfId="2026" xr:uid="{00000000-0005-0000-0000-0000DC070000}"/>
    <cellStyle name="40% - Accent2 5 2 2 5" xfId="2027" xr:uid="{00000000-0005-0000-0000-0000DD070000}"/>
    <cellStyle name="40% - Accent2 5 2 2 5 2" xfId="2028" xr:uid="{00000000-0005-0000-0000-0000DE070000}"/>
    <cellStyle name="40% - Accent2 5 2 2 5 3" xfId="2029" xr:uid="{00000000-0005-0000-0000-0000DF070000}"/>
    <cellStyle name="40% - Accent2 5 2 2 6" xfId="2030" xr:uid="{00000000-0005-0000-0000-0000E0070000}"/>
    <cellStyle name="40% - Accent2 5 2 2 6 2" xfId="2031" xr:uid="{00000000-0005-0000-0000-0000E1070000}"/>
    <cellStyle name="40% - Accent2 5 2 2 6 3" xfId="2032" xr:uid="{00000000-0005-0000-0000-0000E2070000}"/>
    <cellStyle name="40% - Accent2 5 2 2 7" xfId="2033" xr:uid="{00000000-0005-0000-0000-0000E3070000}"/>
    <cellStyle name="40% - Accent2 5 2 2 7 2" xfId="2034" xr:uid="{00000000-0005-0000-0000-0000E4070000}"/>
    <cellStyle name="40% - Accent2 5 2 2 7 3" xfId="2035" xr:uid="{00000000-0005-0000-0000-0000E5070000}"/>
    <cellStyle name="40% - Accent2 5 2 2 8" xfId="2036" xr:uid="{00000000-0005-0000-0000-0000E6070000}"/>
    <cellStyle name="40% - Accent2 5 2 2 8 2" xfId="2037" xr:uid="{00000000-0005-0000-0000-0000E7070000}"/>
    <cellStyle name="40% - Accent2 5 2 2 8 3" xfId="2038" xr:uid="{00000000-0005-0000-0000-0000E8070000}"/>
    <cellStyle name="40% - Accent2 5 2 2 9" xfId="2039" xr:uid="{00000000-0005-0000-0000-0000E9070000}"/>
    <cellStyle name="40% - Accent2 5 2 2 9 2" xfId="2040" xr:uid="{00000000-0005-0000-0000-0000EA070000}"/>
    <cellStyle name="40% - Accent2 5 2 2 9 3" xfId="2041" xr:uid="{00000000-0005-0000-0000-0000EB070000}"/>
    <cellStyle name="40% - Accent2 5 2 3" xfId="2042" xr:uid="{00000000-0005-0000-0000-0000EC070000}"/>
    <cellStyle name="40% - Accent2 5 2 3 10" xfId="2043" xr:uid="{00000000-0005-0000-0000-0000ED070000}"/>
    <cellStyle name="40% - Accent2 5 2 3 2" xfId="2044" xr:uid="{00000000-0005-0000-0000-0000EE070000}"/>
    <cellStyle name="40% - Accent2 5 2 3 2 2" xfId="2045" xr:uid="{00000000-0005-0000-0000-0000EF070000}"/>
    <cellStyle name="40% - Accent2 5 2 3 2 2 2" xfId="2046" xr:uid="{00000000-0005-0000-0000-0000F0070000}"/>
    <cellStyle name="40% - Accent2 5 2 3 2 2 3" xfId="2047" xr:uid="{00000000-0005-0000-0000-0000F1070000}"/>
    <cellStyle name="40% - Accent2 5 2 3 2 3" xfId="2048" xr:uid="{00000000-0005-0000-0000-0000F2070000}"/>
    <cellStyle name="40% - Accent2 5 2 3 2 3 2" xfId="2049" xr:uid="{00000000-0005-0000-0000-0000F3070000}"/>
    <cellStyle name="40% - Accent2 5 2 3 2 3 3" xfId="2050" xr:uid="{00000000-0005-0000-0000-0000F4070000}"/>
    <cellStyle name="40% - Accent2 5 2 3 2 4" xfId="2051" xr:uid="{00000000-0005-0000-0000-0000F5070000}"/>
    <cellStyle name="40% - Accent2 5 2 3 2 4 2" xfId="2052" xr:uid="{00000000-0005-0000-0000-0000F6070000}"/>
    <cellStyle name="40% - Accent2 5 2 3 2 4 3" xfId="2053" xr:uid="{00000000-0005-0000-0000-0000F7070000}"/>
    <cellStyle name="40% - Accent2 5 2 3 2 5" xfId="2054" xr:uid="{00000000-0005-0000-0000-0000F8070000}"/>
    <cellStyle name="40% - Accent2 5 2 3 2 5 2" xfId="2055" xr:uid="{00000000-0005-0000-0000-0000F9070000}"/>
    <cellStyle name="40% - Accent2 5 2 3 2 5 3" xfId="2056" xr:uid="{00000000-0005-0000-0000-0000FA070000}"/>
    <cellStyle name="40% - Accent2 5 2 3 2 6" xfId="2057" xr:uid="{00000000-0005-0000-0000-0000FB070000}"/>
    <cellStyle name="40% - Accent2 5 2 3 2 6 2" xfId="2058" xr:uid="{00000000-0005-0000-0000-0000FC070000}"/>
    <cellStyle name="40% - Accent2 5 2 3 2 6 3" xfId="2059" xr:uid="{00000000-0005-0000-0000-0000FD070000}"/>
    <cellStyle name="40% - Accent2 5 2 3 2 7" xfId="2060" xr:uid="{00000000-0005-0000-0000-0000FE070000}"/>
    <cellStyle name="40% - Accent2 5 2 3 2 7 2" xfId="2061" xr:uid="{00000000-0005-0000-0000-0000FF070000}"/>
    <cellStyle name="40% - Accent2 5 2 3 2 7 3" xfId="2062" xr:uid="{00000000-0005-0000-0000-000000080000}"/>
    <cellStyle name="40% - Accent2 5 2 3 2 8" xfId="2063" xr:uid="{00000000-0005-0000-0000-000001080000}"/>
    <cellStyle name="40% - Accent2 5 2 3 2 9" xfId="2064" xr:uid="{00000000-0005-0000-0000-000002080000}"/>
    <cellStyle name="40% - Accent2 5 2 3 3" xfId="2065" xr:uid="{00000000-0005-0000-0000-000003080000}"/>
    <cellStyle name="40% - Accent2 5 2 3 3 2" xfId="2066" xr:uid="{00000000-0005-0000-0000-000004080000}"/>
    <cellStyle name="40% - Accent2 5 2 3 3 3" xfId="2067" xr:uid="{00000000-0005-0000-0000-000005080000}"/>
    <cellStyle name="40% - Accent2 5 2 3 4" xfId="2068" xr:uid="{00000000-0005-0000-0000-000006080000}"/>
    <cellStyle name="40% - Accent2 5 2 3 4 2" xfId="2069" xr:uid="{00000000-0005-0000-0000-000007080000}"/>
    <cellStyle name="40% - Accent2 5 2 3 4 3" xfId="2070" xr:uid="{00000000-0005-0000-0000-000008080000}"/>
    <cellStyle name="40% - Accent2 5 2 3 5" xfId="2071" xr:uid="{00000000-0005-0000-0000-000009080000}"/>
    <cellStyle name="40% - Accent2 5 2 3 5 2" xfId="2072" xr:uid="{00000000-0005-0000-0000-00000A080000}"/>
    <cellStyle name="40% - Accent2 5 2 3 5 3" xfId="2073" xr:uid="{00000000-0005-0000-0000-00000B080000}"/>
    <cellStyle name="40% - Accent2 5 2 3 6" xfId="2074" xr:uid="{00000000-0005-0000-0000-00000C080000}"/>
    <cellStyle name="40% - Accent2 5 2 3 6 2" xfId="2075" xr:uid="{00000000-0005-0000-0000-00000D080000}"/>
    <cellStyle name="40% - Accent2 5 2 3 6 3" xfId="2076" xr:uid="{00000000-0005-0000-0000-00000E080000}"/>
    <cellStyle name="40% - Accent2 5 2 3 7" xfId="2077" xr:uid="{00000000-0005-0000-0000-00000F080000}"/>
    <cellStyle name="40% - Accent2 5 2 3 7 2" xfId="2078" xr:uid="{00000000-0005-0000-0000-000010080000}"/>
    <cellStyle name="40% - Accent2 5 2 3 7 3" xfId="2079" xr:uid="{00000000-0005-0000-0000-000011080000}"/>
    <cellStyle name="40% - Accent2 5 2 3 8" xfId="2080" xr:uid="{00000000-0005-0000-0000-000012080000}"/>
    <cellStyle name="40% - Accent2 5 2 3 8 2" xfId="2081" xr:uid="{00000000-0005-0000-0000-000013080000}"/>
    <cellStyle name="40% - Accent2 5 2 3 8 3" xfId="2082" xr:uid="{00000000-0005-0000-0000-000014080000}"/>
    <cellStyle name="40% - Accent2 5 2 3 9" xfId="2083" xr:uid="{00000000-0005-0000-0000-000015080000}"/>
    <cellStyle name="40% - Accent2 5 2 4" xfId="2084" xr:uid="{00000000-0005-0000-0000-000016080000}"/>
    <cellStyle name="40% - Accent2 5 2 4 10" xfId="2085" xr:uid="{00000000-0005-0000-0000-000017080000}"/>
    <cellStyle name="40% - Accent2 5 2 4 2" xfId="2086" xr:uid="{00000000-0005-0000-0000-000018080000}"/>
    <cellStyle name="40% - Accent2 5 2 4 2 2" xfId="2087" xr:uid="{00000000-0005-0000-0000-000019080000}"/>
    <cellStyle name="40% - Accent2 5 2 4 2 2 2" xfId="2088" xr:uid="{00000000-0005-0000-0000-00001A080000}"/>
    <cellStyle name="40% - Accent2 5 2 4 2 2 3" xfId="2089" xr:uid="{00000000-0005-0000-0000-00001B080000}"/>
    <cellStyle name="40% - Accent2 5 2 4 2 3" xfId="2090" xr:uid="{00000000-0005-0000-0000-00001C080000}"/>
    <cellStyle name="40% - Accent2 5 2 4 2 3 2" xfId="2091" xr:uid="{00000000-0005-0000-0000-00001D080000}"/>
    <cellStyle name="40% - Accent2 5 2 4 2 3 3" xfId="2092" xr:uid="{00000000-0005-0000-0000-00001E080000}"/>
    <cellStyle name="40% - Accent2 5 2 4 2 4" xfId="2093" xr:uid="{00000000-0005-0000-0000-00001F080000}"/>
    <cellStyle name="40% - Accent2 5 2 4 2 4 2" xfId="2094" xr:uid="{00000000-0005-0000-0000-000020080000}"/>
    <cellStyle name="40% - Accent2 5 2 4 2 4 3" xfId="2095" xr:uid="{00000000-0005-0000-0000-000021080000}"/>
    <cellStyle name="40% - Accent2 5 2 4 2 5" xfId="2096" xr:uid="{00000000-0005-0000-0000-000022080000}"/>
    <cellStyle name="40% - Accent2 5 2 4 2 5 2" xfId="2097" xr:uid="{00000000-0005-0000-0000-000023080000}"/>
    <cellStyle name="40% - Accent2 5 2 4 2 5 3" xfId="2098" xr:uid="{00000000-0005-0000-0000-000024080000}"/>
    <cellStyle name="40% - Accent2 5 2 4 2 6" xfId="2099" xr:uid="{00000000-0005-0000-0000-000025080000}"/>
    <cellStyle name="40% - Accent2 5 2 4 2 6 2" xfId="2100" xr:uid="{00000000-0005-0000-0000-000026080000}"/>
    <cellStyle name="40% - Accent2 5 2 4 2 6 3" xfId="2101" xr:uid="{00000000-0005-0000-0000-000027080000}"/>
    <cellStyle name="40% - Accent2 5 2 4 2 7" xfId="2102" xr:uid="{00000000-0005-0000-0000-000028080000}"/>
    <cellStyle name="40% - Accent2 5 2 4 2 7 2" xfId="2103" xr:uid="{00000000-0005-0000-0000-000029080000}"/>
    <cellStyle name="40% - Accent2 5 2 4 2 7 3" xfId="2104" xr:uid="{00000000-0005-0000-0000-00002A080000}"/>
    <cellStyle name="40% - Accent2 5 2 4 2 8" xfId="2105" xr:uid="{00000000-0005-0000-0000-00002B080000}"/>
    <cellStyle name="40% - Accent2 5 2 4 2 9" xfId="2106" xr:uid="{00000000-0005-0000-0000-00002C080000}"/>
    <cellStyle name="40% - Accent2 5 2 4 3" xfId="2107" xr:uid="{00000000-0005-0000-0000-00002D080000}"/>
    <cellStyle name="40% - Accent2 5 2 4 3 2" xfId="2108" xr:uid="{00000000-0005-0000-0000-00002E080000}"/>
    <cellStyle name="40% - Accent2 5 2 4 3 3" xfId="2109" xr:uid="{00000000-0005-0000-0000-00002F080000}"/>
    <cellStyle name="40% - Accent2 5 2 4 4" xfId="2110" xr:uid="{00000000-0005-0000-0000-000030080000}"/>
    <cellStyle name="40% - Accent2 5 2 4 4 2" xfId="2111" xr:uid="{00000000-0005-0000-0000-000031080000}"/>
    <cellStyle name="40% - Accent2 5 2 4 4 3" xfId="2112" xr:uid="{00000000-0005-0000-0000-000032080000}"/>
    <cellStyle name="40% - Accent2 5 2 4 5" xfId="2113" xr:uid="{00000000-0005-0000-0000-000033080000}"/>
    <cellStyle name="40% - Accent2 5 2 4 5 2" xfId="2114" xr:uid="{00000000-0005-0000-0000-000034080000}"/>
    <cellStyle name="40% - Accent2 5 2 4 5 3" xfId="2115" xr:uid="{00000000-0005-0000-0000-000035080000}"/>
    <cellStyle name="40% - Accent2 5 2 4 6" xfId="2116" xr:uid="{00000000-0005-0000-0000-000036080000}"/>
    <cellStyle name="40% - Accent2 5 2 4 6 2" xfId="2117" xr:uid="{00000000-0005-0000-0000-000037080000}"/>
    <cellStyle name="40% - Accent2 5 2 4 6 3" xfId="2118" xr:uid="{00000000-0005-0000-0000-000038080000}"/>
    <cellStyle name="40% - Accent2 5 2 4 7" xfId="2119" xr:uid="{00000000-0005-0000-0000-000039080000}"/>
    <cellStyle name="40% - Accent2 5 2 4 7 2" xfId="2120" xr:uid="{00000000-0005-0000-0000-00003A080000}"/>
    <cellStyle name="40% - Accent2 5 2 4 7 3" xfId="2121" xr:uid="{00000000-0005-0000-0000-00003B080000}"/>
    <cellStyle name="40% - Accent2 5 2 4 8" xfId="2122" xr:uid="{00000000-0005-0000-0000-00003C080000}"/>
    <cellStyle name="40% - Accent2 5 2 4 8 2" xfId="2123" xr:uid="{00000000-0005-0000-0000-00003D080000}"/>
    <cellStyle name="40% - Accent2 5 2 4 8 3" xfId="2124" xr:uid="{00000000-0005-0000-0000-00003E080000}"/>
    <cellStyle name="40% - Accent2 5 2 4 9" xfId="2125" xr:uid="{00000000-0005-0000-0000-00003F080000}"/>
    <cellStyle name="40% - Accent2 5 2 5" xfId="2126" xr:uid="{00000000-0005-0000-0000-000040080000}"/>
    <cellStyle name="40% - Accent2 5 2 5 2" xfId="2127" xr:uid="{00000000-0005-0000-0000-000041080000}"/>
    <cellStyle name="40% - Accent2 5 2 5 2 2" xfId="2128" xr:uid="{00000000-0005-0000-0000-000042080000}"/>
    <cellStyle name="40% - Accent2 5 2 5 2 3" xfId="2129" xr:uid="{00000000-0005-0000-0000-000043080000}"/>
    <cellStyle name="40% - Accent2 5 2 5 3" xfId="2130" xr:uid="{00000000-0005-0000-0000-000044080000}"/>
    <cellStyle name="40% - Accent2 5 2 5 3 2" xfId="2131" xr:uid="{00000000-0005-0000-0000-000045080000}"/>
    <cellStyle name="40% - Accent2 5 2 5 3 3" xfId="2132" xr:uid="{00000000-0005-0000-0000-000046080000}"/>
    <cellStyle name="40% - Accent2 5 2 5 4" xfId="2133" xr:uid="{00000000-0005-0000-0000-000047080000}"/>
    <cellStyle name="40% - Accent2 5 2 5 4 2" xfId="2134" xr:uid="{00000000-0005-0000-0000-000048080000}"/>
    <cellStyle name="40% - Accent2 5 2 5 4 3" xfId="2135" xr:uid="{00000000-0005-0000-0000-000049080000}"/>
    <cellStyle name="40% - Accent2 5 2 5 5" xfId="2136" xr:uid="{00000000-0005-0000-0000-00004A080000}"/>
    <cellStyle name="40% - Accent2 5 2 5 5 2" xfId="2137" xr:uid="{00000000-0005-0000-0000-00004B080000}"/>
    <cellStyle name="40% - Accent2 5 2 5 5 3" xfId="2138" xr:uid="{00000000-0005-0000-0000-00004C080000}"/>
    <cellStyle name="40% - Accent2 5 2 5 6" xfId="2139" xr:uid="{00000000-0005-0000-0000-00004D080000}"/>
    <cellStyle name="40% - Accent2 5 2 5 6 2" xfId="2140" xr:uid="{00000000-0005-0000-0000-00004E080000}"/>
    <cellStyle name="40% - Accent2 5 2 5 6 3" xfId="2141" xr:uid="{00000000-0005-0000-0000-00004F080000}"/>
    <cellStyle name="40% - Accent2 5 2 5 7" xfId="2142" xr:uid="{00000000-0005-0000-0000-000050080000}"/>
    <cellStyle name="40% - Accent2 5 2 5 7 2" xfId="2143" xr:uid="{00000000-0005-0000-0000-000051080000}"/>
    <cellStyle name="40% - Accent2 5 2 5 7 3" xfId="2144" xr:uid="{00000000-0005-0000-0000-000052080000}"/>
    <cellStyle name="40% - Accent2 5 2 5 8" xfId="2145" xr:uid="{00000000-0005-0000-0000-000053080000}"/>
    <cellStyle name="40% - Accent2 5 2 5 9" xfId="2146" xr:uid="{00000000-0005-0000-0000-000054080000}"/>
    <cellStyle name="40% - Accent2 5 2 6" xfId="2147" xr:uid="{00000000-0005-0000-0000-000055080000}"/>
    <cellStyle name="40% - Accent2 5 2 6 2" xfId="2148" xr:uid="{00000000-0005-0000-0000-000056080000}"/>
    <cellStyle name="40% - Accent2 5 2 6 3" xfId="2149" xr:uid="{00000000-0005-0000-0000-000057080000}"/>
    <cellStyle name="40% - Accent2 5 2 7" xfId="2150" xr:uid="{00000000-0005-0000-0000-000058080000}"/>
    <cellStyle name="40% - Accent2 5 2 7 2" xfId="2151" xr:uid="{00000000-0005-0000-0000-000059080000}"/>
    <cellStyle name="40% - Accent2 5 2 7 3" xfId="2152" xr:uid="{00000000-0005-0000-0000-00005A080000}"/>
    <cellStyle name="40% - Accent2 5 2 8" xfId="2153" xr:uid="{00000000-0005-0000-0000-00005B080000}"/>
    <cellStyle name="40% - Accent2 5 2 8 2" xfId="2154" xr:uid="{00000000-0005-0000-0000-00005C080000}"/>
    <cellStyle name="40% - Accent2 5 2 8 3" xfId="2155" xr:uid="{00000000-0005-0000-0000-00005D080000}"/>
    <cellStyle name="40% - Accent2 5 2 9" xfId="2156" xr:uid="{00000000-0005-0000-0000-00005E080000}"/>
    <cellStyle name="40% - Accent2 5 2 9 2" xfId="2157" xr:uid="{00000000-0005-0000-0000-00005F080000}"/>
    <cellStyle name="40% - Accent2 5 2 9 3" xfId="2158" xr:uid="{00000000-0005-0000-0000-000060080000}"/>
    <cellStyle name="40% - Accent2 5 3" xfId="2159" xr:uid="{00000000-0005-0000-0000-000061080000}"/>
    <cellStyle name="40% - Accent2 5 3 10" xfId="2160" xr:uid="{00000000-0005-0000-0000-000062080000}"/>
    <cellStyle name="40% - Accent2 5 3 10 2" xfId="2161" xr:uid="{00000000-0005-0000-0000-000063080000}"/>
    <cellStyle name="40% - Accent2 5 3 10 3" xfId="2162" xr:uid="{00000000-0005-0000-0000-000064080000}"/>
    <cellStyle name="40% - Accent2 5 3 11" xfId="2163" xr:uid="{00000000-0005-0000-0000-000065080000}"/>
    <cellStyle name="40% - Accent2 5 3 12" xfId="2164" xr:uid="{00000000-0005-0000-0000-000066080000}"/>
    <cellStyle name="40% - Accent2 5 3 2" xfId="2165" xr:uid="{00000000-0005-0000-0000-000067080000}"/>
    <cellStyle name="40% - Accent2 5 3 2 10" xfId="2166" xr:uid="{00000000-0005-0000-0000-000068080000}"/>
    <cellStyle name="40% - Accent2 5 3 2 2" xfId="2167" xr:uid="{00000000-0005-0000-0000-000069080000}"/>
    <cellStyle name="40% - Accent2 5 3 2 2 2" xfId="2168" xr:uid="{00000000-0005-0000-0000-00006A080000}"/>
    <cellStyle name="40% - Accent2 5 3 2 2 2 2" xfId="2169" xr:uid="{00000000-0005-0000-0000-00006B080000}"/>
    <cellStyle name="40% - Accent2 5 3 2 2 2 3" xfId="2170" xr:uid="{00000000-0005-0000-0000-00006C080000}"/>
    <cellStyle name="40% - Accent2 5 3 2 2 3" xfId="2171" xr:uid="{00000000-0005-0000-0000-00006D080000}"/>
    <cellStyle name="40% - Accent2 5 3 2 2 3 2" xfId="2172" xr:uid="{00000000-0005-0000-0000-00006E080000}"/>
    <cellStyle name="40% - Accent2 5 3 2 2 3 3" xfId="2173" xr:uid="{00000000-0005-0000-0000-00006F080000}"/>
    <cellStyle name="40% - Accent2 5 3 2 2 4" xfId="2174" xr:uid="{00000000-0005-0000-0000-000070080000}"/>
    <cellStyle name="40% - Accent2 5 3 2 2 4 2" xfId="2175" xr:uid="{00000000-0005-0000-0000-000071080000}"/>
    <cellStyle name="40% - Accent2 5 3 2 2 4 3" xfId="2176" xr:uid="{00000000-0005-0000-0000-000072080000}"/>
    <cellStyle name="40% - Accent2 5 3 2 2 5" xfId="2177" xr:uid="{00000000-0005-0000-0000-000073080000}"/>
    <cellStyle name="40% - Accent2 5 3 2 2 5 2" xfId="2178" xr:uid="{00000000-0005-0000-0000-000074080000}"/>
    <cellStyle name="40% - Accent2 5 3 2 2 5 3" xfId="2179" xr:uid="{00000000-0005-0000-0000-000075080000}"/>
    <cellStyle name="40% - Accent2 5 3 2 2 6" xfId="2180" xr:uid="{00000000-0005-0000-0000-000076080000}"/>
    <cellStyle name="40% - Accent2 5 3 2 2 6 2" xfId="2181" xr:uid="{00000000-0005-0000-0000-000077080000}"/>
    <cellStyle name="40% - Accent2 5 3 2 2 6 3" xfId="2182" xr:uid="{00000000-0005-0000-0000-000078080000}"/>
    <cellStyle name="40% - Accent2 5 3 2 2 7" xfId="2183" xr:uid="{00000000-0005-0000-0000-000079080000}"/>
    <cellStyle name="40% - Accent2 5 3 2 2 7 2" xfId="2184" xr:uid="{00000000-0005-0000-0000-00007A080000}"/>
    <cellStyle name="40% - Accent2 5 3 2 2 7 3" xfId="2185" xr:uid="{00000000-0005-0000-0000-00007B080000}"/>
    <cellStyle name="40% - Accent2 5 3 2 2 8" xfId="2186" xr:uid="{00000000-0005-0000-0000-00007C080000}"/>
    <cellStyle name="40% - Accent2 5 3 2 2 9" xfId="2187" xr:uid="{00000000-0005-0000-0000-00007D080000}"/>
    <cellStyle name="40% - Accent2 5 3 2 3" xfId="2188" xr:uid="{00000000-0005-0000-0000-00007E080000}"/>
    <cellStyle name="40% - Accent2 5 3 2 3 2" xfId="2189" xr:uid="{00000000-0005-0000-0000-00007F080000}"/>
    <cellStyle name="40% - Accent2 5 3 2 3 3" xfId="2190" xr:uid="{00000000-0005-0000-0000-000080080000}"/>
    <cellStyle name="40% - Accent2 5 3 2 4" xfId="2191" xr:uid="{00000000-0005-0000-0000-000081080000}"/>
    <cellStyle name="40% - Accent2 5 3 2 4 2" xfId="2192" xr:uid="{00000000-0005-0000-0000-000082080000}"/>
    <cellStyle name="40% - Accent2 5 3 2 4 3" xfId="2193" xr:uid="{00000000-0005-0000-0000-000083080000}"/>
    <cellStyle name="40% - Accent2 5 3 2 5" xfId="2194" xr:uid="{00000000-0005-0000-0000-000084080000}"/>
    <cellStyle name="40% - Accent2 5 3 2 5 2" xfId="2195" xr:uid="{00000000-0005-0000-0000-000085080000}"/>
    <cellStyle name="40% - Accent2 5 3 2 5 3" xfId="2196" xr:uid="{00000000-0005-0000-0000-000086080000}"/>
    <cellStyle name="40% - Accent2 5 3 2 6" xfId="2197" xr:uid="{00000000-0005-0000-0000-000087080000}"/>
    <cellStyle name="40% - Accent2 5 3 2 6 2" xfId="2198" xr:uid="{00000000-0005-0000-0000-000088080000}"/>
    <cellStyle name="40% - Accent2 5 3 2 6 3" xfId="2199" xr:uid="{00000000-0005-0000-0000-000089080000}"/>
    <cellStyle name="40% - Accent2 5 3 2 7" xfId="2200" xr:uid="{00000000-0005-0000-0000-00008A080000}"/>
    <cellStyle name="40% - Accent2 5 3 2 7 2" xfId="2201" xr:uid="{00000000-0005-0000-0000-00008B080000}"/>
    <cellStyle name="40% - Accent2 5 3 2 7 3" xfId="2202" xr:uid="{00000000-0005-0000-0000-00008C080000}"/>
    <cellStyle name="40% - Accent2 5 3 2 8" xfId="2203" xr:uid="{00000000-0005-0000-0000-00008D080000}"/>
    <cellStyle name="40% - Accent2 5 3 2 8 2" xfId="2204" xr:uid="{00000000-0005-0000-0000-00008E080000}"/>
    <cellStyle name="40% - Accent2 5 3 2 8 3" xfId="2205" xr:uid="{00000000-0005-0000-0000-00008F080000}"/>
    <cellStyle name="40% - Accent2 5 3 2 9" xfId="2206" xr:uid="{00000000-0005-0000-0000-000090080000}"/>
    <cellStyle name="40% - Accent2 5 3 3" xfId="2207" xr:uid="{00000000-0005-0000-0000-000091080000}"/>
    <cellStyle name="40% - Accent2 5 3 3 10" xfId="2208" xr:uid="{00000000-0005-0000-0000-000092080000}"/>
    <cellStyle name="40% - Accent2 5 3 3 2" xfId="2209" xr:uid="{00000000-0005-0000-0000-000093080000}"/>
    <cellStyle name="40% - Accent2 5 3 3 2 2" xfId="2210" xr:uid="{00000000-0005-0000-0000-000094080000}"/>
    <cellStyle name="40% - Accent2 5 3 3 2 2 2" xfId="2211" xr:uid="{00000000-0005-0000-0000-000095080000}"/>
    <cellStyle name="40% - Accent2 5 3 3 2 2 3" xfId="2212" xr:uid="{00000000-0005-0000-0000-000096080000}"/>
    <cellStyle name="40% - Accent2 5 3 3 2 3" xfId="2213" xr:uid="{00000000-0005-0000-0000-000097080000}"/>
    <cellStyle name="40% - Accent2 5 3 3 2 3 2" xfId="2214" xr:uid="{00000000-0005-0000-0000-000098080000}"/>
    <cellStyle name="40% - Accent2 5 3 3 2 3 3" xfId="2215" xr:uid="{00000000-0005-0000-0000-000099080000}"/>
    <cellStyle name="40% - Accent2 5 3 3 2 4" xfId="2216" xr:uid="{00000000-0005-0000-0000-00009A080000}"/>
    <cellStyle name="40% - Accent2 5 3 3 2 4 2" xfId="2217" xr:uid="{00000000-0005-0000-0000-00009B080000}"/>
    <cellStyle name="40% - Accent2 5 3 3 2 4 3" xfId="2218" xr:uid="{00000000-0005-0000-0000-00009C080000}"/>
    <cellStyle name="40% - Accent2 5 3 3 2 5" xfId="2219" xr:uid="{00000000-0005-0000-0000-00009D080000}"/>
    <cellStyle name="40% - Accent2 5 3 3 2 5 2" xfId="2220" xr:uid="{00000000-0005-0000-0000-00009E080000}"/>
    <cellStyle name="40% - Accent2 5 3 3 2 5 3" xfId="2221" xr:uid="{00000000-0005-0000-0000-00009F080000}"/>
    <cellStyle name="40% - Accent2 5 3 3 2 6" xfId="2222" xr:uid="{00000000-0005-0000-0000-0000A0080000}"/>
    <cellStyle name="40% - Accent2 5 3 3 2 6 2" xfId="2223" xr:uid="{00000000-0005-0000-0000-0000A1080000}"/>
    <cellStyle name="40% - Accent2 5 3 3 2 6 3" xfId="2224" xr:uid="{00000000-0005-0000-0000-0000A2080000}"/>
    <cellStyle name="40% - Accent2 5 3 3 2 7" xfId="2225" xr:uid="{00000000-0005-0000-0000-0000A3080000}"/>
    <cellStyle name="40% - Accent2 5 3 3 2 7 2" xfId="2226" xr:uid="{00000000-0005-0000-0000-0000A4080000}"/>
    <cellStyle name="40% - Accent2 5 3 3 2 7 3" xfId="2227" xr:uid="{00000000-0005-0000-0000-0000A5080000}"/>
    <cellStyle name="40% - Accent2 5 3 3 2 8" xfId="2228" xr:uid="{00000000-0005-0000-0000-0000A6080000}"/>
    <cellStyle name="40% - Accent2 5 3 3 2 9" xfId="2229" xr:uid="{00000000-0005-0000-0000-0000A7080000}"/>
    <cellStyle name="40% - Accent2 5 3 3 3" xfId="2230" xr:uid="{00000000-0005-0000-0000-0000A8080000}"/>
    <cellStyle name="40% - Accent2 5 3 3 3 2" xfId="2231" xr:uid="{00000000-0005-0000-0000-0000A9080000}"/>
    <cellStyle name="40% - Accent2 5 3 3 3 3" xfId="2232" xr:uid="{00000000-0005-0000-0000-0000AA080000}"/>
    <cellStyle name="40% - Accent2 5 3 3 4" xfId="2233" xr:uid="{00000000-0005-0000-0000-0000AB080000}"/>
    <cellStyle name="40% - Accent2 5 3 3 4 2" xfId="2234" xr:uid="{00000000-0005-0000-0000-0000AC080000}"/>
    <cellStyle name="40% - Accent2 5 3 3 4 3" xfId="2235" xr:uid="{00000000-0005-0000-0000-0000AD080000}"/>
    <cellStyle name="40% - Accent2 5 3 3 5" xfId="2236" xr:uid="{00000000-0005-0000-0000-0000AE080000}"/>
    <cellStyle name="40% - Accent2 5 3 3 5 2" xfId="2237" xr:uid="{00000000-0005-0000-0000-0000AF080000}"/>
    <cellStyle name="40% - Accent2 5 3 3 5 3" xfId="2238" xr:uid="{00000000-0005-0000-0000-0000B0080000}"/>
    <cellStyle name="40% - Accent2 5 3 3 6" xfId="2239" xr:uid="{00000000-0005-0000-0000-0000B1080000}"/>
    <cellStyle name="40% - Accent2 5 3 3 6 2" xfId="2240" xr:uid="{00000000-0005-0000-0000-0000B2080000}"/>
    <cellStyle name="40% - Accent2 5 3 3 6 3" xfId="2241" xr:uid="{00000000-0005-0000-0000-0000B3080000}"/>
    <cellStyle name="40% - Accent2 5 3 3 7" xfId="2242" xr:uid="{00000000-0005-0000-0000-0000B4080000}"/>
    <cellStyle name="40% - Accent2 5 3 3 7 2" xfId="2243" xr:uid="{00000000-0005-0000-0000-0000B5080000}"/>
    <cellStyle name="40% - Accent2 5 3 3 7 3" xfId="2244" xr:uid="{00000000-0005-0000-0000-0000B6080000}"/>
    <cellStyle name="40% - Accent2 5 3 3 8" xfId="2245" xr:uid="{00000000-0005-0000-0000-0000B7080000}"/>
    <cellStyle name="40% - Accent2 5 3 3 8 2" xfId="2246" xr:uid="{00000000-0005-0000-0000-0000B8080000}"/>
    <cellStyle name="40% - Accent2 5 3 3 8 3" xfId="2247" xr:uid="{00000000-0005-0000-0000-0000B9080000}"/>
    <cellStyle name="40% - Accent2 5 3 3 9" xfId="2248" xr:uid="{00000000-0005-0000-0000-0000BA080000}"/>
    <cellStyle name="40% - Accent2 5 3 4" xfId="2249" xr:uid="{00000000-0005-0000-0000-0000BB080000}"/>
    <cellStyle name="40% - Accent2 5 3 4 2" xfId="2250" xr:uid="{00000000-0005-0000-0000-0000BC080000}"/>
    <cellStyle name="40% - Accent2 5 3 4 2 2" xfId="2251" xr:uid="{00000000-0005-0000-0000-0000BD080000}"/>
    <cellStyle name="40% - Accent2 5 3 4 2 3" xfId="2252" xr:uid="{00000000-0005-0000-0000-0000BE080000}"/>
    <cellStyle name="40% - Accent2 5 3 4 3" xfId="2253" xr:uid="{00000000-0005-0000-0000-0000BF080000}"/>
    <cellStyle name="40% - Accent2 5 3 4 3 2" xfId="2254" xr:uid="{00000000-0005-0000-0000-0000C0080000}"/>
    <cellStyle name="40% - Accent2 5 3 4 3 3" xfId="2255" xr:uid="{00000000-0005-0000-0000-0000C1080000}"/>
    <cellStyle name="40% - Accent2 5 3 4 4" xfId="2256" xr:uid="{00000000-0005-0000-0000-0000C2080000}"/>
    <cellStyle name="40% - Accent2 5 3 4 4 2" xfId="2257" xr:uid="{00000000-0005-0000-0000-0000C3080000}"/>
    <cellStyle name="40% - Accent2 5 3 4 4 3" xfId="2258" xr:uid="{00000000-0005-0000-0000-0000C4080000}"/>
    <cellStyle name="40% - Accent2 5 3 4 5" xfId="2259" xr:uid="{00000000-0005-0000-0000-0000C5080000}"/>
    <cellStyle name="40% - Accent2 5 3 4 5 2" xfId="2260" xr:uid="{00000000-0005-0000-0000-0000C6080000}"/>
    <cellStyle name="40% - Accent2 5 3 4 5 3" xfId="2261" xr:uid="{00000000-0005-0000-0000-0000C7080000}"/>
    <cellStyle name="40% - Accent2 5 3 4 6" xfId="2262" xr:uid="{00000000-0005-0000-0000-0000C8080000}"/>
    <cellStyle name="40% - Accent2 5 3 4 6 2" xfId="2263" xr:uid="{00000000-0005-0000-0000-0000C9080000}"/>
    <cellStyle name="40% - Accent2 5 3 4 6 3" xfId="2264" xr:uid="{00000000-0005-0000-0000-0000CA080000}"/>
    <cellStyle name="40% - Accent2 5 3 4 7" xfId="2265" xr:uid="{00000000-0005-0000-0000-0000CB080000}"/>
    <cellStyle name="40% - Accent2 5 3 4 7 2" xfId="2266" xr:uid="{00000000-0005-0000-0000-0000CC080000}"/>
    <cellStyle name="40% - Accent2 5 3 4 7 3" xfId="2267" xr:uid="{00000000-0005-0000-0000-0000CD080000}"/>
    <cellStyle name="40% - Accent2 5 3 4 8" xfId="2268" xr:uid="{00000000-0005-0000-0000-0000CE080000}"/>
    <cellStyle name="40% - Accent2 5 3 4 9" xfId="2269" xr:uid="{00000000-0005-0000-0000-0000CF080000}"/>
    <cellStyle name="40% - Accent2 5 3 5" xfId="2270" xr:uid="{00000000-0005-0000-0000-0000D0080000}"/>
    <cellStyle name="40% - Accent2 5 3 5 2" xfId="2271" xr:uid="{00000000-0005-0000-0000-0000D1080000}"/>
    <cellStyle name="40% - Accent2 5 3 5 3" xfId="2272" xr:uid="{00000000-0005-0000-0000-0000D2080000}"/>
    <cellStyle name="40% - Accent2 5 3 6" xfId="2273" xr:uid="{00000000-0005-0000-0000-0000D3080000}"/>
    <cellStyle name="40% - Accent2 5 3 6 2" xfId="2274" xr:uid="{00000000-0005-0000-0000-0000D4080000}"/>
    <cellStyle name="40% - Accent2 5 3 6 3" xfId="2275" xr:uid="{00000000-0005-0000-0000-0000D5080000}"/>
    <cellStyle name="40% - Accent2 5 3 7" xfId="2276" xr:uid="{00000000-0005-0000-0000-0000D6080000}"/>
    <cellStyle name="40% - Accent2 5 3 7 2" xfId="2277" xr:uid="{00000000-0005-0000-0000-0000D7080000}"/>
    <cellStyle name="40% - Accent2 5 3 7 3" xfId="2278" xr:uid="{00000000-0005-0000-0000-0000D8080000}"/>
    <cellStyle name="40% - Accent2 5 3 8" xfId="2279" xr:uid="{00000000-0005-0000-0000-0000D9080000}"/>
    <cellStyle name="40% - Accent2 5 3 8 2" xfId="2280" xr:uid="{00000000-0005-0000-0000-0000DA080000}"/>
    <cellStyle name="40% - Accent2 5 3 8 3" xfId="2281" xr:uid="{00000000-0005-0000-0000-0000DB080000}"/>
    <cellStyle name="40% - Accent2 5 3 9" xfId="2282" xr:uid="{00000000-0005-0000-0000-0000DC080000}"/>
    <cellStyle name="40% - Accent2 5 3 9 2" xfId="2283" xr:uid="{00000000-0005-0000-0000-0000DD080000}"/>
    <cellStyle name="40% - Accent2 5 3 9 3" xfId="2284" xr:uid="{00000000-0005-0000-0000-0000DE080000}"/>
    <cellStyle name="40% - Accent2 5 4" xfId="2285" xr:uid="{00000000-0005-0000-0000-0000DF080000}"/>
    <cellStyle name="40% - Accent2 5 4 10" xfId="2286" xr:uid="{00000000-0005-0000-0000-0000E0080000}"/>
    <cellStyle name="40% - Accent2 5 4 2" xfId="2287" xr:uid="{00000000-0005-0000-0000-0000E1080000}"/>
    <cellStyle name="40% - Accent2 5 4 2 2" xfId="2288" xr:uid="{00000000-0005-0000-0000-0000E2080000}"/>
    <cellStyle name="40% - Accent2 5 4 2 2 2" xfId="2289" xr:uid="{00000000-0005-0000-0000-0000E3080000}"/>
    <cellStyle name="40% - Accent2 5 4 2 2 3" xfId="2290" xr:uid="{00000000-0005-0000-0000-0000E4080000}"/>
    <cellStyle name="40% - Accent2 5 4 2 3" xfId="2291" xr:uid="{00000000-0005-0000-0000-0000E5080000}"/>
    <cellStyle name="40% - Accent2 5 4 2 3 2" xfId="2292" xr:uid="{00000000-0005-0000-0000-0000E6080000}"/>
    <cellStyle name="40% - Accent2 5 4 2 3 3" xfId="2293" xr:uid="{00000000-0005-0000-0000-0000E7080000}"/>
    <cellStyle name="40% - Accent2 5 4 2 4" xfId="2294" xr:uid="{00000000-0005-0000-0000-0000E8080000}"/>
    <cellStyle name="40% - Accent2 5 4 2 4 2" xfId="2295" xr:uid="{00000000-0005-0000-0000-0000E9080000}"/>
    <cellStyle name="40% - Accent2 5 4 2 4 3" xfId="2296" xr:uid="{00000000-0005-0000-0000-0000EA080000}"/>
    <cellStyle name="40% - Accent2 5 4 2 5" xfId="2297" xr:uid="{00000000-0005-0000-0000-0000EB080000}"/>
    <cellStyle name="40% - Accent2 5 4 2 5 2" xfId="2298" xr:uid="{00000000-0005-0000-0000-0000EC080000}"/>
    <cellStyle name="40% - Accent2 5 4 2 5 3" xfId="2299" xr:uid="{00000000-0005-0000-0000-0000ED080000}"/>
    <cellStyle name="40% - Accent2 5 4 2 6" xfId="2300" xr:uid="{00000000-0005-0000-0000-0000EE080000}"/>
    <cellStyle name="40% - Accent2 5 4 2 6 2" xfId="2301" xr:uid="{00000000-0005-0000-0000-0000EF080000}"/>
    <cellStyle name="40% - Accent2 5 4 2 6 3" xfId="2302" xr:uid="{00000000-0005-0000-0000-0000F0080000}"/>
    <cellStyle name="40% - Accent2 5 4 2 7" xfId="2303" xr:uid="{00000000-0005-0000-0000-0000F1080000}"/>
    <cellStyle name="40% - Accent2 5 4 2 7 2" xfId="2304" xr:uid="{00000000-0005-0000-0000-0000F2080000}"/>
    <cellStyle name="40% - Accent2 5 4 2 7 3" xfId="2305" xr:uid="{00000000-0005-0000-0000-0000F3080000}"/>
    <cellStyle name="40% - Accent2 5 4 2 8" xfId="2306" xr:uid="{00000000-0005-0000-0000-0000F4080000}"/>
    <cellStyle name="40% - Accent2 5 4 2 9" xfId="2307" xr:uid="{00000000-0005-0000-0000-0000F5080000}"/>
    <cellStyle name="40% - Accent2 5 4 3" xfId="2308" xr:uid="{00000000-0005-0000-0000-0000F6080000}"/>
    <cellStyle name="40% - Accent2 5 4 3 2" xfId="2309" xr:uid="{00000000-0005-0000-0000-0000F7080000}"/>
    <cellStyle name="40% - Accent2 5 4 3 3" xfId="2310" xr:uid="{00000000-0005-0000-0000-0000F8080000}"/>
    <cellStyle name="40% - Accent2 5 4 4" xfId="2311" xr:uid="{00000000-0005-0000-0000-0000F9080000}"/>
    <cellStyle name="40% - Accent2 5 4 4 2" xfId="2312" xr:uid="{00000000-0005-0000-0000-0000FA080000}"/>
    <cellStyle name="40% - Accent2 5 4 4 3" xfId="2313" xr:uid="{00000000-0005-0000-0000-0000FB080000}"/>
    <cellStyle name="40% - Accent2 5 4 5" xfId="2314" xr:uid="{00000000-0005-0000-0000-0000FC080000}"/>
    <cellStyle name="40% - Accent2 5 4 5 2" xfId="2315" xr:uid="{00000000-0005-0000-0000-0000FD080000}"/>
    <cellStyle name="40% - Accent2 5 4 5 3" xfId="2316" xr:uid="{00000000-0005-0000-0000-0000FE080000}"/>
    <cellStyle name="40% - Accent2 5 4 6" xfId="2317" xr:uid="{00000000-0005-0000-0000-0000FF080000}"/>
    <cellStyle name="40% - Accent2 5 4 6 2" xfId="2318" xr:uid="{00000000-0005-0000-0000-000000090000}"/>
    <cellStyle name="40% - Accent2 5 4 6 3" xfId="2319" xr:uid="{00000000-0005-0000-0000-000001090000}"/>
    <cellStyle name="40% - Accent2 5 4 7" xfId="2320" xr:uid="{00000000-0005-0000-0000-000002090000}"/>
    <cellStyle name="40% - Accent2 5 4 7 2" xfId="2321" xr:uid="{00000000-0005-0000-0000-000003090000}"/>
    <cellStyle name="40% - Accent2 5 4 7 3" xfId="2322" xr:uid="{00000000-0005-0000-0000-000004090000}"/>
    <cellStyle name="40% - Accent2 5 4 8" xfId="2323" xr:uid="{00000000-0005-0000-0000-000005090000}"/>
    <cellStyle name="40% - Accent2 5 4 8 2" xfId="2324" xr:uid="{00000000-0005-0000-0000-000006090000}"/>
    <cellStyle name="40% - Accent2 5 4 8 3" xfId="2325" xr:uid="{00000000-0005-0000-0000-000007090000}"/>
    <cellStyle name="40% - Accent2 5 4 9" xfId="2326" xr:uid="{00000000-0005-0000-0000-000008090000}"/>
    <cellStyle name="40% - Accent2 5 5" xfId="2327" xr:uid="{00000000-0005-0000-0000-000009090000}"/>
    <cellStyle name="40% - Accent2 5 5 10" xfId="2328" xr:uid="{00000000-0005-0000-0000-00000A090000}"/>
    <cellStyle name="40% - Accent2 5 5 2" xfId="2329" xr:uid="{00000000-0005-0000-0000-00000B090000}"/>
    <cellStyle name="40% - Accent2 5 5 2 2" xfId="2330" xr:uid="{00000000-0005-0000-0000-00000C090000}"/>
    <cellStyle name="40% - Accent2 5 5 2 2 2" xfId="2331" xr:uid="{00000000-0005-0000-0000-00000D090000}"/>
    <cellStyle name="40% - Accent2 5 5 2 2 3" xfId="2332" xr:uid="{00000000-0005-0000-0000-00000E090000}"/>
    <cellStyle name="40% - Accent2 5 5 2 3" xfId="2333" xr:uid="{00000000-0005-0000-0000-00000F090000}"/>
    <cellStyle name="40% - Accent2 5 5 2 3 2" xfId="2334" xr:uid="{00000000-0005-0000-0000-000010090000}"/>
    <cellStyle name="40% - Accent2 5 5 2 3 3" xfId="2335" xr:uid="{00000000-0005-0000-0000-000011090000}"/>
    <cellStyle name="40% - Accent2 5 5 2 4" xfId="2336" xr:uid="{00000000-0005-0000-0000-000012090000}"/>
    <cellStyle name="40% - Accent2 5 5 2 4 2" xfId="2337" xr:uid="{00000000-0005-0000-0000-000013090000}"/>
    <cellStyle name="40% - Accent2 5 5 2 4 3" xfId="2338" xr:uid="{00000000-0005-0000-0000-000014090000}"/>
    <cellStyle name="40% - Accent2 5 5 2 5" xfId="2339" xr:uid="{00000000-0005-0000-0000-000015090000}"/>
    <cellStyle name="40% - Accent2 5 5 2 5 2" xfId="2340" xr:uid="{00000000-0005-0000-0000-000016090000}"/>
    <cellStyle name="40% - Accent2 5 5 2 5 3" xfId="2341" xr:uid="{00000000-0005-0000-0000-000017090000}"/>
    <cellStyle name="40% - Accent2 5 5 2 6" xfId="2342" xr:uid="{00000000-0005-0000-0000-000018090000}"/>
    <cellStyle name="40% - Accent2 5 5 2 6 2" xfId="2343" xr:uid="{00000000-0005-0000-0000-000019090000}"/>
    <cellStyle name="40% - Accent2 5 5 2 6 3" xfId="2344" xr:uid="{00000000-0005-0000-0000-00001A090000}"/>
    <cellStyle name="40% - Accent2 5 5 2 7" xfId="2345" xr:uid="{00000000-0005-0000-0000-00001B090000}"/>
    <cellStyle name="40% - Accent2 5 5 2 7 2" xfId="2346" xr:uid="{00000000-0005-0000-0000-00001C090000}"/>
    <cellStyle name="40% - Accent2 5 5 2 7 3" xfId="2347" xr:uid="{00000000-0005-0000-0000-00001D090000}"/>
    <cellStyle name="40% - Accent2 5 5 2 8" xfId="2348" xr:uid="{00000000-0005-0000-0000-00001E090000}"/>
    <cellStyle name="40% - Accent2 5 5 2 9" xfId="2349" xr:uid="{00000000-0005-0000-0000-00001F090000}"/>
    <cellStyle name="40% - Accent2 5 5 3" xfId="2350" xr:uid="{00000000-0005-0000-0000-000020090000}"/>
    <cellStyle name="40% - Accent2 5 5 3 2" xfId="2351" xr:uid="{00000000-0005-0000-0000-000021090000}"/>
    <cellStyle name="40% - Accent2 5 5 3 3" xfId="2352" xr:uid="{00000000-0005-0000-0000-000022090000}"/>
    <cellStyle name="40% - Accent2 5 5 4" xfId="2353" xr:uid="{00000000-0005-0000-0000-000023090000}"/>
    <cellStyle name="40% - Accent2 5 5 4 2" xfId="2354" xr:uid="{00000000-0005-0000-0000-000024090000}"/>
    <cellStyle name="40% - Accent2 5 5 4 3" xfId="2355" xr:uid="{00000000-0005-0000-0000-000025090000}"/>
    <cellStyle name="40% - Accent2 5 5 5" xfId="2356" xr:uid="{00000000-0005-0000-0000-000026090000}"/>
    <cellStyle name="40% - Accent2 5 5 5 2" xfId="2357" xr:uid="{00000000-0005-0000-0000-000027090000}"/>
    <cellStyle name="40% - Accent2 5 5 5 3" xfId="2358" xr:uid="{00000000-0005-0000-0000-000028090000}"/>
    <cellStyle name="40% - Accent2 5 5 6" xfId="2359" xr:uid="{00000000-0005-0000-0000-000029090000}"/>
    <cellStyle name="40% - Accent2 5 5 6 2" xfId="2360" xr:uid="{00000000-0005-0000-0000-00002A090000}"/>
    <cellStyle name="40% - Accent2 5 5 6 3" xfId="2361" xr:uid="{00000000-0005-0000-0000-00002B090000}"/>
    <cellStyle name="40% - Accent2 5 5 7" xfId="2362" xr:uid="{00000000-0005-0000-0000-00002C090000}"/>
    <cellStyle name="40% - Accent2 5 5 7 2" xfId="2363" xr:uid="{00000000-0005-0000-0000-00002D090000}"/>
    <cellStyle name="40% - Accent2 5 5 7 3" xfId="2364" xr:uid="{00000000-0005-0000-0000-00002E090000}"/>
    <cellStyle name="40% - Accent2 5 5 8" xfId="2365" xr:uid="{00000000-0005-0000-0000-00002F090000}"/>
    <cellStyle name="40% - Accent2 5 5 8 2" xfId="2366" xr:uid="{00000000-0005-0000-0000-000030090000}"/>
    <cellStyle name="40% - Accent2 5 5 8 3" xfId="2367" xr:uid="{00000000-0005-0000-0000-000031090000}"/>
    <cellStyle name="40% - Accent2 5 5 9" xfId="2368" xr:uid="{00000000-0005-0000-0000-000032090000}"/>
    <cellStyle name="40% - Accent2 5 6" xfId="2369" xr:uid="{00000000-0005-0000-0000-000033090000}"/>
    <cellStyle name="40% - Accent2 5 6 2" xfId="2370" xr:uid="{00000000-0005-0000-0000-000034090000}"/>
    <cellStyle name="40% - Accent2 5 6 2 2" xfId="2371" xr:uid="{00000000-0005-0000-0000-000035090000}"/>
    <cellStyle name="40% - Accent2 5 6 2 3" xfId="2372" xr:uid="{00000000-0005-0000-0000-000036090000}"/>
    <cellStyle name="40% - Accent2 5 6 3" xfId="2373" xr:uid="{00000000-0005-0000-0000-000037090000}"/>
    <cellStyle name="40% - Accent2 5 6 3 2" xfId="2374" xr:uid="{00000000-0005-0000-0000-000038090000}"/>
    <cellStyle name="40% - Accent2 5 6 3 3" xfId="2375" xr:uid="{00000000-0005-0000-0000-000039090000}"/>
    <cellStyle name="40% - Accent2 5 6 4" xfId="2376" xr:uid="{00000000-0005-0000-0000-00003A090000}"/>
    <cellStyle name="40% - Accent2 5 6 4 2" xfId="2377" xr:uid="{00000000-0005-0000-0000-00003B090000}"/>
    <cellStyle name="40% - Accent2 5 6 4 3" xfId="2378" xr:uid="{00000000-0005-0000-0000-00003C090000}"/>
    <cellStyle name="40% - Accent2 5 6 5" xfId="2379" xr:uid="{00000000-0005-0000-0000-00003D090000}"/>
    <cellStyle name="40% - Accent2 5 6 5 2" xfId="2380" xr:uid="{00000000-0005-0000-0000-00003E090000}"/>
    <cellStyle name="40% - Accent2 5 6 5 3" xfId="2381" xr:uid="{00000000-0005-0000-0000-00003F090000}"/>
    <cellStyle name="40% - Accent2 5 6 6" xfId="2382" xr:uid="{00000000-0005-0000-0000-000040090000}"/>
    <cellStyle name="40% - Accent2 5 6 6 2" xfId="2383" xr:uid="{00000000-0005-0000-0000-000041090000}"/>
    <cellStyle name="40% - Accent2 5 6 6 3" xfId="2384" xr:uid="{00000000-0005-0000-0000-000042090000}"/>
    <cellStyle name="40% - Accent2 5 6 7" xfId="2385" xr:uid="{00000000-0005-0000-0000-000043090000}"/>
    <cellStyle name="40% - Accent2 5 6 7 2" xfId="2386" xr:uid="{00000000-0005-0000-0000-000044090000}"/>
    <cellStyle name="40% - Accent2 5 6 7 3" xfId="2387" xr:uid="{00000000-0005-0000-0000-000045090000}"/>
    <cellStyle name="40% - Accent2 5 6 8" xfId="2388" xr:uid="{00000000-0005-0000-0000-000046090000}"/>
    <cellStyle name="40% - Accent2 5 6 9" xfId="2389" xr:uid="{00000000-0005-0000-0000-000047090000}"/>
    <cellStyle name="40% - Accent2 5 7" xfId="2390" xr:uid="{00000000-0005-0000-0000-000048090000}"/>
    <cellStyle name="40% - Accent2 5 7 2" xfId="2391" xr:uid="{00000000-0005-0000-0000-000049090000}"/>
    <cellStyle name="40% - Accent2 5 7 3" xfId="2392" xr:uid="{00000000-0005-0000-0000-00004A090000}"/>
    <cellStyle name="40% - Accent2 5 8" xfId="2393" xr:uid="{00000000-0005-0000-0000-00004B090000}"/>
    <cellStyle name="40% - Accent2 5 8 2" xfId="2394" xr:uid="{00000000-0005-0000-0000-00004C090000}"/>
    <cellStyle name="40% - Accent2 5 8 3" xfId="2395" xr:uid="{00000000-0005-0000-0000-00004D090000}"/>
    <cellStyle name="40% - Accent2 5 9" xfId="2396" xr:uid="{00000000-0005-0000-0000-00004E090000}"/>
    <cellStyle name="40% - Accent2 5 9 2" xfId="2397" xr:uid="{00000000-0005-0000-0000-00004F090000}"/>
    <cellStyle name="40% - Accent2 5 9 3" xfId="2398" xr:uid="{00000000-0005-0000-0000-000050090000}"/>
    <cellStyle name="40% - Accent2 6" xfId="2399" xr:uid="{00000000-0005-0000-0000-000051090000}"/>
    <cellStyle name="40% - Accent2 6 10" xfId="2400" xr:uid="{00000000-0005-0000-0000-000052090000}"/>
    <cellStyle name="40% - Accent2 6 10 2" xfId="2401" xr:uid="{00000000-0005-0000-0000-000053090000}"/>
    <cellStyle name="40% - Accent2 6 10 3" xfId="2402" xr:uid="{00000000-0005-0000-0000-000054090000}"/>
    <cellStyle name="40% - Accent2 6 11" xfId="2403" xr:uid="{00000000-0005-0000-0000-000055090000}"/>
    <cellStyle name="40% - Accent2 6 11 2" xfId="2404" xr:uid="{00000000-0005-0000-0000-000056090000}"/>
    <cellStyle name="40% - Accent2 6 11 3" xfId="2405" xr:uid="{00000000-0005-0000-0000-000057090000}"/>
    <cellStyle name="40% - Accent2 6 12" xfId="2406" xr:uid="{00000000-0005-0000-0000-000058090000}"/>
    <cellStyle name="40% - Accent2 6 13" xfId="2407" xr:uid="{00000000-0005-0000-0000-000059090000}"/>
    <cellStyle name="40% - Accent2 6 2" xfId="2408" xr:uid="{00000000-0005-0000-0000-00005A090000}"/>
    <cellStyle name="40% - Accent2 6 2 10" xfId="2409" xr:uid="{00000000-0005-0000-0000-00005B090000}"/>
    <cellStyle name="40% - Accent2 6 2 10 2" xfId="2410" xr:uid="{00000000-0005-0000-0000-00005C090000}"/>
    <cellStyle name="40% - Accent2 6 2 10 3" xfId="2411" xr:uid="{00000000-0005-0000-0000-00005D090000}"/>
    <cellStyle name="40% - Accent2 6 2 11" xfId="2412" xr:uid="{00000000-0005-0000-0000-00005E090000}"/>
    <cellStyle name="40% - Accent2 6 2 12" xfId="2413" xr:uid="{00000000-0005-0000-0000-00005F090000}"/>
    <cellStyle name="40% - Accent2 6 2 2" xfId="2414" xr:uid="{00000000-0005-0000-0000-000060090000}"/>
    <cellStyle name="40% - Accent2 6 2 2 10" xfId="2415" xr:uid="{00000000-0005-0000-0000-000061090000}"/>
    <cellStyle name="40% - Accent2 6 2 2 2" xfId="2416" xr:uid="{00000000-0005-0000-0000-000062090000}"/>
    <cellStyle name="40% - Accent2 6 2 2 2 2" xfId="2417" xr:uid="{00000000-0005-0000-0000-000063090000}"/>
    <cellStyle name="40% - Accent2 6 2 2 2 2 2" xfId="2418" xr:uid="{00000000-0005-0000-0000-000064090000}"/>
    <cellStyle name="40% - Accent2 6 2 2 2 2 3" xfId="2419" xr:uid="{00000000-0005-0000-0000-000065090000}"/>
    <cellStyle name="40% - Accent2 6 2 2 2 3" xfId="2420" xr:uid="{00000000-0005-0000-0000-000066090000}"/>
    <cellStyle name="40% - Accent2 6 2 2 2 3 2" xfId="2421" xr:uid="{00000000-0005-0000-0000-000067090000}"/>
    <cellStyle name="40% - Accent2 6 2 2 2 3 3" xfId="2422" xr:uid="{00000000-0005-0000-0000-000068090000}"/>
    <cellStyle name="40% - Accent2 6 2 2 2 4" xfId="2423" xr:uid="{00000000-0005-0000-0000-000069090000}"/>
    <cellStyle name="40% - Accent2 6 2 2 2 4 2" xfId="2424" xr:uid="{00000000-0005-0000-0000-00006A090000}"/>
    <cellStyle name="40% - Accent2 6 2 2 2 4 3" xfId="2425" xr:uid="{00000000-0005-0000-0000-00006B090000}"/>
    <cellStyle name="40% - Accent2 6 2 2 2 5" xfId="2426" xr:uid="{00000000-0005-0000-0000-00006C090000}"/>
    <cellStyle name="40% - Accent2 6 2 2 2 5 2" xfId="2427" xr:uid="{00000000-0005-0000-0000-00006D090000}"/>
    <cellStyle name="40% - Accent2 6 2 2 2 5 3" xfId="2428" xr:uid="{00000000-0005-0000-0000-00006E090000}"/>
    <cellStyle name="40% - Accent2 6 2 2 2 6" xfId="2429" xr:uid="{00000000-0005-0000-0000-00006F090000}"/>
    <cellStyle name="40% - Accent2 6 2 2 2 6 2" xfId="2430" xr:uid="{00000000-0005-0000-0000-000070090000}"/>
    <cellStyle name="40% - Accent2 6 2 2 2 6 3" xfId="2431" xr:uid="{00000000-0005-0000-0000-000071090000}"/>
    <cellStyle name="40% - Accent2 6 2 2 2 7" xfId="2432" xr:uid="{00000000-0005-0000-0000-000072090000}"/>
    <cellStyle name="40% - Accent2 6 2 2 2 7 2" xfId="2433" xr:uid="{00000000-0005-0000-0000-000073090000}"/>
    <cellStyle name="40% - Accent2 6 2 2 2 7 3" xfId="2434" xr:uid="{00000000-0005-0000-0000-000074090000}"/>
    <cellStyle name="40% - Accent2 6 2 2 2 8" xfId="2435" xr:uid="{00000000-0005-0000-0000-000075090000}"/>
    <cellStyle name="40% - Accent2 6 2 2 2 9" xfId="2436" xr:uid="{00000000-0005-0000-0000-000076090000}"/>
    <cellStyle name="40% - Accent2 6 2 2 3" xfId="2437" xr:uid="{00000000-0005-0000-0000-000077090000}"/>
    <cellStyle name="40% - Accent2 6 2 2 3 2" xfId="2438" xr:uid="{00000000-0005-0000-0000-000078090000}"/>
    <cellStyle name="40% - Accent2 6 2 2 3 3" xfId="2439" xr:uid="{00000000-0005-0000-0000-000079090000}"/>
    <cellStyle name="40% - Accent2 6 2 2 4" xfId="2440" xr:uid="{00000000-0005-0000-0000-00007A090000}"/>
    <cellStyle name="40% - Accent2 6 2 2 4 2" xfId="2441" xr:uid="{00000000-0005-0000-0000-00007B090000}"/>
    <cellStyle name="40% - Accent2 6 2 2 4 3" xfId="2442" xr:uid="{00000000-0005-0000-0000-00007C090000}"/>
    <cellStyle name="40% - Accent2 6 2 2 5" xfId="2443" xr:uid="{00000000-0005-0000-0000-00007D090000}"/>
    <cellStyle name="40% - Accent2 6 2 2 5 2" xfId="2444" xr:uid="{00000000-0005-0000-0000-00007E090000}"/>
    <cellStyle name="40% - Accent2 6 2 2 5 3" xfId="2445" xr:uid="{00000000-0005-0000-0000-00007F090000}"/>
    <cellStyle name="40% - Accent2 6 2 2 6" xfId="2446" xr:uid="{00000000-0005-0000-0000-000080090000}"/>
    <cellStyle name="40% - Accent2 6 2 2 6 2" xfId="2447" xr:uid="{00000000-0005-0000-0000-000081090000}"/>
    <cellStyle name="40% - Accent2 6 2 2 6 3" xfId="2448" xr:uid="{00000000-0005-0000-0000-000082090000}"/>
    <cellStyle name="40% - Accent2 6 2 2 7" xfId="2449" xr:uid="{00000000-0005-0000-0000-000083090000}"/>
    <cellStyle name="40% - Accent2 6 2 2 7 2" xfId="2450" xr:uid="{00000000-0005-0000-0000-000084090000}"/>
    <cellStyle name="40% - Accent2 6 2 2 7 3" xfId="2451" xr:uid="{00000000-0005-0000-0000-000085090000}"/>
    <cellStyle name="40% - Accent2 6 2 2 8" xfId="2452" xr:uid="{00000000-0005-0000-0000-000086090000}"/>
    <cellStyle name="40% - Accent2 6 2 2 8 2" xfId="2453" xr:uid="{00000000-0005-0000-0000-000087090000}"/>
    <cellStyle name="40% - Accent2 6 2 2 8 3" xfId="2454" xr:uid="{00000000-0005-0000-0000-000088090000}"/>
    <cellStyle name="40% - Accent2 6 2 2 9" xfId="2455" xr:uid="{00000000-0005-0000-0000-000089090000}"/>
    <cellStyle name="40% - Accent2 6 2 3" xfId="2456" xr:uid="{00000000-0005-0000-0000-00008A090000}"/>
    <cellStyle name="40% - Accent2 6 2 3 10" xfId="2457" xr:uid="{00000000-0005-0000-0000-00008B090000}"/>
    <cellStyle name="40% - Accent2 6 2 3 2" xfId="2458" xr:uid="{00000000-0005-0000-0000-00008C090000}"/>
    <cellStyle name="40% - Accent2 6 2 3 2 2" xfId="2459" xr:uid="{00000000-0005-0000-0000-00008D090000}"/>
    <cellStyle name="40% - Accent2 6 2 3 2 2 2" xfId="2460" xr:uid="{00000000-0005-0000-0000-00008E090000}"/>
    <cellStyle name="40% - Accent2 6 2 3 2 2 3" xfId="2461" xr:uid="{00000000-0005-0000-0000-00008F090000}"/>
    <cellStyle name="40% - Accent2 6 2 3 2 3" xfId="2462" xr:uid="{00000000-0005-0000-0000-000090090000}"/>
    <cellStyle name="40% - Accent2 6 2 3 2 3 2" xfId="2463" xr:uid="{00000000-0005-0000-0000-000091090000}"/>
    <cellStyle name="40% - Accent2 6 2 3 2 3 3" xfId="2464" xr:uid="{00000000-0005-0000-0000-000092090000}"/>
    <cellStyle name="40% - Accent2 6 2 3 2 4" xfId="2465" xr:uid="{00000000-0005-0000-0000-000093090000}"/>
    <cellStyle name="40% - Accent2 6 2 3 2 4 2" xfId="2466" xr:uid="{00000000-0005-0000-0000-000094090000}"/>
    <cellStyle name="40% - Accent2 6 2 3 2 4 3" xfId="2467" xr:uid="{00000000-0005-0000-0000-000095090000}"/>
    <cellStyle name="40% - Accent2 6 2 3 2 5" xfId="2468" xr:uid="{00000000-0005-0000-0000-000096090000}"/>
    <cellStyle name="40% - Accent2 6 2 3 2 5 2" xfId="2469" xr:uid="{00000000-0005-0000-0000-000097090000}"/>
    <cellStyle name="40% - Accent2 6 2 3 2 5 3" xfId="2470" xr:uid="{00000000-0005-0000-0000-000098090000}"/>
    <cellStyle name="40% - Accent2 6 2 3 2 6" xfId="2471" xr:uid="{00000000-0005-0000-0000-000099090000}"/>
    <cellStyle name="40% - Accent2 6 2 3 2 6 2" xfId="2472" xr:uid="{00000000-0005-0000-0000-00009A090000}"/>
    <cellStyle name="40% - Accent2 6 2 3 2 6 3" xfId="2473" xr:uid="{00000000-0005-0000-0000-00009B090000}"/>
    <cellStyle name="40% - Accent2 6 2 3 2 7" xfId="2474" xr:uid="{00000000-0005-0000-0000-00009C090000}"/>
    <cellStyle name="40% - Accent2 6 2 3 2 7 2" xfId="2475" xr:uid="{00000000-0005-0000-0000-00009D090000}"/>
    <cellStyle name="40% - Accent2 6 2 3 2 7 3" xfId="2476" xr:uid="{00000000-0005-0000-0000-00009E090000}"/>
    <cellStyle name="40% - Accent2 6 2 3 2 8" xfId="2477" xr:uid="{00000000-0005-0000-0000-00009F090000}"/>
    <cellStyle name="40% - Accent2 6 2 3 2 9" xfId="2478" xr:uid="{00000000-0005-0000-0000-0000A0090000}"/>
    <cellStyle name="40% - Accent2 6 2 3 3" xfId="2479" xr:uid="{00000000-0005-0000-0000-0000A1090000}"/>
    <cellStyle name="40% - Accent2 6 2 3 3 2" xfId="2480" xr:uid="{00000000-0005-0000-0000-0000A2090000}"/>
    <cellStyle name="40% - Accent2 6 2 3 3 3" xfId="2481" xr:uid="{00000000-0005-0000-0000-0000A3090000}"/>
    <cellStyle name="40% - Accent2 6 2 3 4" xfId="2482" xr:uid="{00000000-0005-0000-0000-0000A4090000}"/>
    <cellStyle name="40% - Accent2 6 2 3 4 2" xfId="2483" xr:uid="{00000000-0005-0000-0000-0000A5090000}"/>
    <cellStyle name="40% - Accent2 6 2 3 4 3" xfId="2484" xr:uid="{00000000-0005-0000-0000-0000A6090000}"/>
    <cellStyle name="40% - Accent2 6 2 3 5" xfId="2485" xr:uid="{00000000-0005-0000-0000-0000A7090000}"/>
    <cellStyle name="40% - Accent2 6 2 3 5 2" xfId="2486" xr:uid="{00000000-0005-0000-0000-0000A8090000}"/>
    <cellStyle name="40% - Accent2 6 2 3 5 3" xfId="2487" xr:uid="{00000000-0005-0000-0000-0000A9090000}"/>
    <cellStyle name="40% - Accent2 6 2 3 6" xfId="2488" xr:uid="{00000000-0005-0000-0000-0000AA090000}"/>
    <cellStyle name="40% - Accent2 6 2 3 6 2" xfId="2489" xr:uid="{00000000-0005-0000-0000-0000AB090000}"/>
    <cellStyle name="40% - Accent2 6 2 3 6 3" xfId="2490" xr:uid="{00000000-0005-0000-0000-0000AC090000}"/>
    <cellStyle name="40% - Accent2 6 2 3 7" xfId="2491" xr:uid="{00000000-0005-0000-0000-0000AD090000}"/>
    <cellStyle name="40% - Accent2 6 2 3 7 2" xfId="2492" xr:uid="{00000000-0005-0000-0000-0000AE090000}"/>
    <cellStyle name="40% - Accent2 6 2 3 7 3" xfId="2493" xr:uid="{00000000-0005-0000-0000-0000AF090000}"/>
    <cellStyle name="40% - Accent2 6 2 3 8" xfId="2494" xr:uid="{00000000-0005-0000-0000-0000B0090000}"/>
    <cellStyle name="40% - Accent2 6 2 3 8 2" xfId="2495" xr:uid="{00000000-0005-0000-0000-0000B1090000}"/>
    <cellStyle name="40% - Accent2 6 2 3 8 3" xfId="2496" xr:uid="{00000000-0005-0000-0000-0000B2090000}"/>
    <cellStyle name="40% - Accent2 6 2 3 9" xfId="2497" xr:uid="{00000000-0005-0000-0000-0000B3090000}"/>
    <cellStyle name="40% - Accent2 6 2 4" xfId="2498" xr:uid="{00000000-0005-0000-0000-0000B4090000}"/>
    <cellStyle name="40% - Accent2 6 2 4 2" xfId="2499" xr:uid="{00000000-0005-0000-0000-0000B5090000}"/>
    <cellStyle name="40% - Accent2 6 2 4 2 2" xfId="2500" xr:uid="{00000000-0005-0000-0000-0000B6090000}"/>
    <cellStyle name="40% - Accent2 6 2 4 2 3" xfId="2501" xr:uid="{00000000-0005-0000-0000-0000B7090000}"/>
    <cellStyle name="40% - Accent2 6 2 4 3" xfId="2502" xr:uid="{00000000-0005-0000-0000-0000B8090000}"/>
    <cellStyle name="40% - Accent2 6 2 4 3 2" xfId="2503" xr:uid="{00000000-0005-0000-0000-0000B9090000}"/>
    <cellStyle name="40% - Accent2 6 2 4 3 3" xfId="2504" xr:uid="{00000000-0005-0000-0000-0000BA090000}"/>
    <cellStyle name="40% - Accent2 6 2 4 4" xfId="2505" xr:uid="{00000000-0005-0000-0000-0000BB090000}"/>
    <cellStyle name="40% - Accent2 6 2 4 4 2" xfId="2506" xr:uid="{00000000-0005-0000-0000-0000BC090000}"/>
    <cellStyle name="40% - Accent2 6 2 4 4 3" xfId="2507" xr:uid="{00000000-0005-0000-0000-0000BD090000}"/>
    <cellStyle name="40% - Accent2 6 2 4 5" xfId="2508" xr:uid="{00000000-0005-0000-0000-0000BE090000}"/>
    <cellStyle name="40% - Accent2 6 2 4 5 2" xfId="2509" xr:uid="{00000000-0005-0000-0000-0000BF090000}"/>
    <cellStyle name="40% - Accent2 6 2 4 5 3" xfId="2510" xr:uid="{00000000-0005-0000-0000-0000C0090000}"/>
    <cellStyle name="40% - Accent2 6 2 4 6" xfId="2511" xr:uid="{00000000-0005-0000-0000-0000C1090000}"/>
    <cellStyle name="40% - Accent2 6 2 4 6 2" xfId="2512" xr:uid="{00000000-0005-0000-0000-0000C2090000}"/>
    <cellStyle name="40% - Accent2 6 2 4 6 3" xfId="2513" xr:uid="{00000000-0005-0000-0000-0000C3090000}"/>
    <cellStyle name="40% - Accent2 6 2 4 7" xfId="2514" xr:uid="{00000000-0005-0000-0000-0000C4090000}"/>
    <cellStyle name="40% - Accent2 6 2 4 7 2" xfId="2515" xr:uid="{00000000-0005-0000-0000-0000C5090000}"/>
    <cellStyle name="40% - Accent2 6 2 4 7 3" xfId="2516" xr:uid="{00000000-0005-0000-0000-0000C6090000}"/>
    <cellStyle name="40% - Accent2 6 2 4 8" xfId="2517" xr:uid="{00000000-0005-0000-0000-0000C7090000}"/>
    <cellStyle name="40% - Accent2 6 2 4 9" xfId="2518" xr:uid="{00000000-0005-0000-0000-0000C8090000}"/>
    <cellStyle name="40% - Accent2 6 2 5" xfId="2519" xr:uid="{00000000-0005-0000-0000-0000C9090000}"/>
    <cellStyle name="40% - Accent2 6 2 5 2" xfId="2520" xr:uid="{00000000-0005-0000-0000-0000CA090000}"/>
    <cellStyle name="40% - Accent2 6 2 5 3" xfId="2521" xr:uid="{00000000-0005-0000-0000-0000CB090000}"/>
    <cellStyle name="40% - Accent2 6 2 6" xfId="2522" xr:uid="{00000000-0005-0000-0000-0000CC090000}"/>
    <cellStyle name="40% - Accent2 6 2 6 2" xfId="2523" xr:uid="{00000000-0005-0000-0000-0000CD090000}"/>
    <cellStyle name="40% - Accent2 6 2 6 3" xfId="2524" xr:uid="{00000000-0005-0000-0000-0000CE090000}"/>
    <cellStyle name="40% - Accent2 6 2 7" xfId="2525" xr:uid="{00000000-0005-0000-0000-0000CF090000}"/>
    <cellStyle name="40% - Accent2 6 2 7 2" xfId="2526" xr:uid="{00000000-0005-0000-0000-0000D0090000}"/>
    <cellStyle name="40% - Accent2 6 2 7 3" xfId="2527" xr:uid="{00000000-0005-0000-0000-0000D1090000}"/>
    <cellStyle name="40% - Accent2 6 2 8" xfId="2528" xr:uid="{00000000-0005-0000-0000-0000D2090000}"/>
    <cellStyle name="40% - Accent2 6 2 8 2" xfId="2529" xr:uid="{00000000-0005-0000-0000-0000D3090000}"/>
    <cellStyle name="40% - Accent2 6 2 8 3" xfId="2530" xr:uid="{00000000-0005-0000-0000-0000D4090000}"/>
    <cellStyle name="40% - Accent2 6 2 9" xfId="2531" xr:uid="{00000000-0005-0000-0000-0000D5090000}"/>
    <cellStyle name="40% - Accent2 6 2 9 2" xfId="2532" xr:uid="{00000000-0005-0000-0000-0000D6090000}"/>
    <cellStyle name="40% - Accent2 6 2 9 3" xfId="2533" xr:uid="{00000000-0005-0000-0000-0000D7090000}"/>
    <cellStyle name="40% - Accent2 6 3" xfId="2534" xr:uid="{00000000-0005-0000-0000-0000D8090000}"/>
    <cellStyle name="40% - Accent2 6 3 10" xfId="2535" xr:uid="{00000000-0005-0000-0000-0000D9090000}"/>
    <cellStyle name="40% - Accent2 6 3 2" xfId="2536" xr:uid="{00000000-0005-0000-0000-0000DA090000}"/>
    <cellStyle name="40% - Accent2 6 3 2 2" xfId="2537" xr:uid="{00000000-0005-0000-0000-0000DB090000}"/>
    <cellStyle name="40% - Accent2 6 3 2 2 2" xfId="2538" xr:uid="{00000000-0005-0000-0000-0000DC090000}"/>
    <cellStyle name="40% - Accent2 6 3 2 2 3" xfId="2539" xr:uid="{00000000-0005-0000-0000-0000DD090000}"/>
    <cellStyle name="40% - Accent2 6 3 2 3" xfId="2540" xr:uid="{00000000-0005-0000-0000-0000DE090000}"/>
    <cellStyle name="40% - Accent2 6 3 2 3 2" xfId="2541" xr:uid="{00000000-0005-0000-0000-0000DF090000}"/>
    <cellStyle name="40% - Accent2 6 3 2 3 3" xfId="2542" xr:uid="{00000000-0005-0000-0000-0000E0090000}"/>
    <cellStyle name="40% - Accent2 6 3 2 4" xfId="2543" xr:uid="{00000000-0005-0000-0000-0000E1090000}"/>
    <cellStyle name="40% - Accent2 6 3 2 4 2" xfId="2544" xr:uid="{00000000-0005-0000-0000-0000E2090000}"/>
    <cellStyle name="40% - Accent2 6 3 2 4 3" xfId="2545" xr:uid="{00000000-0005-0000-0000-0000E3090000}"/>
    <cellStyle name="40% - Accent2 6 3 2 5" xfId="2546" xr:uid="{00000000-0005-0000-0000-0000E4090000}"/>
    <cellStyle name="40% - Accent2 6 3 2 5 2" xfId="2547" xr:uid="{00000000-0005-0000-0000-0000E5090000}"/>
    <cellStyle name="40% - Accent2 6 3 2 5 3" xfId="2548" xr:uid="{00000000-0005-0000-0000-0000E6090000}"/>
    <cellStyle name="40% - Accent2 6 3 2 6" xfId="2549" xr:uid="{00000000-0005-0000-0000-0000E7090000}"/>
    <cellStyle name="40% - Accent2 6 3 2 6 2" xfId="2550" xr:uid="{00000000-0005-0000-0000-0000E8090000}"/>
    <cellStyle name="40% - Accent2 6 3 2 6 3" xfId="2551" xr:uid="{00000000-0005-0000-0000-0000E9090000}"/>
    <cellStyle name="40% - Accent2 6 3 2 7" xfId="2552" xr:uid="{00000000-0005-0000-0000-0000EA090000}"/>
    <cellStyle name="40% - Accent2 6 3 2 7 2" xfId="2553" xr:uid="{00000000-0005-0000-0000-0000EB090000}"/>
    <cellStyle name="40% - Accent2 6 3 2 7 3" xfId="2554" xr:uid="{00000000-0005-0000-0000-0000EC090000}"/>
    <cellStyle name="40% - Accent2 6 3 2 8" xfId="2555" xr:uid="{00000000-0005-0000-0000-0000ED090000}"/>
    <cellStyle name="40% - Accent2 6 3 2 9" xfId="2556" xr:uid="{00000000-0005-0000-0000-0000EE090000}"/>
    <cellStyle name="40% - Accent2 6 3 3" xfId="2557" xr:uid="{00000000-0005-0000-0000-0000EF090000}"/>
    <cellStyle name="40% - Accent2 6 3 3 2" xfId="2558" xr:uid="{00000000-0005-0000-0000-0000F0090000}"/>
    <cellStyle name="40% - Accent2 6 3 3 3" xfId="2559" xr:uid="{00000000-0005-0000-0000-0000F1090000}"/>
    <cellStyle name="40% - Accent2 6 3 4" xfId="2560" xr:uid="{00000000-0005-0000-0000-0000F2090000}"/>
    <cellStyle name="40% - Accent2 6 3 4 2" xfId="2561" xr:uid="{00000000-0005-0000-0000-0000F3090000}"/>
    <cellStyle name="40% - Accent2 6 3 4 3" xfId="2562" xr:uid="{00000000-0005-0000-0000-0000F4090000}"/>
    <cellStyle name="40% - Accent2 6 3 5" xfId="2563" xr:uid="{00000000-0005-0000-0000-0000F5090000}"/>
    <cellStyle name="40% - Accent2 6 3 5 2" xfId="2564" xr:uid="{00000000-0005-0000-0000-0000F6090000}"/>
    <cellStyle name="40% - Accent2 6 3 5 3" xfId="2565" xr:uid="{00000000-0005-0000-0000-0000F7090000}"/>
    <cellStyle name="40% - Accent2 6 3 6" xfId="2566" xr:uid="{00000000-0005-0000-0000-0000F8090000}"/>
    <cellStyle name="40% - Accent2 6 3 6 2" xfId="2567" xr:uid="{00000000-0005-0000-0000-0000F9090000}"/>
    <cellStyle name="40% - Accent2 6 3 6 3" xfId="2568" xr:uid="{00000000-0005-0000-0000-0000FA090000}"/>
    <cellStyle name="40% - Accent2 6 3 7" xfId="2569" xr:uid="{00000000-0005-0000-0000-0000FB090000}"/>
    <cellStyle name="40% - Accent2 6 3 7 2" xfId="2570" xr:uid="{00000000-0005-0000-0000-0000FC090000}"/>
    <cellStyle name="40% - Accent2 6 3 7 3" xfId="2571" xr:uid="{00000000-0005-0000-0000-0000FD090000}"/>
    <cellStyle name="40% - Accent2 6 3 8" xfId="2572" xr:uid="{00000000-0005-0000-0000-0000FE090000}"/>
    <cellStyle name="40% - Accent2 6 3 8 2" xfId="2573" xr:uid="{00000000-0005-0000-0000-0000FF090000}"/>
    <cellStyle name="40% - Accent2 6 3 8 3" xfId="2574" xr:uid="{00000000-0005-0000-0000-0000000A0000}"/>
    <cellStyle name="40% - Accent2 6 3 9" xfId="2575" xr:uid="{00000000-0005-0000-0000-0000010A0000}"/>
    <cellStyle name="40% - Accent2 6 4" xfId="2576" xr:uid="{00000000-0005-0000-0000-0000020A0000}"/>
    <cellStyle name="40% - Accent2 6 4 10" xfId="2577" xr:uid="{00000000-0005-0000-0000-0000030A0000}"/>
    <cellStyle name="40% - Accent2 6 4 2" xfId="2578" xr:uid="{00000000-0005-0000-0000-0000040A0000}"/>
    <cellStyle name="40% - Accent2 6 4 2 2" xfId="2579" xr:uid="{00000000-0005-0000-0000-0000050A0000}"/>
    <cellStyle name="40% - Accent2 6 4 2 2 2" xfId="2580" xr:uid="{00000000-0005-0000-0000-0000060A0000}"/>
    <cellStyle name="40% - Accent2 6 4 2 2 3" xfId="2581" xr:uid="{00000000-0005-0000-0000-0000070A0000}"/>
    <cellStyle name="40% - Accent2 6 4 2 3" xfId="2582" xr:uid="{00000000-0005-0000-0000-0000080A0000}"/>
    <cellStyle name="40% - Accent2 6 4 2 3 2" xfId="2583" xr:uid="{00000000-0005-0000-0000-0000090A0000}"/>
    <cellStyle name="40% - Accent2 6 4 2 3 3" xfId="2584" xr:uid="{00000000-0005-0000-0000-00000A0A0000}"/>
    <cellStyle name="40% - Accent2 6 4 2 4" xfId="2585" xr:uid="{00000000-0005-0000-0000-00000B0A0000}"/>
    <cellStyle name="40% - Accent2 6 4 2 4 2" xfId="2586" xr:uid="{00000000-0005-0000-0000-00000C0A0000}"/>
    <cellStyle name="40% - Accent2 6 4 2 4 3" xfId="2587" xr:uid="{00000000-0005-0000-0000-00000D0A0000}"/>
    <cellStyle name="40% - Accent2 6 4 2 5" xfId="2588" xr:uid="{00000000-0005-0000-0000-00000E0A0000}"/>
    <cellStyle name="40% - Accent2 6 4 2 5 2" xfId="2589" xr:uid="{00000000-0005-0000-0000-00000F0A0000}"/>
    <cellStyle name="40% - Accent2 6 4 2 5 3" xfId="2590" xr:uid="{00000000-0005-0000-0000-0000100A0000}"/>
    <cellStyle name="40% - Accent2 6 4 2 6" xfId="2591" xr:uid="{00000000-0005-0000-0000-0000110A0000}"/>
    <cellStyle name="40% - Accent2 6 4 2 6 2" xfId="2592" xr:uid="{00000000-0005-0000-0000-0000120A0000}"/>
    <cellStyle name="40% - Accent2 6 4 2 6 3" xfId="2593" xr:uid="{00000000-0005-0000-0000-0000130A0000}"/>
    <cellStyle name="40% - Accent2 6 4 2 7" xfId="2594" xr:uid="{00000000-0005-0000-0000-0000140A0000}"/>
    <cellStyle name="40% - Accent2 6 4 2 7 2" xfId="2595" xr:uid="{00000000-0005-0000-0000-0000150A0000}"/>
    <cellStyle name="40% - Accent2 6 4 2 7 3" xfId="2596" xr:uid="{00000000-0005-0000-0000-0000160A0000}"/>
    <cellStyle name="40% - Accent2 6 4 2 8" xfId="2597" xr:uid="{00000000-0005-0000-0000-0000170A0000}"/>
    <cellStyle name="40% - Accent2 6 4 2 9" xfId="2598" xr:uid="{00000000-0005-0000-0000-0000180A0000}"/>
    <cellStyle name="40% - Accent2 6 4 3" xfId="2599" xr:uid="{00000000-0005-0000-0000-0000190A0000}"/>
    <cellStyle name="40% - Accent2 6 4 3 2" xfId="2600" xr:uid="{00000000-0005-0000-0000-00001A0A0000}"/>
    <cellStyle name="40% - Accent2 6 4 3 3" xfId="2601" xr:uid="{00000000-0005-0000-0000-00001B0A0000}"/>
    <cellStyle name="40% - Accent2 6 4 4" xfId="2602" xr:uid="{00000000-0005-0000-0000-00001C0A0000}"/>
    <cellStyle name="40% - Accent2 6 4 4 2" xfId="2603" xr:uid="{00000000-0005-0000-0000-00001D0A0000}"/>
    <cellStyle name="40% - Accent2 6 4 4 3" xfId="2604" xr:uid="{00000000-0005-0000-0000-00001E0A0000}"/>
    <cellStyle name="40% - Accent2 6 4 5" xfId="2605" xr:uid="{00000000-0005-0000-0000-00001F0A0000}"/>
    <cellStyle name="40% - Accent2 6 4 5 2" xfId="2606" xr:uid="{00000000-0005-0000-0000-0000200A0000}"/>
    <cellStyle name="40% - Accent2 6 4 5 3" xfId="2607" xr:uid="{00000000-0005-0000-0000-0000210A0000}"/>
    <cellStyle name="40% - Accent2 6 4 6" xfId="2608" xr:uid="{00000000-0005-0000-0000-0000220A0000}"/>
    <cellStyle name="40% - Accent2 6 4 6 2" xfId="2609" xr:uid="{00000000-0005-0000-0000-0000230A0000}"/>
    <cellStyle name="40% - Accent2 6 4 6 3" xfId="2610" xr:uid="{00000000-0005-0000-0000-0000240A0000}"/>
    <cellStyle name="40% - Accent2 6 4 7" xfId="2611" xr:uid="{00000000-0005-0000-0000-0000250A0000}"/>
    <cellStyle name="40% - Accent2 6 4 7 2" xfId="2612" xr:uid="{00000000-0005-0000-0000-0000260A0000}"/>
    <cellStyle name="40% - Accent2 6 4 7 3" xfId="2613" xr:uid="{00000000-0005-0000-0000-0000270A0000}"/>
    <cellStyle name="40% - Accent2 6 4 8" xfId="2614" xr:uid="{00000000-0005-0000-0000-0000280A0000}"/>
    <cellStyle name="40% - Accent2 6 4 8 2" xfId="2615" xr:uid="{00000000-0005-0000-0000-0000290A0000}"/>
    <cellStyle name="40% - Accent2 6 4 8 3" xfId="2616" xr:uid="{00000000-0005-0000-0000-00002A0A0000}"/>
    <cellStyle name="40% - Accent2 6 4 9" xfId="2617" xr:uid="{00000000-0005-0000-0000-00002B0A0000}"/>
    <cellStyle name="40% - Accent2 6 5" xfId="2618" xr:uid="{00000000-0005-0000-0000-00002C0A0000}"/>
    <cellStyle name="40% - Accent2 6 5 2" xfId="2619" xr:uid="{00000000-0005-0000-0000-00002D0A0000}"/>
    <cellStyle name="40% - Accent2 6 5 2 2" xfId="2620" xr:uid="{00000000-0005-0000-0000-00002E0A0000}"/>
    <cellStyle name="40% - Accent2 6 5 2 3" xfId="2621" xr:uid="{00000000-0005-0000-0000-00002F0A0000}"/>
    <cellStyle name="40% - Accent2 6 5 3" xfId="2622" xr:uid="{00000000-0005-0000-0000-0000300A0000}"/>
    <cellStyle name="40% - Accent2 6 5 3 2" xfId="2623" xr:uid="{00000000-0005-0000-0000-0000310A0000}"/>
    <cellStyle name="40% - Accent2 6 5 3 3" xfId="2624" xr:uid="{00000000-0005-0000-0000-0000320A0000}"/>
    <cellStyle name="40% - Accent2 6 5 4" xfId="2625" xr:uid="{00000000-0005-0000-0000-0000330A0000}"/>
    <cellStyle name="40% - Accent2 6 5 4 2" xfId="2626" xr:uid="{00000000-0005-0000-0000-0000340A0000}"/>
    <cellStyle name="40% - Accent2 6 5 4 3" xfId="2627" xr:uid="{00000000-0005-0000-0000-0000350A0000}"/>
    <cellStyle name="40% - Accent2 6 5 5" xfId="2628" xr:uid="{00000000-0005-0000-0000-0000360A0000}"/>
    <cellStyle name="40% - Accent2 6 5 5 2" xfId="2629" xr:uid="{00000000-0005-0000-0000-0000370A0000}"/>
    <cellStyle name="40% - Accent2 6 5 5 3" xfId="2630" xr:uid="{00000000-0005-0000-0000-0000380A0000}"/>
    <cellStyle name="40% - Accent2 6 5 6" xfId="2631" xr:uid="{00000000-0005-0000-0000-0000390A0000}"/>
    <cellStyle name="40% - Accent2 6 5 6 2" xfId="2632" xr:uid="{00000000-0005-0000-0000-00003A0A0000}"/>
    <cellStyle name="40% - Accent2 6 5 6 3" xfId="2633" xr:uid="{00000000-0005-0000-0000-00003B0A0000}"/>
    <cellStyle name="40% - Accent2 6 5 7" xfId="2634" xr:uid="{00000000-0005-0000-0000-00003C0A0000}"/>
    <cellStyle name="40% - Accent2 6 5 7 2" xfId="2635" xr:uid="{00000000-0005-0000-0000-00003D0A0000}"/>
    <cellStyle name="40% - Accent2 6 5 7 3" xfId="2636" xr:uid="{00000000-0005-0000-0000-00003E0A0000}"/>
    <cellStyle name="40% - Accent2 6 5 8" xfId="2637" xr:uid="{00000000-0005-0000-0000-00003F0A0000}"/>
    <cellStyle name="40% - Accent2 6 5 9" xfId="2638" xr:uid="{00000000-0005-0000-0000-0000400A0000}"/>
    <cellStyle name="40% - Accent2 6 6" xfId="2639" xr:uid="{00000000-0005-0000-0000-0000410A0000}"/>
    <cellStyle name="40% - Accent2 6 6 2" xfId="2640" xr:uid="{00000000-0005-0000-0000-0000420A0000}"/>
    <cellStyle name="40% - Accent2 6 6 3" xfId="2641" xr:uid="{00000000-0005-0000-0000-0000430A0000}"/>
    <cellStyle name="40% - Accent2 6 7" xfId="2642" xr:uid="{00000000-0005-0000-0000-0000440A0000}"/>
    <cellStyle name="40% - Accent2 6 7 2" xfId="2643" xr:uid="{00000000-0005-0000-0000-0000450A0000}"/>
    <cellStyle name="40% - Accent2 6 7 3" xfId="2644" xr:uid="{00000000-0005-0000-0000-0000460A0000}"/>
    <cellStyle name="40% - Accent2 6 8" xfId="2645" xr:uid="{00000000-0005-0000-0000-0000470A0000}"/>
    <cellStyle name="40% - Accent2 6 8 2" xfId="2646" xr:uid="{00000000-0005-0000-0000-0000480A0000}"/>
    <cellStyle name="40% - Accent2 6 8 3" xfId="2647" xr:uid="{00000000-0005-0000-0000-0000490A0000}"/>
    <cellStyle name="40% - Accent2 6 9" xfId="2648" xr:uid="{00000000-0005-0000-0000-00004A0A0000}"/>
    <cellStyle name="40% - Accent2 6 9 2" xfId="2649" xr:uid="{00000000-0005-0000-0000-00004B0A0000}"/>
    <cellStyle name="40% - Accent2 6 9 3" xfId="2650" xr:uid="{00000000-0005-0000-0000-00004C0A0000}"/>
    <cellStyle name="40% - Accent2 7" xfId="2651" xr:uid="{00000000-0005-0000-0000-00004D0A0000}"/>
    <cellStyle name="40% - Accent2 7 10" xfId="2652" xr:uid="{00000000-0005-0000-0000-00004E0A0000}"/>
    <cellStyle name="40% - Accent2 7 10 2" xfId="2653" xr:uid="{00000000-0005-0000-0000-00004F0A0000}"/>
    <cellStyle name="40% - Accent2 7 10 3" xfId="2654" xr:uid="{00000000-0005-0000-0000-0000500A0000}"/>
    <cellStyle name="40% - Accent2 7 11" xfId="2655" xr:uid="{00000000-0005-0000-0000-0000510A0000}"/>
    <cellStyle name="40% - Accent2 7 12" xfId="2656" xr:uid="{00000000-0005-0000-0000-0000520A0000}"/>
    <cellStyle name="40% - Accent2 7 2" xfId="2657" xr:uid="{00000000-0005-0000-0000-0000530A0000}"/>
    <cellStyle name="40% - Accent2 7 2 10" xfId="2658" xr:uid="{00000000-0005-0000-0000-0000540A0000}"/>
    <cellStyle name="40% - Accent2 7 2 2" xfId="2659" xr:uid="{00000000-0005-0000-0000-0000550A0000}"/>
    <cellStyle name="40% - Accent2 7 2 2 2" xfId="2660" xr:uid="{00000000-0005-0000-0000-0000560A0000}"/>
    <cellStyle name="40% - Accent2 7 2 2 2 2" xfId="2661" xr:uid="{00000000-0005-0000-0000-0000570A0000}"/>
    <cellStyle name="40% - Accent2 7 2 2 2 3" xfId="2662" xr:uid="{00000000-0005-0000-0000-0000580A0000}"/>
    <cellStyle name="40% - Accent2 7 2 2 3" xfId="2663" xr:uid="{00000000-0005-0000-0000-0000590A0000}"/>
    <cellStyle name="40% - Accent2 7 2 2 3 2" xfId="2664" xr:uid="{00000000-0005-0000-0000-00005A0A0000}"/>
    <cellStyle name="40% - Accent2 7 2 2 3 3" xfId="2665" xr:uid="{00000000-0005-0000-0000-00005B0A0000}"/>
    <cellStyle name="40% - Accent2 7 2 2 4" xfId="2666" xr:uid="{00000000-0005-0000-0000-00005C0A0000}"/>
    <cellStyle name="40% - Accent2 7 2 2 4 2" xfId="2667" xr:uid="{00000000-0005-0000-0000-00005D0A0000}"/>
    <cellStyle name="40% - Accent2 7 2 2 4 3" xfId="2668" xr:uid="{00000000-0005-0000-0000-00005E0A0000}"/>
    <cellStyle name="40% - Accent2 7 2 2 5" xfId="2669" xr:uid="{00000000-0005-0000-0000-00005F0A0000}"/>
    <cellStyle name="40% - Accent2 7 2 2 5 2" xfId="2670" xr:uid="{00000000-0005-0000-0000-0000600A0000}"/>
    <cellStyle name="40% - Accent2 7 2 2 5 3" xfId="2671" xr:uid="{00000000-0005-0000-0000-0000610A0000}"/>
    <cellStyle name="40% - Accent2 7 2 2 6" xfId="2672" xr:uid="{00000000-0005-0000-0000-0000620A0000}"/>
    <cellStyle name="40% - Accent2 7 2 2 6 2" xfId="2673" xr:uid="{00000000-0005-0000-0000-0000630A0000}"/>
    <cellStyle name="40% - Accent2 7 2 2 6 3" xfId="2674" xr:uid="{00000000-0005-0000-0000-0000640A0000}"/>
    <cellStyle name="40% - Accent2 7 2 2 7" xfId="2675" xr:uid="{00000000-0005-0000-0000-0000650A0000}"/>
    <cellStyle name="40% - Accent2 7 2 2 7 2" xfId="2676" xr:uid="{00000000-0005-0000-0000-0000660A0000}"/>
    <cellStyle name="40% - Accent2 7 2 2 7 3" xfId="2677" xr:uid="{00000000-0005-0000-0000-0000670A0000}"/>
    <cellStyle name="40% - Accent2 7 2 2 8" xfId="2678" xr:uid="{00000000-0005-0000-0000-0000680A0000}"/>
    <cellStyle name="40% - Accent2 7 2 2 9" xfId="2679" xr:uid="{00000000-0005-0000-0000-0000690A0000}"/>
    <cellStyle name="40% - Accent2 7 2 3" xfId="2680" xr:uid="{00000000-0005-0000-0000-00006A0A0000}"/>
    <cellStyle name="40% - Accent2 7 2 3 2" xfId="2681" xr:uid="{00000000-0005-0000-0000-00006B0A0000}"/>
    <cellStyle name="40% - Accent2 7 2 3 3" xfId="2682" xr:uid="{00000000-0005-0000-0000-00006C0A0000}"/>
    <cellStyle name="40% - Accent2 7 2 4" xfId="2683" xr:uid="{00000000-0005-0000-0000-00006D0A0000}"/>
    <cellStyle name="40% - Accent2 7 2 4 2" xfId="2684" xr:uid="{00000000-0005-0000-0000-00006E0A0000}"/>
    <cellStyle name="40% - Accent2 7 2 4 3" xfId="2685" xr:uid="{00000000-0005-0000-0000-00006F0A0000}"/>
    <cellStyle name="40% - Accent2 7 2 5" xfId="2686" xr:uid="{00000000-0005-0000-0000-0000700A0000}"/>
    <cellStyle name="40% - Accent2 7 2 5 2" xfId="2687" xr:uid="{00000000-0005-0000-0000-0000710A0000}"/>
    <cellStyle name="40% - Accent2 7 2 5 3" xfId="2688" xr:uid="{00000000-0005-0000-0000-0000720A0000}"/>
    <cellStyle name="40% - Accent2 7 2 6" xfId="2689" xr:uid="{00000000-0005-0000-0000-0000730A0000}"/>
    <cellStyle name="40% - Accent2 7 2 6 2" xfId="2690" xr:uid="{00000000-0005-0000-0000-0000740A0000}"/>
    <cellStyle name="40% - Accent2 7 2 6 3" xfId="2691" xr:uid="{00000000-0005-0000-0000-0000750A0000}"/>
    <cellStyle name="40% - Accent2 7 2 7" xfId="2692" xr:uid="{00000000-0005-0000-0000-0000760A0000}"/>
    <cellStyle name="40% - Accent2 7 2 7 2" xfId="2693" xr:uid="{00000000-0005-0000-0000-0000770A0000}"/>
    <cellStyle name="40% - Accent2 7 2 7 3" xfId="2694" xr:uid="{00000000-0005-0000-0000-0000780A0000}"/>
    <cellStyle name="40% - Accent2 7 2 8" xfId="2695" xr:uid="{00000000-0005-0000-0000-0000790A0000}"/>
    <cellStyle name="40% - Accent2 7 2 8 2" xfId="2696" xr:uid="{00000000-0005-0000-0000-00007A0A0000}"/>
    <cellStyle name="40% - Accent2 7 2 8 3" xfId="2697" xr:uid="{00000000-0005-0000-0000-00007B0A0000}"/>
    <cellStyle name="40% - Accent2 7 2 9" xfId="2698" xr:uid="{00000000-0005-0000-0000-00007C0A0000}"/>
    <cellStyle name="40% - Accent2 7 3" xfId="2699" xr:uid="{00000000-0005-0000-0000-00007D0A0000}"/>
    <cellStyle name="40% - Accent2 7 3 10" xfId="2700" xr:uid="{00000000-0005-0000-0000-00007E0A0000}"/>
    <cellStyle name="40% - Accent2 7 3 2" xfId="2701" xr:uid="{00000000-0005-0000-0000-00007F0A0000}"/>
    <cellStyle name="40% - Accent2 7 3 2 2" xfId="2702" xr:uid="{00000000-0005-0000-0000-0000800A0000}"/>
    <cellStyle name="40% - Accent2 7 3 2 2 2" xfId="2703" xr:uid="{00000000-0005-0000-0000-0000810A0000}"/>
    <cellStyle name="40% - Accent2 7 3 2 2 3" xfId="2704" xr:uid="{00000000-0005-0000-0000-0000820A0000}"/>
    <cellStyle name="40% - Accent2 7 3 2 3" xfId="2705" xr:uid="{00000000-0005-0000-0000-0000830A0000}"/>
    <cellStyle name="40% - Accent2 7 3 2 3 2" xfId="2706" xr:uid="{00000000-0005-0000-0000-0000840A0000}"/>
    <cellStyle name="40% - Accent2 7 3 2 3 3" xfId="2707" xr:uid="{00000000-0005-0000-0000-0000850A0000}"/>
    <cellStyle name="40% - Accent2 7 3 2 4" xfId="2708" xr:uid="{00000000-0005-0000-0000-0000860A0000}"/>
    <cellStyle name="40% - Accent2 7 3 2 4 2" xfId="2709" xr:uid="{00000000-0005-0000-0000-0000870A0000}"/>
    <cellStyle name="40% - Accent2 7 3 2 4 3" xfId="2710" xr:uid="{00000000-0005-0000-0000-0000880A0000}"/>
    <cellStyle name="40% - Accent2 7 3 2 5" xfId="2711" xr:uid="{00000000-0005-0000-0000-0000890A0000}"/>
    <cellStyle name="40% - Accent2 7 3 2 5 2" xfId="2712" xr:uid="{00000000-0005-0000-0000-00008A0A0000}"/>
    <cellStyle name="40% - Accent2 7 3 2 5 3" xfId="2713" xr:uid="{00000000-0005-0000-0000-00008B0A0000}"/>
    <cellStyle name="40% - Accent2 7 3 2 6" xfId="2714" xr:uid="{00000000-0005-0000-0000-00008C0A0000}"/>
    <cellStyle name="40% - Accent2 7 3 2 6 2" xfId="2715" xr:uid="{00000000-0005-0000-0000-00008D0A0000}"/>
    <cellStyle name="40% - Accent2 7 3 2 6 3" xfId="2716" xr:uid="{00000000-0005-0000-0000-00008E0A0000}"/>
    <cellStyle name="40% - Accent2 7 3 2 7" xfId="2717" xr:uid="{00000000-0005-0000-0000-00008F0A0000}"/>
    <cellStyle name="40% - Accent2 7 3 2 7 2" xfId="2718" xr:uid="{00000000-0005-0000-0000-0000900A0000}"/>
    <cellStyle name="40% - Accent2 7 3 2 7 3" xfId="2719" xr:uid="{00000000-0005-0000-0000-0000910A0000}"/>
    <cellStyle name="40% - Accent2 7 3 2 8" xfId="2720" xr:uid="{00000000-0005-0000-0000-0000920A0000}"/>
    <cellStyle name="40% - Accent2 7 3 2 9" xfId="2721" xr:uid="{00000000-0005-0000-0000-0000930A0000}"/>
    <cellStyle name="40% - Accent2 7 3 3" xfId="2722" xr:uid="{00000000-0005-0000-0000-0000940A0000}"/>
    <cellStyle name="40% - Accent2 7 3 3 2" xfId="2723" xr:uid="{00000000-0005-0000-0000-0000950A0000}"/>
    <cellStyle name="40% - Accent2 7 3 3 3" xfId="2724" xr:uid="{00000000-0005-0000-0000-0000960A0000}"/>
    <cellStyle name="40% - Accent2 7 3 4" xfId="2725" xr:uid="{00000000-0005-0000-0000-0000970A0000}"/>
    <cellStyle name="40% - Accent2 7 3 4 2" xfId="2726" xr:uid="{00000000-0005-0000-0000-0000980A0000}"/>
    <cellStyle name="40% - Accent2 7 3 4 3" xfId="2727" xr:uid="{00000000-0005-0000-0000-0000990A0000}"/>
    <cellStyle name="40% - Accent2 7 3 5" xfId="2728" xr:uid="{00000000-0005-0000-0000-00009A0A0000}"/>
    <cellStyle name="40% - Accent2 7 3 5 2" xfId="2729" xr:uid="{00000000-0005-0000-0000-00009B0A0000}"/>
    <cellStyle name="40% - Accent2 7 3 5 3" xfId="2730" xr:uid="{00000000-0005-0000-0000-00009C0A0000}"/>
    <cellStyle name="40% - Accent2 7 3 6" xfId="2731" xr:uid="{00000000-0005-0000-0000-00009D0A0000}"/>
    <cellStyle name="40% - Accent2 7 3 6 2" xfId="2732" xr:uid="{00000000-0005-0000-0000-00009E0A0000}"/>
    <cellStyle name="40% - Accent2 7 3 6 3" xfId="2733" xr:uid="{00000000-0005-0000-0000-00009F0A0000}"/>
    <cellStyle name="40% - Accent2 7 3 7" xfId="2734" xr:uid="{00000000-0005-0000-0000-0000A00A0000}"/>
    <cellStyle name="40% - Accent2 7 3 7 2" xfId="2735" xr:uid="{00000000-0005-0000-0000-0000A10A0000}"/>
    <cellStyle name="40% - Accent2 7 3 7 3" xfId="2736" xr:uid="{00000000-0005-0000-0000-0000A20A0000}"/>
    <cellStyle name="40% - Accent2 7 3 8" xfId="2737" xr:uid="{00000000-0005-0000-0000-0000A30A0000}"/>
    <cellStyle name="40% - Accent2 7 3 8 2" xfId="2738" xr:uid="{00000000-0005-0000-0000-0000A40A0000}"/>
    <cellStyle name="40% - Accent2 7 3 8 3" xfId="2739" xr:uid="{00000000-0005-0000-0000-0000A50A0000}"/>
    <cellStyle name="40% - Accent2 7 3 9" xfId="2740" xr:uid="{00000000-0005-0000-0000-0000A60A0000}"/>
    <cellStyle name="40% - Accent2 7 4" xfId="2741" xr:uid="{00000000-0005-0000-0000-0000A70A0000}"/>
    <cellStyle name="40% - Accent2 7 4 2" xfId="2742" xr:uid="{00000000-0005-0000-0000-0000A80A0000}"/>
    <cellStyle name="40% - Accent2 7 4 2 2" xfId="2743" xr:uid="{00000000-0005-0000-0000-0000A90A0000}"/>
    <cellStyle name="40% - Accent2 7 4 2 3" xfId="2744" xr:uid="{00000000-0005-0000-0000-0000AA0A0000}"/>
    <cellStyle name="40% - Accent2 7 4 3" xfId="2745" xr:uid="{00000000-0005-0000-0000-0000AB0A0000}"/>
    <cellStyle name="40% - Accent2 7 4 3 2" xfId="2746" xr:uid="{00000000-0005-0000-0000-0000AC0A0000}"/>
    <cellStyle name="40% - Accent2 7 4 3 3" xfId="2747" xr:uid="{00000000-0005-0000-0000-0000AD0A0000}"/>
    <cellStyle name="40% - Accent2 7 4 4" xfId="2748" xr:uid="{00000000-0005-0000-0000-0000AE0A0000}"/>
    <cellStyle name="40% - Accent2 7 4 4 2" xfId="2749" xr:uid="{00000000-0005-0000-0000-0000AF0A0000}"/>
    <cellStyle name="40% - Accent2 7 4 4 3" xfId="2750" xr:uid="{00000000-0005-0000-0000-0000B00A0000}"/>
    <cellStyle name="40% - Accent2 7 4 5" xfId="2751" xr:uid="{00000000-0005-0000-0000-0000B10A0000}"/>
    <cellStyle name="40% - Accent2 7 4 5 2" xfId="2752" xr:uid="{00000000-0005-0000-0000-0000B20A0000}"/>
    <cellStyle name="40% - Accent2 7 4 5 3" xfId="2753" xr:uid="{00000000-0005-0000-0000-0000B30A0000}"/>
    <cellStyle name="40% - Accent2 7 4 6" xfId="2754" xr:uid="{00000000-0005-0000-0000-0000B40A0000}"/>
    <cellStyle name="40% - Accent2 7 4 6 2" xfId="2755" xr:uid="{00000000-0005-0000-0000-0000B50A0000}"/>
    <cellStyle name="40% - Accent2 7 4 6 3" xfId="2756" xr:uid="{00000000-0005-0000-0000-0000B60A0000}"/>
    <cellStyle name="40% - Accent2 7 4 7" xfId="2757" xr:uid="{00000000-0005-0000-0000-0000B70A0000}"/>
    <cellStyle name="40% - Accent2 7 4 7 2" xfId="2758" xr:uid="{00000000-0005-0000-0000-0000B80A0000}"/>
    <cellStyle name="40% - Accent2 7 4 7 3" xfId="2759" xr:uid="{00000000-0005-0000-0000-0000B90A0000}"/>
    <cellStyle name="40% - Accent2 7 4 8" xfId="2760" xr:uid="{00000000-0005-0000-0000-0000BA0A0000}"/>
    <cellStyle name="40% - Accent2 7 4 9" xfId="2761" xr:uid="{00000000-0005-0000-0000-0000BB0A0000}"/>
    <cellStyle name="40% - Accent2 7 5" xfId="2762" xr:uid="{00000000-0005-0000-0000-0000BC0A0000}"/>
    <cellStyle name="40% - Accent2 7 5 2" xfId="2763" xr:uid="{00000000-0005-0000-0000-0000BD0A0000}"/>
    <cellStyle name="40% - Accent2 7 5 3" xfId="2764" xr:uid="{00000000-0005-0000-0000-0000BE0A0000}"/>
    <cellStyle name="40% - Accent2 7 6" xfId="2765" xr:uid="{00000000-0005-0000-0000-0000BF0A0000}"/>
    <cellStyle name="40% - Accent2 7 6 2" xfId="2766" xr:uid="{00000000-0005-0000-0000-0000C00A0000}"/>
    <cellStyle name="40% - Accent2 7 6 3" xfId="2767" xr:uid="{00000000-0005-0000-0000-0000C10A0000}"/>
    <cellStyle name="40% - Accent2 7 7" xfId="2768" xr:uid="{00000000-0005-0000-0000-0000C20A0000}"/>
    <cellStyle name="40% - Accent2 7 7 2" xfId="2769" xr:uid="{00000000-0005-0000-0000-0000C30A0000}"/>
    <cellStyle name="40% - Accent2 7 7 3" xfId="2770" xr:uid="{00000000-0005-0000-0000-0000C40A0000}"/>
    <cellStyle name="40% - Accent2 7 8" xfId="2771" xr:uid="{00000000-0005-0000-0000-0000C50A0000}"/>
    <cellStyle name="40% - Accent2 7 8 2" xfId="2772" xr:uid="{00000000-0005-0000-0000-0000C60A0000}"/>
    <cellStyle name="40% - Accent2 7 8 3" xfId="2773" xr:uid="{00000000-0005-0000-0000-0000C70A0000}"/>
    <cellStyle name="40% - Accent2 7 9" xfId="2774" xr:uid="{00000000-0005-0000-0000-0000C80A0000}"/>
    <cellStyle name="40% - Accent2 7 9 2" xfId="2775" xr:uid="{00000000-0005-0000-0000-0000C90A0000}"/>
    <cellStyle name="40% - Accent2 7 9 3" xfId="2776" xr:uid="{00000000-0005-0000-0000-0000CA0A0000}"/>
    <cellStyle name="40% - Accent2 8" xfId="2777" xr:uid="{00000000-0005-0000-0000-0000CB0A0000}"/>
    <cellStyle name="40% - Accent2 8 2" xfId="2778" xr:uid="{00000000-0005-0000-0000-0000CC0A0000}"/>
    <cellStyle name="40% - Accent2 8 2 2" xfId="2779" xr:uid="{00000000-0005-0000-0000-0000CD0A0000}"/>
    <cellStyle name="40% - Accent2 8 2 3" xfId="2780" xr:uid="{00000000-0005-0000-0000-0000CE0A0000}"/>
    <cellStyle name="40% - Accent2 8 3" xfId="2781" xr:uid="{00000000-0005-0000-0000-0000CF0A0000}"/>
    <cellStyle name="40% - Accent2 8 3 2" xfId="2782" xr:uid="{00000000-0005-0000-0000-0000D00A0000}"/>
    <cellStyle name="40% - Accent2 8 3 3" xfId="2783" xr:uid="{00000000-0005-0000-0000-0000D10A0000}"/>
    <cellStyle name="40% - Accent2 8 4" xfId="2784" xr:uid="{00000000-0005-0000-0000-0000D20A0000}"/>
    <cellStyle name="40% - Accent2 8 4 2" xfId="2785" xr:uid="{00000000-0005-0000-0000-0000D30A0000}"/>
    <cellStyle name="40% - Accent2 8 4 3" xfId="2786" xr:uid="{00000000-0005-0000-0000-0000D40A0000}"/>
    <cellStyle name="40% - Accent2 8 5" xfId="2787" xr:uid="{00000000-0005-0000-0000-0000D50A0000}"/>
    <cellStyle name="40% - Accent2 8 5 2" xfId="2788" xr:uid="{00000000-0005-0000-0000-0000D60A0000}"/>
    <cellStyle name="40% - Accent2 8 5 3" xfId="2789" xr:uid="{00000000-0005-0000-0000-0000D70A0000}"/>
    <cellStyle name="40% - Accent2 8 6" xfId="2790" xr:uid="{00000000-0005-0000-0000-0000D80A0000}"/>
    <cellStyle name="40% - Accent2 8 6 2" xfId="2791" xr:uid="{00000000-0005-0000-0000-0000D90A0000}"/>
    <cellStyle name="40% - Accent2 8 6 3" xfId="2792" xr:uid="{00000000-0005-0000-0000-0000DA0A0000}"/>
    <cellStyle name="40% - Accent2 8 7" xfId="2793" xr:uid="{00000000-0005-0000-0000-0000DB0A0000}"/>
    <cellStyle name="40% - Accent2 8 7 2" xfId="2794" xr:uid="{00000000-0005-0000-0000-0000DC0A0000}"/>
    <cellStyle name="40% - Accent2 8 7 3" xfId="2795" xr:uid="{00000000-0005-0000-0000-0000DD0A0000}"/>
    <cellStyle name="40% - Accent2 8 8" xfId="2796" xr:uid="{00000000-0005-0000-0000-0000DE0A0000}"/>
    <cellStyle name="40% - Accent2 8 9" xfId="2797" xr:uid="{00000000-0005-0000-0000-0000DF0A0000}"/>
    <cellStyle name="40% - Accent2 9" xfId="2798" xr:uid="{00000000-0005-0000-0000-0000E00A0000}"/>
    <cellStyle name="40% - Accent2 9 2" xfId="2799" xr:uid="{00000000-0005-0000-0000-0000E10A0000}"/>
    <cellStyle name="40% - Accent2 9 3" xfId="2800" xr:uid="{00000000-0005-0000-0000-0000E20A0000}"/>
    <cellStyle name="40% - Accent3 2" xfId="2801" xr:uid="{00000000-0005-0000-0000-0000E30A0000}"/>
    <cellStyle name="40% - Accent3 3" xfId="2802" xr:uid="{00000000-0005-0000-0000-0000E40A0000}"/>
    <cellStyle name="40% - Accent3 4" xfId="2803" xr:uid="{00000000-0005-0000-0000-0000E50A0000}"/>
    <cellStyle name="40% - Accent4 2" xfId="2804" xr:uid="{00000000-0005-0000-0000-0000E60A0000}"/>
    <cellStyle name="40% - Accent4 3" xfId="2805" xr:uid="{00000000-0005-0000-0000-0000E70A0000}"/>
    <cellStyle name="40% - Accent4 4" xfId="2806" xr:uid="{00000000-0005-0000-0000-0000E80A0000}"/>
    <cellStyle name="40% - Accent5 2" xfId="2807" xr:uid="{00000000-0005-0000-0000-0000E90A0000}"/>
    <cellStyle name="40% - Accent5 3" xfId="2808" xr:uid="{00000000-0005-0000-0000-0000EA0A0000}"/>
    <cellStyle name="40% - Accent5 4" xfId="2809" xr:uid="{00000000-0005-0000-0000-0000EB0A0000}"/>
    <cellStyle name="40% - Accent6 2" xfId="2810" xr:uid="{00000000-0005-0000-0000-0000EC0A0000}"/>
    <cellStyle name="40% - Accent6 3" xfId="2811" xr:uid="{00000000-0005-0000-0000-0000ED0A0000}"/>
    <cellStyle name="40% - Accent6 4" xfId="2812" xr:uid="{00000000-0005-0000-0000-0000EE0A0000}"/>
    <cellStyle name="60% - Accent1 2" xfId="2813" xr:uid="{00000000-0005-0000-0000-0000EF0A0000}"/>
    <cellStyle name="60% - Accent1 3" xfId="2814" xr:uid="{00000000-0005-0000-0000-0000F00A0000}"/>
    <cellStyle name="60% - Accent1 4" xfId="2815" xr:uid="{00000000-0005-0000-0000-0000F10A0000}"/>
    <cellStyle name="60% - Accent2 2" xfId="2816" xr:uid="{00000000-0005-0000-0000-0000F20A0000}"/>
    <cellStyle name="60% - Accent2 3" xfId="2817" xr:uid="{00000000-0005-0000-0000-0000F30A0000}"/>
    <cellStyle name="60% - Accent2 4" xfId="2818" xr:uid="{00000000-0005-0000-0000-0000F40A0000}"/>
    <cellStyle name="60% - Accent3 2" xfId="2819" xr:uid="{00000000-0005-0000-0000-0000F50A0000}"/>
    <cellStyle name="60% - Accent3 3" xfId="2820" xr:uid="{00000000-0005-0000-0000-0000F60A0000}"/>
    <cellStyle name="60% - Accent3 4" xfId="2821" xr:uid="{00000000-0005-0000-0000-0000F70A0000}"/>
    <cellStyle name="60% - Accent4 2" xfId="2822" xr:uid="{00000000-0005-0000-0000-0000F80A0000}"/>
    <cellStyle name="60% - Accent4 3" xfId="2823" xr:uid="{00000000-0005-0000-0000-0000F90A0000}"/>
    <cellStyle name="60% - Accent4 4" xfId="2824" xr:uid="{00000000-0005-0000-0000-0000FA0A0000}"/>
    <cellStyle name="60% - Accent5 2" xfId="2825" xr:uid="{00000000-0005-0000-0000-0000FB0A0000}"/>
    <cellStyle name="60% - Accent5 3" xfId="2826" xr:uid="{00000000-0005-0000-0000-0000FC0A0000}"/>
    <cellStyle name="60% - Accent5 4" xfId="2827" xr:uid="{00000000-0005-0000-0000-0000FD0A0000}"/>
    <cellStyle name="60% - Accent6 2" xfId="2828" xr:uid="{00000000-0005-0000-0000-0000FE0A0000}"/>
    <cellStyle name="60% - Accent6 3" xfId="2829" xr:uid="{00000000-0005-0000-0000-0000FF0A0000}"/>
    <cellStyle name="60% - Accent6 4" xfId="2830" xr:uid="{00000000-0005-0000-0000-0000000B0000}"/>
    <cellStyle name="Accent1 2" xfId="2831" xr:uid="{00000000-0005-0000-0000-0000010B0000}"/>
    <cellStyle name="Accent1 3" xfId="2832" xr:uid="{00000000-0005-0000-0000-0000020B0000}"/>
    <cellStyle name="Accent1 4" xfId="2833" xr:uid="{00000000-0005-0000-0000-0000030B0000}"/>
    <cellStyle name="Accent2 2" xfId="2834" xr:uid="{00000000-0005-0000-0000-0000040B0000}"/>
    <cellStyle name="Accent2 3" xfId="2835" xr:uid="{00000000-0005-0000-0000-0000050B0000}"/>
    <cellStyle name="Accent2 4" xfId="2836" xr:uid="{00000000-0005-0000-0000-0000060B0000}"/>
    <cellStyle name="Accent2 5" xfId="2837" xr:uid="{00000000-0005-0000-0000-0000070B0000}"/>
    <cellStyle name="Accent3 2" xfId="2838" xr:uid="{00000000-0005-0000-0000-0000080B0000}"/>
    <cellStyle name="Accent3 3" xfId="2839" xr:uid="{00000000-0005-0000-0000-0000090B0000}"/>
    <cellStyle name="Accent3 4" xfId="2840" xr:uid="{00000000-0005-0000-0000-00000A0B0000}"/>
    <cellStyle name="Accent3 5" xfId="2841" xr:uid="{00000000-0005-0000-0000-00000B0B0000}"/>
    <cellStyle name="Accent4 2" xfId="2842" xr:uid="{00000000-0005-0000-0000-00000C0B0000}"/>
    <cellStyle name="Accent4 3" xfId="2843" xr:uid="{00000000-0005-0000-0000-00000D0B0000}"/>
    <cellStyle name="Accent4 4" xfId="2844" xr:uid="{00000000-0005-0000-0000-00000E0B0000}"/>
    <cellStyle name="Accent4 5" xfId="2845" xr:uid="{00000000-0005-0000-0000-00000F0B0000}"/>
    <cellStyle name="Accent5 2" xfId="2846" xr:uid="{00000000-0005-0000-0000-0000100B0000}"/>
    <cellStyle name="Accent5 3" xfId="2847" xr:uid="{00000000-0005-0000-0000-0000110B0000}"/>
    <cellStyle name="Accent5 4" xfId="2848" xr:uid="{00000000-0005-0000-0000-0000120B0000}"/>
    <cellStyle name="Accent6 2" xfId="2849" xr:uid="{00000000-0005-0000-0000-0000130B0000}"/>
    <cellStyle name="Accent6 3" xfId="2850" xr:uid="{00000000-0005-0000-0000-0000140B0000}"/>
    <cellStyle name="Accent6 4" xfId="2851" xr:uid="{00000000-0005-0000-0000-0000150B0000}"/>
    <cellStyle name="Bad 2 2" xfId="2852" xr:uid="{00000000-0005-0000-0000-0000160B0000}"/>
    <cellStyle name="Bad 3" xfId="2853" xr:uid="{00000000-0005-0000-0000-0000170B0000}"/>
    <cellStyle name="Bad 4" xfId="2854" xr:uid="{00000000-0005-0000-0000-0000180B0000}"/>
    <cellStyle name="Calculation 2" xfId="2855" xr:uid="{00000000-0005-0000-0000-0000190B0000}"/>
    <cellStyle name="Calculation 3" xfId="2856" xr:uid="{00000000-0005-0000-0000-00001A0B0000}"/>
    <cellStyle name="Calculation 4" xfId="2857" xr:uid="{00000000-0005-0000-0000-00001B0B0000}"/>
    <cellStyle name="Check Cell 2" xfId="2858" xr:uid="{00000000-0005-0000-0000-00001C0B0000}"/>
    <cellStyle name="Check Cell 3" xfId="2859" xr:uid="{00000000-0005-0000-0000-00001D0B0000}"/>
    <cellStyle name="Check Cell 4" xfId="2860" xr:uid="{00000000-0005-0000-0000-00001E0B0000}"/>
    <cellStyle name="Currency 10" xfId="2861" xr:uid="{00000000-0005-0000-0000-00001F0B0000}"/>
    <cellStyle name="Currency 10 10" xfId="2862" xr:uid="{00000000-0005-0000-0000-0000200B0000}"/>
    <cellStyle name="Currency 10 10 2" xfId="2863" xr:uid="{00000000-0005-0000-0000-0000210B0000}"/>
    <cellStyle name="Currency 10 2" xfId="2864" xr:uid="{00000000-0005-0000-0000-0000220B0000}"/>
    <cellStyle name="Currency 10 2 2" xfId="2865" xr:uid="{00000000-0005-0000-0000-0000230B0000}"/>
    <cellStyle name="Currency 10 2 2 2" xfId="2866" xr:uid="{00000000-0005-0000-0000-0000240B0000}"/>
    <cellStyle name="Currency 10 2 2 3" xfId="2867" xr:uid="{00000000-0005-0000-0000-0000250B0000}"/>
    <cellStyle name="Currency 10 2 3" xfId="2868" xr:uid="{00000000-0005-0000-0000-0000260B0000}"/>
    <cellStyle name="Currency 10 2 3 2" xfId="2869" xr:uid="{00000000-0005-0000-0000-0000270B0000}"/>
    <cellStyle name="Currency 10 2 3 3" xfId="2870" xr:uid="{00000000-0005-0000-0000-0000280B0000}"/>
    <cellStyle name="Currency 10 2 4" xfId="2871" xr:uid="{00000000-0005-0000-0000-0000290B0000}"/>
    <cellStyle name="Currency 10 2 4 2" xfId="2872" xr:uid="{00000000-0005-0000-0000-00002A0B0000}"/>
    <cellStyle name="Currency 10 2 4 3" xfId="2873" xr:uid="{00000000-0005-0000-0000-00002B0B0000}"/>
    <cellStyle name="Currency 10 2 5" xfId="2874" xr:uid="{00000000-0005-0000-0000-00002C0B0000}"/>
    <cellStyle name="Currency 10 2 5 2" xfId="2875" xr:uid="{00000000-0005-0000-0000-00002D0B0000}"/>
    <cellStyle name="Currency 10 2 5 3" xfId="2876" xr:uid="{00000000-0005-0000-0000-00002E0B0000}"/>
    <cellStyle name="Currency 10 2 6" xfId="2877" xr:uid="{00000000-0005-0000-0000-00002F0B0000}"/>
    <cellStyle name="Currency 10 2 6 2" xfId="2878" xr:uid="{00000000-0005-0000-0000-0000300B0000}"/>
    <cellStyle name="Currency 10 2 6 3" xfId="2879" xr:uid="{00000000-0005-0000-0000-0000310B0000}"/>
    <cellStyle name="Currency 10 2 7" xfId="5" xr:uid="{00000000-0005-0000-0000-0000320B0000}"/>
    <cellStyle name="Currency 10 2 7 2" xfId="2880" xr:uid="{00000000-0005-0000-0000-0000330B0000}"/>
    <cellStyle name="Currency 10 2 7 3" xfId="2881" xr:uid="{00000000-0005-0000-0000-0000340B0000}"/>
    <cellStyle name="Currency 10 2 8" xfId="2882" xr:uid="{00000000-0005-0000-0000-0000350B0000}"/>
    <cellStyle name="Currency 10 2 9" xfId="2883" xr:uid="{00000000-0005-0000-0000-0000360B0000}"/>
    <cellStyle name="Currency 10 3" xfId="2884" xr:uid="{00000000-0005-0000-0000-0000370B0000}"/>
    <cellStyle name="Currency 10 3 2" xfId="2885" xr:uid="{00000000-0005-0000-0000-0000380B0000}"/>
    <cellStyle name="Currency 10 3 3" xfId="2886" xr:uid="{00000000-0005-0000-0000-0000390B0000}"/>
    <cellStyle name="Currency 10 4" xfId="2887" xr:uid="{00000000-0005-0000-0000-00003A0B0000}"/>
    <cellStyle name="Currency 10 4 2" xfId="2888" xr:uid="{00000000-0005-0000-0000-00003B0B0000}"/>
    <cellStyle name="Currency 10 4 3" xfId="2889" xr:uid="{00000000-0005-0000-0000-00003C0B0000}"/>
    <cellStyle name="Currency 10 5" xfId="2890" xr:uid="{00000000-0005-0000-0000-00003D0B0000}"/>
    <cellStyle name="Currency 10 5 2" xfId="2891" xr:uid="{00000000-0005-0000-0000-00003E0B0000}"/>
    <cellStyle name="Currency 10 5 3" xfId="2892" xr:uid="{00000000-0005-0000-0000-00003F0B0000}"/>
    <cellStyle name="Currency 10 6" xfId="2893" xr:uid="{00000000-0005-0000-0000-0000400B0000}"/>
    <cellStyle name="Currency 10 6 2" xfId="2894" xr:uid="{00000000-0005-0000-0000-0000410B0000}"/>
    <cellStyle name="Currency 10 6 3" xfId="2895" xr:uid="{00000000-0005-0000-0000-0000420B0000}"/>
    <cellStyle name="Currency 10 7" xfId="2896" xr:uid="{00000000-0005-0000-0000-0000430B0000}"/>
    <cellStyle name="Currency 10 7 2" xfId="2897" xr:uid="{00000000-0005-0000-0000-0000440B0000}"/>
    <cellStyle name="Currency 10 7 3" xfId="2898" xr:uid="{00000000-0005-0000-0000-0000450B0000}"/>
    <cellStyle name="Currency 10 8" xfId="2899" xr:uid="{00000000-0005-0000-0000-0000460B0000}"/>
    <cellStyle name="Currency 10 8 2" xfId="2900" xr:uid="{00000000-0005-0000-0000-0000470B0000}"/>
    <cellStyle name="Currency 10 8 3" xfId="2901" xr:uid="{00000000-0005-0000-0000-0000480B0000}"/>
    <cellStyle name="Currency 10 9" xfId="2902" xr:uid="{00000000-0005-0000-0000-0000490B0000}"/>
    <cellStyle name="Currency 11" xfId="2903" xr:uid="{00000000-0005-0000-0000-00004A0B0000}"/>
    <cellStyle name="Currency 11 2" xfId="2904" xr:uid="{00000000-0005-0000-0000-00004B0B0000}"/>
    <cellStyle name="Currency 11 2 2" xfId="2905" xr:uid="{00000000-0005-0000-0000-00004C0B0000}"/>
    <cellStyle name="Currency 11 2 3" xfId="2906" xr:uid="{00000000-0005-0000-0000-00004D0B0000}"/>
    <cellStyle name="Currency 11 3" xfId="2907" xr:uid="{00000000-0005-0000-0000-00004E0B0000}"/>
    <cellStyle name="Currency 11 3 2" xfId="2908" xr:uid="{00000000-0005-0000-0000-00004F0B0000}"/>
    <cellStyle name="Currency 11 3 3" xfId="2909" xr:uid="{00000000-0005-0000-0000-0000500B0000}"/>
    <cellStyle name="Currency 11 4" xfId="2910" xr:uid="{00000000-0005-0000-0000-0000510B0000}"/>
    <cellStyle name="Currency 11 4 2" xfId="2911" xr:uid="{00000000-0005-0000-0000-0000520B0000}"/>
    <cellStyle name="Currency 11 4 3" xfId="2912" xr:uid="{00000000-0005-0000-0000-0000530B0000}"/>
    <cellStyle name="Currency 11 5" xfId="2913" xr:uid="{00000000-0005-0000-0000-0000540B0000}"/>
    <cellStyle name="Currency 11 5 2" xfId="2914" xr:uid="{00000000-0005-0000-0000-0000550B0000}"/>
    <cellStyle name="Currency 11 5 3" xfId="2915" xr:uid="{00000000-0005-0000-0000-0000560B0000}"/>
    <cellStyle name="Currency 11 6" xfId="2916" xr:uid="{00000000-0005-0000-0000-0000570B0000}"/>
    <cellStyle name="Currency 11 6 2" xfId="2917" xr:uid="{00000000-0005-0000-0000-0000580B0000}"/>
    <cellStyle name="Currency 11 6 3" xfId="2918" xr:uid="{00000000-0005-0000-0000-0000590B0000}"/>
    <cellStyle name="Currency 11 7" xfId="2919" xr:uid="{00000000-0005-0000-0000-00005A0B0000}"/>
    <cellStyle name="Currency 11 7 2" xfId="2920" xr:uid="{00000000-0005-0000-0000-00005B0B0000}"/>
    <cellStyle name="Currency 11 7 3" xfId="2921" xr:uid="{00000000-0005-0000-0000-00005C0B0000}"/>
    <cellStyle name="Currency 11 8" xfId="2922" xr:uid="{00000000-0005-0000-0000-00005D0B0000}"/>
    <cellStyle name="Currency 11 9" xfId="2923" xr:uid="{00000000-0005-0000-0000-00005E0B0000}"/>
    <cellStyle name="Currency 12" xfId="2" xr:uid="{00000000-0005-0000-0000-00005F0B0000}"/>
    <cellStyle name="Currency 2" xfId="2924" xr:uid="{00000000-0005-0000-0000-0000600B0000}"/>
    <cellStyle name="Currency 2 2" xfId="2925" xr:uid="{00000000-0005-0000-0000-0000610B0000}"/>
    <cellStyle name="Currency 3" xfId="2926" xr:uid="{00000000-0005-0000-0000-0000620B0000}"/>
    <cellStyle name="Currency 3 10" xfId="2927" xr:uid="{00000000-0005-0000-0000-0000630B0000}"/>
    <cellStyle name="Currency 3 10 2" xfId="2928" xr:uid="{00000000-0005-0000-0000-0000640B0000}"/>
    <cellStyle name="Currency 3 10 3" xfId="2929" xr:uid="{00000000-0005-0000-0000-0000650B0000}"/>
    <cellStyle name="Currency 3 11" xfId="2930" xr:uid="{00000000-0005-0000-0000-0000660B0000}"/>
    <cellStyle name="Currency 3 11 2" xfId="2931" xr:uid="{00000000-0005-0000-0000-0000670B0000}"/>
    <cellStyle name="Currency 3 11 3" xfId="2932" xr:uid="{00000000-0005-0000-0000-0000680B0000}"/>
    <cellStyle name="Currency 3 12" xfId="2933" xr:uid="{00000000-0005-0000-0000-0000690B0000}"/>
    <cellStyle name="Currency 3 13" xfId="2934" xr:uid="{00000000-0005-0000-0000-00006A0B0000}"/>
    <cellStyle name="Currency 3 2" xfId="2935" xr:uid="{00000000-0005-0000-0000-00006B0B0000}"/>
    <cellStyle name="Currency 3 2 10" xfId="2936" xr:uid="{00000000-0005-0000-0000-00006C0B0000}"/>
    <cellStyle name="Currency 3 2 10 2" xfId="2937" xr:uid="{00000000-0005-0000-0000-00006D0B0000}"/>
    <cellStyle name="Currency 3 2 10 3" xfId="2938" xr:uid="{00000000-0005-0000-0000-00006E0B0000}"/>
    <cellStyle name="Currency 3 2 11" xfId="2939" xr:uid="{00000000-0005-0000-0000-00006F0B0000}"/>
    <cellStyle name="Currency 3 2 12" xfId="2940" xr:uid="{00000000-0005-0000-0000-0000700B0000}"/>
    <cellStyle name="Currency 3 2 2" xfId="2941" xr:uid="{00000000-0005-0000-0000-0000710B0000}"/>
    <cellStyle name="Currency 3 2 2 10" xfId="2942" xr:uid="{00000000-0005-0000-0000-0000720B0000}"/>
    <cellStyle name="Currency 3 2 2 2" xfId="2943" xr:uid="{00000000-0005-0000-0000-0000730B0000}"/>
    <cellStyle name="Currency 3 2 2 2 2" xfId="2944" xr:uid="{00000000-0005-0000-0000-0000740B0000}"/>
    <cellStyle name="Currency 3 2 2 2 2 2" xfId="2945" xr:uid="{00000000-0005-0000-0000-0000750B0000}"/>
    <cellStyle name="Currency 3 2 2 2 2 3" xfId="2946" xr:uid="{00000000-0005-0000-0000-0000760B0000}"/>
    <cellStyle name="Currency 3 2 2 2 3" xfId="2947" xr:uid="{00000000-0005-0000-0000-0000770B0000}"/>
    <cellStyle name="Currency 3 2 2 2 3 2" xfId="2948" xr:uid="{00000000-0005-0000-0000-0000780B0000}"/>
    <cellStyle name="Currency 3 2 2 2 3 3" xfId="2949" xr:uid="{00000000-0005-0000-0000-0000790B0000}"/>
    <cellStyle name="Currency 3 2 2 2 4" xfId="2950" xr:uid="{00000000-0005-0000-0000-00007A0B0000}"/>
    <cellStyle name="Currency 3 2 2 2 4 2" xfId="2951" xr:uid="{00000000-0005-0000-0000-00007B0B0000}"/>
    <cellStyle name="Currency 3 2 2 2 4 3" xfId="2952" xr:uid="{00000000-0005-0000-0000-00007C0B0000}"/>
    <cellStyle name="Currency 3 2 2 2 5" xfId="2953" xr:uid="{00000000-0005-0000-0000-00007D0B0000}"/>
    <cellStyle name="Currency 3 2 2 2 5 2" xfId="2954" xr:uid="{00000000-0005-0000-0000-00007E0B0000}"/>
    <cellStyle name="Currency 3 2 2 2 5 3" xfId="2955" xr:uid="{00000000-0005-0000-0000-00007F0B0000}"/>
    <cellStyle name="Currency 3 2 2 2 6" xfId="2956" xr:uid="{00000000-0005-0000-0000-0000800B0000}"/>
    <cellStyle name="Currency 3 2 2 2 6 2" xfId="2957" xr:uid="{00000000-0005-0000-0000-0000810B0000}"/>
    <cellStyle name="Currency 3 2 2 2 6 3" xfId="2958" xr:uid="{00000000-0005-0000-0000-0000820B0000}"/>
    <cellStyle name="Currency 3 2 2 2 7" xfId="2959" xr:uid="{00000000-0005-0000-0000-0000830B0000}"/>
    <cellStyle name="Currency 3 2 2 2 7 2" xfId="2960" xr:uid="{00000000-0005-0000-0000-0000840B0000}"/>
    <cellStyle name="Currency 3 2 2 2 7 3" xfId="2961" xr:uid="{00000000-0005-0000-0000-0000850B0000}"/>
    <cellStyle name="Currency 3 2 2 2 8" xfId="2962" xr:uid="{00000000-0005-0000-0000-0000860B0000}"/>
    <cellStyle name="Currency 3 2 2 2 9" xfId="2963" xr:uid="{00000000-0005-0000-0000-0000870B0000}"/>
    <cellStyle name="Currency 3 2 2 3" xfId="2964" xr:uid="{00000000-0005-0000-0000-0000880B0000}"/>
    <cellStyle name="Currency 3 2 2 3 2" xfId="2965" xr:uid="{00000000-0005-0000-0000-0000890B0000}"/>
    <cellStyle name="Currency 3 2 2 3 3" xfId="2966" xr:uid="{00000000-0005-0000-0000-00008A0B0000}"/>
    <cellStyle name="Currency 3 2 2 4" xfId="2967" xr:uid="{00000000-0005-0000-0000-00008B0B0000}"/>
    <cellStyle name="Currency 3 2 2 4 2" xfId="2968" xr:uid="{00000000-0005-0000-0000-00008C0B0000}"/>
    <cellStyle name="Currency 3 2 2 4 3" xfId="2969" xr:uid="{00000000-0005-0000-0000-00008D0B0000}"/>
    <cellStyle name="Currency 3 2 2 5" xfId="2970" xr:uid="{00000000-0005-0000-0000-00008E0B0000}"/>
    <cellStyle name="Currency 3 2 2 5 2" xfId="2971" xr:uid="{00000000-0005-0000-0000-00008F0B0000}"/>
    <cellStyle name="Currency 3 2 2 5 3" xfId="2972" xr:uid="{00000000-0005-0000-0000-0000900B0000}"/>
    <cellStyle name="Currency 3 2 2 6" xfId="2973" xr:uid="{00000000-0005-0000-0000-0000910B0000}"/>
    <cellStyle name="Currency 3 2 2 6 2" xfId="2974" xr:uid="{00000000-0005-0000-0000-0000920B0000}"/>
    <cellStyle name="Currency 3 2 2 6 3" xfId="2975" xr:uid="{00000000-0005-0000-0000-0000930B0000}"/>
    <cellStyle name="Currency 3 2 2 7" xfId="2976" xr:uid="{00000000-0005-0000-0000-0000940B0000}"/>
    <cellStyle name="Currency 3 2 2 7 2" xfId="2977" xr:uid="{00000000-0005-0000-0000-0000950B0000}"/>
    <cellStyle name="Currency 3 2 2 7 3" xfId="2978" xr:uid="{00000000-0005-0000-0000-0000960B0000}"/>
    <cellStyle name="Currency 3 2 2 8" xfId="2979" xr:uid="{00000000-0005-0000-0000-0000970B0000}"/>
    <cellStyle name="Currency 3 2 2 8 2" xfId="2980" xr:uid="{00000000-0005-0000-0000-0000980B0000}"/>
    <cellStyle name="Currency 3 2 2 8 3" xfId="2981" xr:uid="{00000000-0005-0000-0000-0000990B0000}"/>
    <cellStyle name="Currency 3 2 2 9" xfId="2982" xr:uid="{00000000-0005-0000-0000-00009A0B0000}"/>
    <cellStyle name="Currency 3 2 3" xfId="2983" xr:uid="{00000000-0005-0000-0000-00009B0B0000}"/>
    <cellStyle name="Currency 3 2 3 10" xfId="2984" xr:uid="{00000000-0005-0000-0000-00009C0B0000}"/>
    <cellStyle name="Currency 3 2 3 2" xfId="2985" xr:uid="{00000000-0005-0000-0000-00009D0B0000}"/>
    <cellStyle name="Currency 3 2 3 2 2" xfId="2986" xr:uid="{00000000-0005-0000-0000-00009E0B0000}"/>
    <cellStyle name="Currency 3 2 3 2 2 2" xfId="2987" xr:uid="{00000000-0005-0000-0000-00009F0B0000}"/>
    <cellStyle name="Currency 3 2 3 2 2 3" xfId="2988" xr:uid="{00000000-0005-0000-0000-0000A00B0000}"/>
    <cellStyle name="Currency 3 2 3 2 3" xfId="2989" xr:uid="{00000000-0005-0000-0000-0000A10B0000}"/>
    <cellStyle name="Currency 3 2 3 2 3 2" xfId="2990" xr:uid="{00000000-0005-0000-0000-0000A20B0000}"/>
    <cellStyle name="Currency 3 2 3 2 3 3" xfId="2991" xr:uid="{00000000-0005-0000-0000-0000A30B0000}"/>
    <cellStyle name="Currency 3 2 3 2 4" xfId="2992" xr:uid="{00000000-0005-0000-0000-0000A40B0000}"/>
    <cellStyle name="Currency 3 2 3 2 4 2" xfId="2993" xr:uid="{00000000-0005-0000-0000-0000A50B0000}"/>
    <cellStyle name="Currency 3 2 3 2 4 3" xfId="2994" xr:uid="{00000000-0005-0000-0000-0000A60B0000}"/>
    <cellStyle name="Currency 3 2 3 2 5" xfId="2995" xr:uid="{00000000-0005-0000-0000-0000A70B0000}"/>
    <cellStyle name="Currency 3 2 3 2 5 2" xfId="2996" xr:uid="{00000000-0005-0000-0000-0000A80B0000}"/>
    <cellStyle name="Currency 3 2 3 2 5 3" xfId="2997" xr:uid="{00000000-0005-0000-0000-0000A90B0000}"/>
    <cellStyle name="Currency 3 2 3 2 6" xfId="2998" xr:uid="{00000000-0005-0000-0000-0000AA0B0000}"/>
    <cellStyle name="Currency 3 2 3 2 6 2" xfId="2999" xr:uid="{00000000-0005-0000-0000-0000AB0B0000}"/>
    <cellStyle name="Currency 3 2 3 2 6 3" xfId="3000" xr:uid="{00000000-0005-0000-0000-0000AC0B0000}"/>
    <cellStyle name="Currency 3 2 3 2 7" xfId="3001" xr:uid="{00000000-0005-0000-0000-0000AD0B0000}"/>
    <cellStyle name="Currency 3 2 3 2 7 2" xfId="3002" xr:uid="{00000000-0005-0000-0000-0000AE0B0000}"/>
    <cellStyle name="Currency 3 2 3 2 7 3" xfId="3003" xr:uid="{00000000-0005-0000-0000-0000AF0B0000}"/>
    <cellStyle name="Currency 3 2 3 2 8" xfId="3004" xr:uid="{00000000-0005-0000-0000-0000B00B0000}"/>
    <cellStyle name="Currency 3 2 3 2 9" xfId="3005" xr:uid="{00000000-0005-0000-0000-0000B10B0000}"/>
    <cellStyle name="Currency 3 2 3 3" xfId="3006" xr:uid="{00000000-0005-0000-0000-0000B20B0000}"/>
    <cellStyle name="Currency 3 2 3 3 2" xfId="3007" xr:uid="{00000000-0005-0000-0000-0000B30B0000}"/>
    <cellStyle name="Currency 3 2 3 3 3" xfId="3008" xr:uid="{00000000-0005-0000-0000-0000B40B0000}"/>
    <cellStyle name="Currency 3 2 3 4" xfId="3009" xr:uid="{00000000-0005-0000-0000-0000B50B0000}"/>
    <cellStyle name="Currency 3 2 3 4 2" xfId="3010" xr:uid="{00000000-0005-0000-0000-0000B60B0000}"/>
    <cellStyle name="Currency 3 2 3 4 3" xfId="3011" xr:uid="{00000000-0005-0000-0000-0000B70B0000}"/>
    <cellStyle name="Currency 3 2 3 5" xfId="3012" xr:uid="{00000000-0005-0000-0000-0000B80B0000}"/>
    <cellStyle name="Currency 3 2 3 5 2" xfId="3013" xr:uid="{00000000-0005-0000-0000-0000B90B0000}"/>
    <cellStyle name="Currency 3 2 3 5 3" xfId="3014" xr:uid="{00000000-0005-0000-0000-0000BA0B0000}"/>
    <cellStyle name="Currency 3 2 3 6" xfId="3015" xr:uid="{00000000-0005-0000-0000-0000BB0B0000}"/>
    <cellStyle name="Currency 3 2 3 6 2" xfId="3016" xr:uid="{00000000-0005-0000-0000-0000BC0B0000}"/>
    <cellStyle name="Currency 3 2 3 6 3" xfId="3017" xr:uid="{00000000-0005-0000-0000-0000BD0B0000}"/>
    <cellStyle name="Currency 3 2 3 7" xfId="3018" xr:uid="{00000000-0005-0000-0000-0000BE0B0000}"/>
    <cellStyle name="Currency 3 2 3 7 2" xfId="3019" xr:uid="{00000000-0005-0000-0000-0000BF0B0000}"/>
    <cellStyle name="Currency 3 2 3 7 3" xfId="3020" xr:uid="{00000000-0005-0000-0000-0000C00B0000}"/>
    <cellStyle name="Currency 3 2 3 8" xfId="3021" xr:uid="{00000000-0005-0000-0000-0000C10B0000}"/>
    <cellStyle name="Currency 3 2 3 8 2" xfId="3022" xr:uid="{00000000-0005-0000-0000-0000C20B0000}"/>
    <cellStyle name="Currency 3 2 3 8 3" xfId="3023" xr:uid="{00000000-0005-0000-0000-0000C30B0000}"/>
    <cellStyle name="Currency 3 2 3 9" xfId="3024" xr:uid="{00000000-0005-0000-0000-0000C40B0000}"/>
    <cellStyle name="Currency 3 2 4" xfId="3025" xr:uid="{00000000-0005-0000-0000-0000C50B0000}"/>
    <cellStyle name="Currency 3 2 4 2" xfId="3026" xr:uid="{00000000-0005-0000-0000-0000C60B0000}"/>
    <cellStyle name="Currency 3 2 4 2 2" xfId="3027" xr:uid="{00000000-0005-0000-0000-0000C70B0000}"/>
    <cellStyle name="Currency 3 2 4 2 3" xfId="3028" xr:uid="{00000000-0005-0000-0000-0000C80B0000}"/>
    <cellStyle name="Currency 3 2 4 3" xfId="3029" xr:uid="{00000000-0005-0000-0000-0000C90B0000}"/>
    <cellStyle name="Currency 3 2 4 3 2" xfId="3030" xr:uid="{00000000-0005-0000-0000-0000CA0B0000}"/>
    <cellStyle name="Currency 3 2 4 3 3" xfId="3031" xr:uid="{00000000-0005-0000-0000-0000CB0B0000}"/>
    <cellStyle name="Currency 3 2 4 4" xfId="3032" xr:uid="{00000000-0005-0000-0000-0000CC0B0000}"/>
    <cellStyle name="Currency 3 2 4 4 2" xfId="3033" xr:uid="{00000000-0005-0000-0000-0000CD0B0000}"/>
    <cellStyle name="Currency 3 2 4 4 3" xfId="3034" xr:uid="{00000000-0005-0000-0000-0000CE0B0000}"/>
    <cellStyle name="Currency 3 2 4 5" xfId="3035" xr:uid="{00000000-0005-0000-0000-0000CF0B0000}"/>
    <cellStyle name="Currency 3 2 4 5 2" xfId="3036" xr:uid="{00000000-0005-0000-0000-0000D00B0000}"/>
    <cellStyle name="Currency 3 2 4 5 3" xfId="3037" xr:uid="{00000000-0005-0000-0000-0000D10B0000}"/>
    <cellStyle name="Currency 3 2 4 6" xfId="3038" xr:uid="{00000000-0005-0000-0000-0000D20B0000}"/>
    <cellStyle name="Currency 3 2 4 6 2" xfId="3039" xr:uid="{00000000-0005-0000-0000-0000D30B0000}"/>
    <cellStyle name="Currency 3 2 4 6 3" xfId="3040" xr:uid="{00000000-0005-0000-0000-0000D40B0000}"/>
    <cellStyle name="Currency 3 2 4 7" xfId="3041" xr:uid="{00000000-0005-0000-0000-0000D50B0000}"/>
    <cellStyle name="Currency 3 2 4 7 2" xfId="3042" xr:uid="{00000000-0005-0000-0000-0000D60B0000}"/>
    <cellStyle name="Currency 3 2 4 7 3" xfId="3043" xr:uid="{00000000-0005-0000-0000-0000D70B0000}"/>
    <cellStyle name="Currency 3 2 4 8" xfId="3044" xr:uid="{00000000-0005-0000-0000-0000D80B0000}"/>
    <cellStyle name="Currency 3 2 4 9" xfId="3045" xr:uid="{00000000-0005-0000-0000-0000D90B0000}"/>
    <cellStyle name="Currency 3 2 5" xfId="3046" xr:uid="{00000000-0005-0000-0000-0000DA0B0000}"/>
    <cellStyle name="Currency 3 2 5 2" xfId="3047" xr:uid="{00000000-0005-0000-0000-0000DB0B0000}"/>
    <cellStyle name="Currency 3 2 5 3" xfId="3048" xr:uid="{00000000-0005-0000-0000-0000DC0B0000}"/>
    <cellStyle name="Currency 3 2 6" xfId="3049" xr:uid="{00000000-0005-0000-0000-0000DD0B0000}"/>
    <cellStyle name="Currency 3 2 6 2" xfId="3050" xr:uid="{00000000-0005-0000-0000-0000DE0B0000}"/>
    <cellStyle name="Currency 3 2 6 3" xfId="3051" xr:uid="{00000000-0005-0000-0000-0000DF0B0000}"/>
    <cellStyle name="Currency 3 2 7" xfId="3052" xr:uid="{00000000-0005-0000-0000-0000E00B0000}"/>
    <cellStyle name="Currency 3 2 7 2" xfId="3053" xr:uid="{00000000-0005-0000-0000-0000E10B0000}"/>
    <cellStyle name="Currency 3 2 7 3" xfId="3054" xr:uid="{00000000-0005-0000-0000-0000E20B0000}"/>
    <cellStyle name="Currency 3 2 8" xfId="3055" xr:uid="{00000000-0005-0000-0000-0000E30B0000}"/>
    <cellStyle name="Currency 3 2 8 2" xfId="3056" xr:uid="{00000000-0005-0000-0000-0000E40B0000}"/>
    <cellStyle name="Currency 3 2 8 3" xfId="3057" xr:uid="{00000000-0005-0000-0000-0000E50B0000}"/>
    <cellStyle name="Currency 3 2 9" xfId="3058" xr:uid="{00000000-0005-0000-0000-0000E60B0000}"/>
    <cellStyle name="Currency 3 2 9 2" xfId="3059" xr:uid="{00000000-0005-0000-0000-0000E70B0000}"/>
    <cellStyle name="Currency 3 2 9 3" xfId="3060" xr:uid="{00000000-0005-0000-0000-0000E80B0000}"/>
    <cellStyle name="Currency 3 3" xfId="3061" xr:uid="{00000000-0005-0000-0000-0000E90B0000}"/>
    <cellStyle name="Currency 3 3 10" xfId="3062" xr:uid="{00000000-0005-0000-0000-0000EA0B0000}"/>
    <cellStyle name="Currency 3 3 2" xfId="3063" xr:uid="{00000000-0005-0000-0000-0000EB0B0000}"/>
    <cellStyle name="Currency 3 3 2 2" xfId="3064" xr:uid="{00000000-0005-0000-0000-0000EC0B0000}"/>
    <cellStyle name="Currency 3 3 2 2 2" xfId="3065" xr:uid="{00000000-0005-0000-0000-0000ED0B0000}"/>
    <cellStyle name="Currency 3 3 2 2 3" xfId="3066" xr:uid="{00000000-0005-0000-0000-0000EE0B0000}"/>
    <cellStyle name="Currency 3 3 2 3" xfId="3067" xr:uid="{00000000-0005-0000-0000-0000EF0B0000}"/>
    <cellStyle name="Currency 3 3 2 3 2" xfId="3068" xr:uid="{00000000-0005-0000-0000-0000F00B0000}"/>
    <cellStyle name="Currency 3 3 2 3 3" xfId="3069" xr:uid="{00000000-0005-0000-0000-0000F10B0000}"/>
    <cellStyle name="Currency 3 3 2 4" xfId="3070" xr:uid="{00000000-0005-0000-0000-0000F20B0000}"/>
    <cellStyle name="Currency 3 3 2 4 2" xfId="3071" xr:uid="{00000000-0005-0000-0000-0000F30B0000}"/>
    <cellStyle name="Currency 3 3 2 4 3" xfId="3072" xr:uid="{00000000-0005-0000-0000-0000F40B0000}"/>
    <cellStyle name="Currency 3 3 2 5" xfId="3073" xr:uid="{00000000-0005-0000-0000-0000F50B0000}"/>
    <cellStyle name="Currency 3 3 2 5 2" xfId="3074" xr:uid="{00000000-0005-0000-0000-0000F60B0000}"/>
    <cellStyle name="Currency 3 3 2 5 3" xfId="3075" xr:uid="{00000000-0005-0000-0000-0000F70B0000}"/>
    <cellStyle name="Currency 3 3 2 6" xfId="3076" xr:uid="{00000000-0005-0000-0000-0000F80B0000}"/>
    <cellStyle name="Currency 3 3 2 6 2" xfId="3077" xr:uid="{00000000-0005-0000-0000-0000F90B0000}"/>
    <cellStyle name="Currency 3 3 2 6 3" xfId="3078" xr:uid="{00000000-0005-0000-0000-0000FA0B0000}"/>
    <cellStyle name="Currency 3 3 2 7" xfId="3079" xr:uid="{00000000-0005-0000-0000-0000FB0B0000}"/>
    <cellStyle name="Currency 3 3 2 7 2" xfId="3080" xr:uid="{00000000-0005-0000-0000-0000FC0B0000}"/>
    <cellStyle name="Currency 3 3 2 7 3" xfId="3081" xr:uid="{00000000-0005-0000-0000-0000FD0B0000}"/>
    <cellStyle name="Currency 3 3 2 8" xfId="3082" xr:uid="{00000000-0005-0000-0000-0000FE0B0000}"/>
    <cellStyle name="Currency 3 3 2 9" xfId="3083" xr:uid="{00000000-0005-0000-0000-0000FF0B0000}"/>
    <cellStyle name="Currency 3 3 3" xfId="3084" xr:uid="{00000000-0005-0000-0000-0000000C0000}"/>
    <cellStyle name="Currency 3 3 3 2" xfId="3085" xr:uid="{00000000-0005-0000-0000-0000010C0000}"/>
    <cellStyle name="Currency 3 3 3 3" xfId="3086" xr:uid="{00000000-0005-0000-0000-0000020C0000}"/>
    <cellStyle name="Currency 3 3 4" xfId="3087" xr:uid="{00000000-0005-0000-0000-0000030C0000}"/>
    <cellStyle name="Currency 3 3 4 2" xfId="3088" xr:uid="{00000000-0005-0000-0000-0000040C0000}"/>
    <cellStyle name="Currency 3 3 4 3" xfId="3089" xr:uid="{00000000-0005-0000-0000-0000050C0000}"/>
    <cellStyle name="Currency 3 3 5" xfId="3090" xr:uid="{00000000-0005-0000-0000-0000060C0000}"/>
    <cellStyle name="Currency 3 3 5 2" xfId="3091" xr:uid="{00000000-0005-0000-0000-0000070C0000}"/>
    <cellStyle name="Currency 3 3 5 3" xfId="3092" xr:uid="{00000000-0005-0000-0000-0000080C0000}"/>
    <cellStyle name="Currency 3 3 6" xfId="3093" xr:uid="{00000000-0005-0000-0000-0000090C0000}"/>
    <cellStyle name="Currency 3 3 6 2" xfId="3094" xr:uid="{00000000-0005-0000-0000-00000A0C0000}"/>
    <cellStyle name="Currency 3 3 6 3" xfId="3095" xr:uid="{00000000-0005-0000-0000-00000B0C0000}"/>
    <cellStyle name="Currency 3 3 7" xfId="3096" xr:uid="{00000000-0005-0000-0000-00000C0C0000}"/>
    <cellStyle name="Currency 3 3 7 2" xfId="3097" xr:uid="{00000000-0005-0000-0000-00000D0C0000}"/>
    <cellStyle name="Currency 3 3 7 3" xfId="3098" xr:uid="{00000000-0005-0000-0000-00000E0C0000}"/>
    <cellStyle name="Currency 3 3 8" xfId="3099" xr:uid="{00000000-0005-0000-0000-00000F0C0000}"/>
    <cellStyle name="Currency 3 3 8 2" xfId="3100" xr:uid="{00000000-0005-0000-0000-0000100C0000}"/>
    <cellStyle name="Currency 3 3 8 3" xfId="3101" xr:uid="{00000000-0005-0000-0000-0000110C0000}"/>
    <cellStyle name="Currency 3 3 9" xfId="3102" xr:uid="{00000000-0005-0000-0000-0000120C0000}"/>
    <cellStyle name="Currency 3 4" xfId="3103" xr:uid="{00000000-0005-0000-0000-0000130C0000}"/>
    <cellStyle name="Currency 3 4 10" xfId="3104" xr:uid="{00000000-0005-0000-0000-0000140C0000}"/>
    <cellStyle name="Currency 3 4 2" xfId="3105" xr:uid="{00000000-0005-0000-0000-0000150C0000}"/>
    <cellStyle name="Currency 3 4 2 2" xfId="3106" xr:uid="{00000000-0005-0000-0000-0000160C0000}"/>
    <cellStyle name="Currency 3 4 2 2 2" xfId="3107" xr:uid="{00000000-0005-0000-0000-0000170C0000}"/>
    <cellStyle name="Currency 3 4 2 2 3" xfId="3108" xr:uid="{00000000-0005-0000-0000-0000180C0000}"/>
    <cellStyle name="Currency 3 4 2 3" xfId="3109" xr:uid="{00000000-0005-0000-0000-0000190C0000}"/>
    <cellStyle name="Currency 3 4 2 3 2" xfId="3110" xr:uid="{00000000-0005-0000-0000-00001A0C0000}"/>
    <cellStyle name="Currency 3 4 2 3 3" xfId="3111" xr:uid="{00000000-0005-0000-0000-00001B0C0000}"/>
    <cellStyle name="Currency 3 4 2 4" xfId="3112" xr:uid="{00000000-0005-0000-0000-00001C0C0000}"/>
    <cellStyle name="Currency 3 4 2 4 2" xfId="3113" xr:uid="{00000000-0005-0000-0000-00001D0C0000}"/>
    <cellStyle name="Currency 3 4 2 4 3" xfId="3114" xr:uid="{00000000-0005-0000-0000-00001E0C0000}"/>
    <cellStyle name="Currency 3 4 2 5" xfId="3115" xr:uid="{00000000-0005-0000-0000-00001F0C0000}"/>
    <cellStyle name="Currency 3 4 2 5 2" xfId="3116" xr:uid="{00000000-0005-0000-0000-0000200C0000}"/>
    <cellStyle name="Currency 3 4 2 5 3" xfId="3117" xr:uid="{00000000-0005-0000-0000-0000210C0000}"/>
    <cellStyle name="Currency 3 4 2 6" xfId="3118" xr:uid="{00000000-0005-0000-0000-0000220C0000}"/>
    <cellStyle name="Currency 3 4 2 6 2" xfId="3119" xr:uid="{00000000-0005-0000-0000-0000230C0000}"/>
    <cellStyle name="Currency 3 4 2 6 3" xfId="3120" xr:uid="{00000000-0005-0000-0000-0000240C0000}"/>
    <cellStyle name="Currency 3 4 2 7" xfId="3121" xr:uid="{00000000-0005-0000-0000-0000250C0000}"/>
    <cellStyle name="Currency 3 4 2 7 2" xfId="3122" xr:uid="{00000000-0005-0000-0000-0000260C0000}"/>
    <cellStyle name="Currency 3 4 2 7 3" xfId="3123" xr:uid="{00000000-0005-0000-0000-0000270C0000}"/>
    <cellStyle name="Currency 3 4 2 8" xfId="3124" xr:uid="{00000000-0005-0000-0000-0000280C0000}"/>
    <cellStyle name="Currency 3 4 2 9" xfId="3125" xr:uid="{00000000-0005-0000-0000-0000290C0000}"/>
    <cellStyle name="Currency 3 4 3" xfId="3126" xr:uid="{00000000-0005-0000-0000-00002A0C0000}"/>
    <cellStyle name="Currency 3 4 3 2" xfId="3127" xr:uid="{00000000-0005-0000-0000-00002B0C0000}"/>
    <cellStyle name="Currency 3 4 3 3" xfId="3128" xr:uid="{00000000-0005-0000-0000-00002C0C0000}"/>
    <cellStyle name="Currency 3 4 4" xfId="3129" xr:uid="{00000000-0005-0000-0000-00002D0C0000}"/>
    <cellStyle name="Currency 3 4 4 2" xfId="3130" xr:uid="{00000000-0005-0000-0000-00002E0C0000}"/>
    <cellStyle name="Currency 3 4 4 3" xfId="3131" xr:uid="{00000000-0005-0000-0000-00002F0C0000}"/>
    <cellStyle name="Currency 3 4 5" xfId="3132" xr:uid="{00000000-0005-0000-0000-0000300C0000}"/>
    <cellStyle name="Currency 3 4 5 2" xfId="3133" xr:uid="{00000000-0005-0000-0000-0000310C0000}"/>
    <cellStyle name="Currency 3 4 5 3" xfId="3134" xr:uid="{00000000-0005-0000-0000-0000320C0000}"/>
    <cellStyle name="Currency 3 4 6" xfId="3135" xr:uid="{00000000-0005-0000-0000-0000330C0000}"/>
    <cellStyle name="Currency 3 4 6 2" xfId="3136" xr:uid="{00000000-0005-0000-0000-0000340C0000}"/>
    <cellStyle name="Currency 3 4 6 3" xfId="3137" xr:uid="{00000000-0005-0000-0000-0000350C0000}"/>
    <cellStyle name="Currency 3 4 7" xfId="3138" xr:uid="{00000000-0005-0000-0000-0000360C0000}"/>
    <cellStyle name="Currency 3 4 7 2" xfId="3139" xr:uid="{00000000-0005-0000-0000-0000370C0000}"/>
    <cellStyle name="Currency 3 4 7 3" xfId="3140" xr:uid="{00000000-0005-0000-0000-0000380C0000}"/>
    <cellStyle name="Currency 3 4 8" xfId="3141" xr:uid="{00000000-0005-0000-0000-0000390C0000}"/>
    <cellStyle name="Currency 3 4 8 2" xfId="3142" xr:uid="{00000000-0005-0000-0000-00003A0C0000}"/>
    <cellStyle name="Currency 3 4 8 3" xfId="3143" xr:uid="{00000000-0005-0000-0000-00003B0C0000}"/>
    <cellStyle name="Currency 3 4 9" xfId="3144" xr:uid="{00000000-0005-0000-0000-00003C0C0000}"/>
    <cellStyle name="Currency 3 5" xfId="3145" xr:uid="{00000000-0005-0000-0000-00003D0C0000}"/>
    <cellStyle name="Currency 3 5 2" xfId="3146" xr:uid="{00000000-0005-0000-0000-00003E0C0000}"/>
    <cellStyle name="Currency 3 5 2 2" xfId="3147" xr:uid="{00000000-0005-0000-0000-00003F0C0000}"/>
    <cellStyle name="Currency 3 5 2 3" xfId="3148" xr:uid="{00000000-0005-0000-0000-0000400C0000}"/>
    <cellStyle name="Currency 3 5 3" xfId="3149" xr:uid="{00000000-0005-0000-0000-0000410C0000}"/>
    <cellStyle name="Currency 3 5 3 2" xfId="3150" xr:uid="{00000000-0005-0000-0000-0000420C0000}"/>
    <cellStyle name="Currency 3 5 3 3" xfId="3151" xr:uid="{00000000-0005-0000-0000-0000430C0000}"/>
    <cellStyle name="Currency 3 5 4" xfId="3152" xr:uid="{00000000-0005-0000-0000-0000440C0000}"/>
    <cellStyle name="Currency 3 5 4 2" xfId="3153" xr:uid="{00000000-0005-0000-0000-0000450C0000}"/>
    <cellStyle name="Currency 3 5 4 3" xfId="3154" xr:uid="{00000000-0005-0000-0000-0000460C0000}"/>
    <cellStyle name="Currency 3 5 5" xfId="3155" xr:uid="{00000000-0005-0000-0000-0000470C0000}"/>
    <cellStyle name="Currency 3 5 5 2" xfId="3156" xr:uid="{00000000-0005-0000-0000-0000480C0000}"/>
    <cellStyle name="Currency 3 5 5 3" xfId="3157" xr:uid="{00000000-0005-0000-0000-0000490C0000}"/>
    <cellStyle name="Currency 3 5 6" xfId="3158" xr:uid="{00000000-0005-0000-0000-00004A0C0000}"/>
    <cellStyle name="Currency 3 5 6 2" xfId="3159" xr:uid="{00000000-0005-0000-0000-00004B0C0000}"/>
    <cellStyle name="Currency 3 5 6 3" xfId="3160" xr:uid="{00000000-0005-0000-0000-00004C0C0000}"/>
    <cellStyle name="Currency 3 5 7" xfId="3161" xr:uid="{00000000-0005-0000-0000-00004D0C0000}"/>
    <cellStyle name="Currency 3 5 7 2" xfId="3162" xr:uid="{00000000-0005-0000-0000-00004E0C0000}"/>
    <cellStyle name="Currency 3 5 7 3" xfId="3163" xr:uid="{00000000-0005-0000-0000-00004F0C0000}"/>
    <cellStyle name="Currency 3 5 8" xfId="3164" xr:uid="{00000000-0005-0000-0000-0000500C0000}"/>
    <cellStyle name="Currency 3 5 9" xfId="3165" xr:uid="{00000000-0005-0000-0000-0000510C0000}"/>
    <cellStyle name="Currency 3 6" xfId="3166" xr:uid="{00000000-0005-0000-0000-0000520C0000}"/>
    <cellStyle name="Currency 3 6 2" xfId="3167" xr:uid="{00000000-0005-0000-0000-0000530C0000}"/>
    <cellStyle name="Currency 3 6 3" xfId="3168" xr:uid="{00000000-0005-0000-0000-0000540C0000}"/>
    <cellStyle name="Currency 3 7" xfId="3169" xr:uid="{00000000-0005-0000-0000-0000550C0000}"/>
    <cellStyle name="Currency 3 7 2" xfId="3170" xr:uid="{00000000-0005-0000-0000-0000560C0000}"/>
    <cellStyle name="Currency 3 7 3" xfId="3171" xr:uid="{00000000-0005-0000-0000-0000570C0000}"/>
    <cellStyle name="Currency 3 8" xfId="3172" xr:uid="{00000000-0005-0000-0000-0000580C0000}"/>
    <cellStyle name="Currency 3 8 2" xfId="3173" xr:uid="{00000000-0005-0000-0000-0000590C0000}"/>
    <cellStyle name="Currency 3 8 3" xfId="3174" xr:uid="{00000000-0005-0000-0000-00005A0C0000}"/>
    <cellStyle name="Currency 3 9" xfId="3175" xr:uid="{00000000-0005-0000-0000-00005B0C0000}"/>
    <cellStyle name="Currency 3 9 2" xfId="3176" xr:uid="{00000000-0005-0000-0000-00005C0C0000}"/>
    <cellStyle name="Currency 3 9 3" xfId="3177" xr:uid="{00000000-0005-0000-0000-00005D0C0000}"/>
    <cellStyle name="Currency 4" xfId="3178" xr:uid="{00000000-0005-0000-0000-00005E0C0000}"/>
    <cellStyle name="Currency 4 10" xfId="3179" xr:uid="{00000000-0005-0000-0000-00005F0C0000}"/>
    <cellStyle name="Currency 4 10 2" xfId="3180" xr:uid="{00000000-0005-0000-0000-0000600C0000}"/>
    <cellStyle name="Currency 4 10 3" xfId="3181" xr:uid="{00000000-0005-0000-0000-0000610C0000}"/>
    <cellStyle name="Currency 4 11" xfId="3182" xr:uid="{00000000-0005-0000-0000-0000620C0000}"/>
    <cellStyle name="Currency 4 12" xfId="3183" xr:uid="{00000000-0005-0000-0000-0000630C0000}"/>
    <cellStyle name="Currency 4 2" xfId="3184" xr:uid="{00000000-0005-0000-0000-0000640C0000}"/>
    <cellStyle name="Currency 4 2 10" xfId="3185" xr:uid="{00000000-0005-0000-0000-0000650C0000}"/>
    <cellStyle name="Currency 4 2 2" xfId="3186" xr:uid="{00000000-0005-0000-0000-0000660C0000}"/>
    <cellStyle name="Currency 4 2 2 2" xfId="3187" xr:uid="{00000000-0005-0000-0000-0000670C0000}"/>
    <cellStyle name="Currency 4 2 2 2 2" xfId="3188" xr:uid="{00000000-0005-0000-0000-0000680C0000}"/>
    <cellStyle name="Currency 4 2 2 2 3" xfId="3189" xr:uid="{00000000-0005-0000-0000-0000690C0000}"/>
    <cellStyle name="Currency 4 2 2 3" xfId="3190" xr:uid="{00000000-0005-0000-0000-00006A0C0000}"/>
    <cellStyle name="Currency 4 2 2 3 2" xfId="3191" xr:uid="{00000000-0005-0000-0000-00006B0C0000}"/>
    <cellStyle name="Currency 4 2 2 3 3" xfId="3192" xr:uid="{00000000-0005-0000-0000-00006C0C0000}"/>
    <cellStyle name="Currency 4 2 2 4" xfId="3193" xr:uid="{00000000-0005-0000-0000-00006D0C0000}"/>
    <cellStyle name="Currency 4 2 2 4 2" xfId="3194" xr:uid="{00000000-0005-0000-0000-00006E0C0000}"/>
    <cellStyle name="Currency 4 2 2 4 3" xfId="3195" xr:uid="{00000000-0005-0000-0000-00006F0C0000}"/>
    <cellStyle name="Currency 4 2 2 5" xfId="3196" xr:uid="{00000000-0005-0000-0000-0000700C0000}"/>
    <cellStyle name="Currency 4 2 2 5 2" xfId="3197" xr:uid="{00000000-0005-0000-0000-0000710C0000}"/>
    <cellStyle name="Currency 4 2 2 5 3" xfId="3198" xr:uid="{00000000-0005-0000-0000-0000720C0000}"/>
    <cellStyle name="Currency 4 2 2 6" xfId="3199" xr:uid="{00000000-0005-0000-0000-0000730C0000}"/>
    <cellStyle name="Currency 4 2 2 6 2" xfId="3200" xr:uid="{00000000-0005-0000-0000-0000740C0000}"/>
    <cellStyle name="Currency 4 2 2 6 3" xfId="3201" xr:uid="{00000000-0005-0000-0000-0000750C0000}"/>
    <cellStyle name="Currency 4 2 2 7" xfId="3202" xr:uid="{00000000-0005-0000-0000-0000760C0000}"/>
    <cellStyle name="Currency 4 2 2 7 2" xfId="3203" xr:uid="{00000000-0005-0000-0000-0000770C0000}"/>
    <cellStyle name="Currency 4 2 2 7 3" xfId="3204" xr:uid="{00000000-0005-0000-0000-0000780C0000}"/>
    <cellStyle name="Currency 4 2 2 8" xfId="3205" xr:uid="{00000000-0005-0000-0000-0000790C0000}"/>
    <cellStyle name="Currency 4 2 2 9" xfId="3206" xr:uid="{00000000-0005-0000-0000-00007A0C0000}"/>
    <cellStyle name="Currency 4 2 3" xfId="3207" xr:uid="{00000000-0005-0000-0000-00007B0C0000}"/>
    <cellStyle name="Currency 4 2 3 2" xfId="3208" xr:uid="{00000000-0005-0000-0000-00007C0C0000}"/>
    <cellStyle name="Currency 4 2 3 3" xfId="3209" xr:uid="{00000000-0005-0000-0000-00007D0C0000}"/>
    <cellStyle name="Currency 4 2 4" xfId="3210" xr:uid="{00000000-0005-0000-0000-00007E0C0000}"/>
    <cellStyle name="Currency 4 2 4 2" xfId="3211" xr:uid="{00000000-0005-0000-0000-00007F0C0000}"/>
    <cellStyle name="Currency 4 2 4 3" xfId="3212" xr:uid="{00000000-0005-0000-0000-0000800C0000}"/>
    <cellStyle name="Currency 4 2 5" xfId="3213" xr:uid="{00000000-0005-0000-0000-0000810C0000}"/>
    <cellStyle name="Currency 4 2 5 2" xfId="3214" xr:uid="{00000000-0005-0000-0000-0000820C0000}"/>
    <cellStyle name="Currency 4 2 5 3" xfId="3215" xr:uid="{00000000-0005-0000-0000-0000830C0000}"/>
    <cellStyle name="Currency 4 2 6" xfId="3216" xr:uid="{00000000-0005-0000-0000-0000840C0000}"/>
    <cellStyle name="Currency 4 2 6 2" xfId="3217" xr:uid="{00000000-0005-0000-0000-0000850C0000}"/>
    <cellStyle name="Currency 4 2 6 3" xfId="3218" xr:uid="{00000000-0005-0000-0000-0000860C0000}"/>
    <cellStyle name="Currency 4 2 7" xfId="3219" xr:uid="{00000000-0005-0000-0000-0000870C0000}"/>
    <cellStyle name="Currency 4 2 7 2" xfId="3220" xr:uid="{00000000-0005-0000-0000-0000880C0000}"/>
    <cellStyle name="Currency 4 2 7 3" xfId="3221" xr:uid="{00000000-0005-0000-0000-0000890C0000}"/>
    <cellStyle name="Currency 4 2 8" xfId="3222" xr:uid="{00000000-0005-0000-0000-00008A0C0000}"/>
    <cellStyle name="Currency 4 2 8 2" xfId="3223" xr:uid="{00000000-0005-0000-0000-00008B0C0000}"/>
    <cellStyle name="Currency 4 2 8 3" xfId="3224" xr:uid="{00000000-0005-0000-0000-00008C0C0000}"/>
    <cellStyle name="Currency 4 2 9" xfId="3225" xr:uid="{00000000-0005-0000-0000-00008D0C0000}"/>
    <cellStyle name="Currency 4 3" xfId="3226" xr:uid="{00000000-0005-0000-0000-00008E0C0000}"/>
    <cellStyle name="Currency 4 3 10" xfId="3227" xr:uid="{00000000-0005-0000-0000-00008F0C0000}"/>
    <cellStyle name="Currency 4 3 2" xfId="3228" xr:uid="{00000000-0005-0000-0000-0000900C0000}"/>
    <cellStyle name="Currency 4 3 2 2" xfId="3229" xr:uid="{00000000-0005-0000-0000-0000910C0000}"/>
    <cellStyle name="Currency 4 3 2 2 2" xfId="3230" xr:uid="{00000000-0005-0000-0000-0000920C0000}"/>
    <cellStyle name="Currency 4 3 2 2 3" xfId="3231" xr:uid="{00000000-0005-0000-0000-0000930C0000}"/>
    <cellStyle name="Currency 4 3 2 3" xfId="3232" xr:uid="{00000000-0005-0000-0000-0000940C0000}"/>
    <cellStyle name="Currency 4 3 2 3 2" xfId="3233" xr:uid="{00000000-0005-0000-0000-0000950C0000}"/>
    <cellStyle name="Currency 4 3 2 3 3" xfId="3234" xr:uid="{00000000-0005-0000-0000-0000960C0000}"/>
    <cellStyle name="Currency 4 3 2 4" xfId="3235" xr:uid="{00000000-0005-0000-0000-0000970C0000}"/>
    <cellStyle name="Currency 4 3 2 4 2" xfId="3236" xr:uid="{00000000-0005-0000-0000-0000980C0000}"/>
    <cellStyle name="Currency 4 3 2 4 3" xfId="3237" xr:uid="{00000000-0005-0000-0000-0000990C0000}"/>
    <cellStyle name="Currency 4 3 2 5" xfId="3238" xr:uid="{00000000-0005-0000-0000-00009A0C0000}"/>
    <cellStyle name="Currency 4 3 2 5 2" xfId="3239" xr:uid="{00000000-0005-0000-0000-00009B0C0000}"/>
    <cellStyle name="Currency 4 3 2 5 3" xfId="3240" xr:uid="{00000000-0005-0000-0000-00009C0C0000}"/>
    <cellStyle name="Currency 4 3 2 6" xfId="3241" xr:uid="{00000000-0005-0000-0000-00009D0C0000}"/>
    <cellStyle name="Currency 4 3 2 6 2" xfId="3242" xr:uid="{00000000-0005-0000-0000-00009E0C0000}"/>
    <cellStyle name="Currency 4 3 2 6 3" xfId="3243" xr:uid="{00000000-0005-0000-0000-00009F0C0000}"/>
    <cellStyle name="Currency 4 3 2 7" xfId="3244" xr:uid="{00000000-0005-0000-0000-0000A00C0000}"/>
    <cellStyle name="Currency 4 3 2 7 2" xfId="3245" xr:uid="{00000000-0005-0000-0000-0000A10C0000}"/>
    <cellStyle name="Currency 4 3 2 7 3" xfId="3246" xr:uid="{00000000-0005-0000-0000-0000A20C0000}"/>
    <cellStyle name="Currency 4 3 2 8" xfId="3247" xr:uid="{00000000-0005-0000-0000-0000A30C0000}"/>
    <cellStyle name="Currency 4 3 2 9" xfId="3248" xr:uid="{00000000-0005-0000-0000-0000A40C0000}"/>
    <cellStyle name="Currency 4 3 3" xfId="3249" xr:uid="{00000000-0005-0000-0000-0000A50C0000}"/>
    <cellStyle name="Currency 4 3 3 2" xfId="3250" xr:uid="{00000000-0005-0000-0000-0000A60C0000}"/>
    <cellStyle name="Currency 4 3 3 3" xfId="3251" xr:uid="{00000000-0005-0000-0000-0000A70C0000}"/>
    <cellStyle name="Currency 4 3 4" xfId="3252" xr:uid="{00000000-0005-0000-0000-0000A80C0000}"/>
    <cellStyle name="Currency 4 3 4 2" xfId="3253" xr:uid="{00000000-0005-0000-0000-0000A90C0000}"/>
    <cellStyle name="Currency 4 3 4 3" xfId="3254" xr:uid="{00000000-0005-0000-0000-0000AA0C0000}"/>
    <cellStyle name="Currency 4 3 5" xfId="3255" xr:uid="{00000000-0005-0000-0000-0000AB0C0000}"/>
    <cellStyle name="Currency 4 3 5 2" xfId="3256" xr:uid="{00000000-0005-0000-0000-0000AC0C0000}"/>
    <cellStyle name="Currency 4 3 5 3" xfId="3257" xr:uid="{00000000-0005-0000-0000-0000AD0C0000}"/>
    <cellStyle name="Currency 4 3 6" xfId="3258" xr:uid="{00000000-0005-0000-0000-0000AE0C0000}"/>
    <cellStyle name="Currency 4 3 6 2" xfId="3259" xr:uid="{00000000-0005-0000-0000-0000AF0C0000}"/>
    <cellStyle name="Currency 4 3 6 3" xfId="3260" xr:uid="{00000000-0005-0000-0000-0000B00C0000}"/>
    <cellStyle name="Currency 4 3 7" xfId="3261" xr:uid="{00000000-0005-0000-0000-0000B10C0000}"/>
    <cellStyle name="Currency 4 3 7 2" xfId="3262" xr:uid="{00000000-0005-0000-0000-0000B20C0000}"/>
    <cellStyle name="Currency 4 3 7 3" xfId="3263" xr:uid="{00000000-0005-0000-0000-0000B30C0000}"/>
    <cellStyle name="Currency 4 3 8" xfId="3264" xr:uid="{00000000-0005-0000-0000-0000B40C0000}"/>
    <cellStyle name="Currency 4 3 8 2" xfId="3265" xr:uid="{00000000-0005-0000-0000-0000B50C0000}"/>
    <cellStyle name="Currency 4 3 8 3" xfId="3266" xr:uid="{00000000-0005-0000-0000-0000B60C0000}"/>
    <cellStyle name="Currency 4 3 9" xfId="3267" xr:uid="{00000000-0005-0000-0000-0000B70C0000}"/>
    <cellStyle name="Currency 4 4" xfId="3268" xr:uid="{00000000-0005-0000-0000-0000B80C0000}"/>
    <cellStyle name="Currency 4 4 2" xfId="3269" xr:uid="{00000000-0005-0000-0000-0000B90C0000}"/>
    <cellStyle name="Currency 4 4 2 2" xfId="3270" xr:uid="{00000000-0005-0000-0000-0000BA0C0000}"/>
    <cellStyle name="Currency 4 4 2 3" xfId="3271" xr:uid="{00000000-0005-0000-0000-0000BB0C0000}"/>
    <cellStyle name="Currency 4 4 3" xfId="3272" xr:uid="{00000000-0005-0000-0000-0000BC0C0000}"/>
    <cellStyle name="Currency 4 4 3 2" xfId="3273" xr:uid="{00000000-0005-0000-0000-0000BD0C0000}"/>
    <cellStyle name="Currency 4 4 3 3" xfId="3274" xr:uid="{00000000-0005-0000-0000-0000BE0C0000}"/>
    <cellStyle name="Currency 4 4 4" xfId="3275" xr:uid="{00000000-0005-0000-0000-0000BF0C0000}"/>
    <cellStyle name="Currency 4 4 4 2" xfId="3276" xr:uid="{00000000-0005-0000-0000-0000C00C0000}"/>
    <cellStyle name="Currency 4 4 4 3" xfId="3277" xr:uid="{00000000-0005-0000-0000-0000C10C0000}"/>
    <cellStyle name="Currency 4 4 5" xfId="3278" xr:uid="{00000000-0005-0000-0000-0000C20C0000}"/>
    <cellStyle name="Currency 4 4 5 2" xfId="3279" xr:uid="{00000000-0005-0000-0000-0000C30C0000}"/>
    <cellStyle name="Currency 4 4 5 3" xfId="3280" xr:uid="{00000000-0005-0000-0000-0000C40C0000}"/>
    <cellStyle name="Currency 4 4 6" xfId="3281" xr:uid="{00000000-0005-0000-0000-0000C50C0000}"/>
    <cellStyle name="Currency 4 4 6 2" xfId="3282" xr:uid="{00000000-0005-0000-0000-0000C60C0000}"/>
    <cellStyle name="Currency 4 4 6 3" xfId="3283" xr:uid="{00000000-0005-0000-0000-0000C70C0000}"/>
    <cellStyle name="Currency 4 4 7" xfId="3284" xr:uid="{00000000-0005-0000-0000-0000C80C0000}"/>
    <cellStyle name="Currency 4 4 7 2" xfId="3285" xr:uid="{00000000-0005-0000-0000-0000C90C0000}"/>
    <cellStyle name="Currency 4 4 7 3" xfId="3286" xr:uid="{00000000-0005-0000-0000-0000CA0C0000}"/>
    <cellStyle name="Currency 4 4 8" xfId="3287" xr:uid="{00000000-0005-0000-0000-0000CB0C0000}"/>
    <cellStyle name="Currency 4 4 9" xfId="3288" xr:uid="{00000000-0005-0000-0000-0000CC0C0000}"/>
    <cellStyle name="Currency 4 5" xfId="3289" xr:uid="{00000000-0005-0000-0000-0000CD0C0000}"/>
    <cellStyle name="Currency 4 5 2" xfId="3290" xr:uid="{00000000-0005-0000-0000-0000CE0C0000}"/>
    <cellStyle name="Currency 4 5 3" xfId="3291" xr:uid="{00000000-0005-0000-0000-0000CF0C0000}"/>
    <cellStyle name="Currency 4 6" xfId="3292" xr:uid="{00000000-0005-0000-0000-0000D00C0000}"/>
    <cellStyle name="Currency 4 6 2" xfId="3293" xr:uid="{00000000-0005-0000-0000-0000D10C0000}"/>
    <cellStyle name="Currency 4 6 3" xfId="3294" xr:uid="{00000000-0005-0000-0000-0000D20C0000}"/>
    <cellStyle name="Currency 4 7" xfId="3295" xr:uid="{00000000-0005-0000-0000-0000D30C0000}"/>
    <cellStyle name="Currency 4 7 2" xfId="3296" xr:uid="{00000000-0005-0000-0000-0000D40C0000}"/>
    <cellStyle name="Currency 4 7 3" xfId="3297" xr:uid="{00000000-0005-0000-0000-0000D50C0000}"/>
    <cellStyle name="Currency 4 8" xfId="3298" xr:uid="{00000000-0005-0000-0000-0000D60C0000}"/>
    <cellStyle name="Currency 4 8 2" xfId="3299" xr:uid="{00000000-0005-0000-0000-0000D70C0000}"/>
    <cellStyle name="Currency 4 8 3" xfId="3300" xr:uid="{00000000-0005-0000-0000-0000D80C0000}"/>
    <cellStyle name="Currency 4 9" xfId="3301" xr:uid="{00000000-0005-0000-0000-0000D90C0000}"/>
    <cellStyle name="Currency 4 9 2" xfId="3302" xr:uid="{00000000-0005-0000-0000-0000DA0C0000}"/>
    <cellStyle name="Currency 4 9 3" xfId="3303" xr:uid="{00000000-0005-0000-0000-0000DB0C0000}"/>
    <cellStyle name="Currency 5" xfId="3304" xr:uid="{00000000-0005-0000-0000-0000DC0C0000}"/>
    <cellStyle name="Currency 6" xfId="3305" xr:uid="{00000000-0005-0000-0000-0000DD0C0000}"/>
    <cellStyle name="Currency 6 10" xfId="3306" xr:uid="{00000000-0005-0000-0000-0000DE0C0000}"/>
    <cellStyle name="Currency 6 11" xfId="3307" xr:uid="{00000000-0005-0000-0000-0000DF0C0000}"/>
    <cellStyle name="Currency 6 12" xfId="3308" xr:uid="{00000000-0005-0000-0000-0000E00C0000}"/>
    <cellStyle name="Currency 6 13" xfId="3309" xr:uid="{00000000-0005-0000-0000-0000E10C0000}"/>
    <cellStyle name="Currency 6 2" xfId="3310" xr:uid="{00000000-0005-0000-0000-0000E20C0000}"/>
    <cellStyle name="Currency 6 3" xfId="3311" xr:uid="{00000000-0005-0000-0000-0000E30C0000}"/>
    <cellStyle name="Currency 6 4" xfId="3312" xr:uid="{00000000-0005-0000-0000-0000E40C0000}"/>
    <cellStyle name="Currency 6 5" xfId="3313" xr:uid="{00000000-0005-0000-0000-0000E50C0000}"/>
    <cellStyle name="Currency 6 6" xfId="3314" xr:uid="{00000000-0005-0000-0000-0000E60C0000}"/>
    <cellStyle name="Currency 6 7" xfId="3315" xr:uid="{00000000-0005-0000-0000-0000E70C0000}"/>
    <cellStyle name="Currency 6 8" xfId="3316" xr:uid="{00000000-0005-0000-0000-0000E80C0000}"/>
    <cellStyle name="Currency 6 9" xfId="3317" xr:uid="{00000000-0005-0000-0000-0000E90C0000}"/>
    <cellStyle name="Currency 7" xfId="11" xr:uid="{00000000-0005-0000-0000-0000EA0C0000}"/>
    <cellStyle name="Currency 8" xfId="12" xr:uid="{00000000-0005-0000-0000-0000EB0C0000}"/>
    <cellStyle name="Currency 9" xfId="3318" xr:uid="{00000000-0005-0000-0000-0000EC0C0000}"/>
    <cellStyle name="Currency 9 10" xfId="3319" xr:uid="{00000000-0005-0000-0000-0000ED0C0000}"/>
    <cellStyle name="Currency 9 2" xfId="3320" xr:uid="{00000000-0005-0000-0000-0000EE0C0000}"/>
    <cellStyle name="Currency 9 2 2" xfId="3321" xr:uid="{00000000-0005-0000-0000-0000EF0C0000}"/>
    <cellStyle name="Currency 9 2 2 2" xfId="3322" xr:uid="{00000000-0005-0000-0000-0000F00C0000}"/>
    <cellStyle name="Currency 9 2 2 3" xfId="3323" xr:uid="{00000000-0005-0000-0000-0000F10C0000}"/>
    <cellStyle name="Currency 9 2 3" xfId="3324" xr:uid="{00000000-0005-0000-0000-0000F20C0000}"/>
    <cellStyle name="Currency 9 2 3 2" xfId="3325" xr:uid="{00000000-0005-0000-0000-0000F30C0000}"/>
    <cellStyle name="Currency 9 2 3 3" xfId="3326" xr:uid="{00000000-0005-0000-0000-0000F40C0000}"/>
    <cellStyle name="Currency 9 2 4" xfId="3327" xr:uid="{00000000-0005-0000-0000-0000F50C0000}"/>
    <cellStyle name="Currency 9 2 4 2" xfId="3328" xr:uid="{00000000-0005-0000-0000-0000F60C0000}"/>
    <cellStyle name="Currency 9 2 4 3" xfId="3329" xr:uid="{00000000-0005-0000-0000-0000F70C0000}"/>
    <cellStyle name="Currency 9 2 5" xfId="3330" xr:uid="{00000000-0005-0000-0000-0000F80C0000}"/>
    <cellStyle name="Currency 9 2 5 2" xfId="3331" xr:uid="{00000000-0005-0000-0000-0000F90C0000}"/>
    <cellStyle name="Currency 9 2 5 3" xfId="3332" xr:uid="{00000000-0005-0000-0000-0000FA0C0000}"/>
    <cellStyle name="Currency 9 2 6" xfId="3333" xr:uid="{00000000-0005-0000-0000-0000FB0C0000}"/>
    <cellStyle name="Currency 9 2 6 2" xfId="3334" xr:uid="{00000000-0005-0000-0000-0000FC0C0000}"/>
    <cellStyle name="Currency 9 2 6 3" xfId="3335" xr:uid="{00000000-0005-0000-0000-0000FD0C0000}"/>
    <cellStyle name="Currency 9 2 7" xfId="3336" xr:uid="{00000000-0005-0000-0000-0000FE0C0000}"/>
    <cellStyle name="Currency 9 2 7 2" xfId="3337" xr:uid="{00000000-0005-0000-0000-0000FF0C0000}"/>
    <cellStyle name="Currency 9 2 7 3" xfId="3338" xr:uid="{00000000-0005-0000-0000-0000000D0000}"/>
    <cellStyle name="Currency 9 2 8" xfId="3339" xr:uid="{00000000-0005-0000-0000-0000010D0000}"/>
    <cellStyle name="Currency 9 2 9" xfId="3340" xr:uid="{00000000-0005-0000-0000-0000020D0000}"/>
    <cellStyle name="Currency 9 3" xfId="3341" xr:uid="{00000000-0005-0000-0000-0000030D0000}"/>
    <cellStyle name="Currency 9 3 2" xfId="3342" xr:uid="{00000000-0005-0000-0000-0000040D0000}"/>
    <cellStyle name="Currency 9 3 3" xfId="3343" xr:uid="{00000000-0005-0000-0000-0000050D0000}"/>
    <cellStyle name="Currency 9 4" xfId="3344" xr:uid="{00000000-0005-0000-0000-0000060D0000}"/>
    <cellStyle name="Currency 9 4 2" xfId="3345" xr:uid="{00000000-0005-0000-0000-0000070D0000}"/>
    <cellStyle name="Currency 9 4 3" xfId="3346" xr:uid="{00000000-0005-0000-0000-0000080D0000}"/>
    <cellStyle name="Currency 9 5" xfId="3347" xr:uid="{00000000-0005-0000-0000-0000090D0000}"/>
    <cellStyle name="Currency 9 5 2" xfId="3348" xr:uid="{00000000-0005-0000-0000-00000A0D0000}"/>
    <cellStyle name="Currency 9 5 3" xfId="3349" xr:uid="{00000000-0005-0000-0000-00000B0D0000}"/>
    <cellStyle name="Currency 9 6" xfId="3350" xr:uid="{00000000-0005-0000-0000-00000C0D0000}"/>
    <cellStyle name="Currency 9 6 2" xfId="3351" xr:uid="{00000000-0005-0000-0000-00000D0D0000}"/>
    <cellStyle name="Currency 9 6 3" xfId="3352" xr:uid="{00000000-0005-0000-0000-00000E0D0000}"/>
    <cellStyle name="Currency 9 7" xfId="3353" xr:uid="{00000000-0005-0000-0000-00000F0D0000}"/>
    <cellStyle name="Currency 9 7 2" xfId="3354" xr:uid="{00000000-0005-0000-0000-0000100D0000}"/>
    <cellStyle name="Currency 9 7 3" xfId="3355" xr:uid="{00000000-0005-0000-0000-0000110D0000}"/>
    <cellStyle name="Currency 9 8" xfId="3356" xr:uid="{00000000-0005-0000-0000-0000120D0000}"/>
    <cellStyle name="Currency 9 8 2" xfId="3357" xr:uid="{00000000-0005-0000-0000-0000130D0000}"/>
    <cellStyle name="Currency 9 8 3" xfId="3358" xr:uid="{00000000-0005-0000-0000-0000140D0000}"/>
    <cellStyle name="Currency 9 9" xfId="3359" xr:uid="{00000000-0005-0000-0000-0000150D0000}"/>
    <cellStyle name="Explanatory Text 2" xfId="3360" xr:uid="{00000000-0005-0000-0000-0000160D0000}"/>
    <cellStyle name="Explanatory Text 3" xfId="3361" xr:uid="{00000000-0005-0000-0000-0000170D0000}"/>
    <cellStyle name="Explanatory Text 4" xfId="3362" xr:uid="{00000000-0005-0000-0000-0000180D0000}"/>
    <cellStyle name="Good 2" xfId="3363" xr:uid="{00000000-0005-0000-0000-0000190D0000}"/>
    <cellStyle name="Good 3" xfId="3364" xr:uid="{00000000-0005-0000-0000-00001A0D0000}"/>
    <cellStyle name="Good 4" xfId="3365" xr:uid="{00000000-0005-0000-0000-00001B0D0000}"/>
    <cellStyle name="Good 5" xfId="3366" xr:uid="{00000000-0005-0000-0000-00001C0D0000}"/>
    <cellStyle name="Heading 1 2" xfId="3367" xr:uid="{00000000-0005-0000-0000-00001D0D0000}"/>
    <cellStyle name="Heading 1 3" xfId="3368" xr:uid="{00000000-0005-0000-0000-00001E0D0000}"/>
    <cellStyle name="Heading 1 4" xfId="3369" xr:uid="{00000000-0005-0000-0000-00001F0D0000}"/>
    <cellStyle name="Heading 1 5" xfId="3370" xr:uid="{00000000-0005-0000-0000-0000200D0000}"/>
    <cellStyle name="Heading 2 2" xfId="3371" xr:uid="{00000000-0005-0000-0000-0000210D0000}"/>
    <cellStyle name="Heading 2 3" xfId="3372" xr:uid="{00000000-0005-0000-0000-0000220D0000}"/>
    <cellStyle name="Heading 2 4" xfId="3373" xr:uid="{00000000-0005-0000-0000-0000230D0000}"/>
    <cellStyle name="Heading 3 2" xfId="3374" xr:uid="{00000000-0005-0000-0000-0000240D0000}"/>
    <cellStyle name="Heading 3 3" xfId="3375" xr:uid="{00000000-0005-0000-0000-0000250D0000}"/>
    <cellStyle name="Heading 3 4" xfId="3376" xr:uid="{00000000-0005-0000-0000-0000260D0000}"/>
    <cellStyle name="Heading 4 2" xfId="3377" xr:uid="{00000000-0005-0000-0000-0000270D0000}"/>
    <cellStyle name="Heading 4 3" xfId="3378" xr:uid="{00000000-0005-0000-0000-0000280D0000}"/>
    <cellStyle name="Heading 4 4" xfId="3379" xr:uid="{00000000-0005-0000-0000-0000290D0000}"/>
    <cellStyle name="Hyperlink" xfId="9404" builtinId="8"/>
    <cellStyle name="Hyperlink 2" xfId="3380" xr:uid="{00000000-0005-0000-0000-00002A0D0000}"/>
    <cellStyle name="Hyperlink 3" xfId="3381" xr:uid="{00000000-0005-0000-0000-00002B0D0000}"/>
    <cellStyle name="Input 2" xfId="3382" xr:uid="{00000000-0005-0000-0000-00002C0D0000}"/>
    <cellStyle name="Input 3" xfId="3383" xr:uid="{00000000-0005-0000-0000-00002D0D0000}"/>
    <cellStyle name="Input 4" xfId="3384" xr:uid="{00000000-0005-0000-0000-00002E0D0000}"/>
    <cellStyle name="Input 5" xfId="3385" xr:uid="{00000000-0005-0000-0000-00002F0D0000}"/>
    <cellStyle name="Linked Cell 2" xfId="3386" xr:uid="{00000000-0005-0000-0000-0000300D0000}"/>
    <cellStyle name="Linked Cell 3" xfId="3387" xr:uid="{00000000-0005-0000-0000-0000310D0000}"/>
    <cellStyle name="Linked Cell 4" xfId="3388" xr:uid="{00000000-0005-0000-0000-0000320D0000}"/>
    <cellStyle name="Neutral 2" xfId="3389" xr:uid="{00000000-0005-0000-0000-0000330D0000}"/>
    <cellStyle name="Neutral 3" xfId="3390" xr:uid="{00000000-0005-0000-0000-0000340D0000}"/>
    <cellStyle name="Neutral 4" xfId="3391" xr:uid="{00000000-0005-0000-0000-0000350D0000}"/>
    <cellStyle name="Normal" xfId="0" builtinId="0"/>
    <cellStyle name="Normal 10" xfId="13" xr:uid="{00000000-0005-0000-0000-0000370D0000}"/>
    <cellStyle name="Normal 10 2" xfId="3392" xr:uid="{00000000-0005-0000-0000-0000380D0000}"/>
    <cellStyle name="Normal 10 3" xfId="3393" xr:uid="{00000000-0005-0000-0000-0000390D0000}"/>
    <cellStyle name="Normal 11" xfId="3394" xr:uid="{00000000-0005-0000-0000-00003A0D0000}"/>
    <cellStyle name="Normal 11 10" xfId="3395" xr:uid="{00000000-0005-0000-0000-00003B0D0000}"/>
    <cellStyle name="Normal 11 10 2" xfId="3396" xr:uid="{00000000-0005-0000-0000-00003C0D0000}"/>
    <cellStyle name="Normal 11 10 3" xfId="3397" xr:uid="{00000000-0005-0000-0000-00003D0D0000}"/>
    <cellStyle name="Normal 11 11" xfId="3398" xr:uid="{00000000-0005-0000-0000-00003E0D0000}"/>
    <cellStyle name="Normal 11 11 2" xfId="3399" xr:uid="{00000000-0005-0000-0000-00003F0D0000}"/>
    <cellStyle name="Normal 11 11 3" xfId="3400" xr:uid="{00000000-0005-0000-0000-0000400D0000}"/>
    <cellStyle name="Normal 11 12" xfId="3401" xr:uid="{00000000-0005-0000-0000-0000410D0000}"/>
    <cellStyle name="Normal 11 12 2" xfId="3402" xr:uid="{00000000-0005-0000-0000-0000420D0000}"/>
    <cellStyle name="Normal 11 12 3" xfId="3403" xr:uid="{00000000-0005-0000-0000-0000430D0000}"/>
    <cellStyle name="Normal 11 13" xfId="3404" xr:uid="{00000000-0005-0000-0000-0000440D0000}"/>
    <cellStyle name="Normal 11 13 2" xfId="3405" xr:uid="{00000000-0005-0000-0000-0000450D0000}"/>
    <cellStyle name="Normal 11 13 3" xfId="3406" xr:uid="{00000000-0005-0000-0000-0000460D0000}"/>
    <cellStyle name="Normal 11 14" xfId="3407" xr:uid="{00000000-0005-0000-0000-0000470D0000}"/>
    <cellStyle name="Normal 11 14 2" xfId="3408" xr:uid="{00000000-0005-0000-0000-0000480D0000}"/>
    <cellStyle name="Normal 11 14 3" xfId="3409" xr:uid="{00000000-0005-0000-0000-0000490D0000}"/>
    <cellStyle name="Normal 11 15" xfId="3410" xr:uid="{00000000-0005-0000-0000-00004A0D0000}"/>
    <cellStyle name="Normal 11 16" xfId="3411" xr:uid="{00000000-0005-0000-0000-00004B0D0000}"/>
    <cellStyle name="Normal 11 2" xfId="3412" xr:uid="{00000000-0005-0000-0000-00004C0D0000}"/>
    <cellStyle name="Normal 11 2 10" xfId="3413" xr:uid="{00000000-0005-0000-0000-00004D0D0000}"/>
    <cellStyle name="Normal 11 2 10 2" xfId="3414" xr:uid="{00000000-0005-0000-0000-00004E0D0000}"/>
    <cellStyle name="Normal 11 2 10 3" xfId="3415" xr:uid="{00000000-0005-0000-0000-00004F0D0000}"/>
    <cellStyle name="Normal 11 2 11" xfId="3416" xr:uid="{00000000-0005-0000-0000-0000500D0000}"/>
    <cellStyle name="Normal 11 2 11 2" xfId="3417" xr:uid="{00000000-0005-0000-0000-0000510D0000}"/>
    <cellStyle name="Normal 11 2 11 3" xfId="3418" xr:uid="{00000000-0005-0000-0000-0000520D0000}"/>
    <cellStyle name="Normal 11 2 12" xfId="3419" xr:uid="{00000000-0005-0000-0000-0000530D0000}"/>
    <cellStyle name="Normal 11 2 12 2" xfId="3420" xr:uid="{00000000-0005-0000-0000-0000540D0000}"/>
    <cellStyle name="Normal 11 2 12 3" xfId="3421" xr:uid="{00000000-0005-0000-0000-0000550D0000}"/>
    <cellStyle name="Normal 11 2 13" xfId="3422" xr:uid="{00000000-0005-0000-0000-0000560D0000}"/>
    <cellStyle name="Normal 11 2 13 2" xfId="3423" xr:uid="{00000000-0005-0000-0000-0000570D0000}"/>
    <cellStyle name="Normal 11 2 13 3" xfId="3424" xr:uid="{00000000-0005-0000-0000-0000580D0000}"/>
    <cellStyle name="Normal 11 2 14" xfId="3425" xr:uid="{00000000-0005-0000-0000-0000590D0000}"/>
    <cellStyle name="Normal 11 2 15" xfId="3426" xr:uid="{00000000-0005-0000-0000-00005A0D0000}"/>
    <cellStyle name="Normal 11 2 2" xfId="3427" xr:uid="{00000000-0005-0000-0000-00005B0D0000}"/>
    <cellStyle name="Normal 11 2 2 10" xfId="3428" xr:uid="{00000000-0005-0000-0000-00005C0D0000}"/>
    <cellStyle name="Normal 11 2 2 10 2" xfId="3429" xr:uid="{00000000-0005-0000-0000-00005D0D0000}"/>
    <cellStyle name="Normal 11 2 2 10 3" xfId="3430" xr:uid="{00000000-0005-0000-0000-00005E0D0000}"/>
    <cellStyle name="Normal 11 2 2 11" xfId="3431" xr:uid="{00000000-0005-0000-0000-00005F0D0000}"/>
    <cellStyle name="Normal 11 2 2 11 2" xfId="3432" xr:uid="{00000000-0005-0000-0000-0000600D0000}"/>
    <cellStyle name="Normal 11 2 2 11 3" xfId="3433" xr:uid="{00000000-0005-0000-0000-0000610D0000}"/>
    <cellStyle name="Normal 11 2 2 12" xfId="3434" xr:uid="{00000000-0005-0000-0000-0000620D0000}"/>
    <cellStyle name="Normal 11 2 2 12 2" xfId="3435" xr:uid="{00000000-0005-0000-0000-0000630D0000}"/>
    <cellStyle name="Normal 11 2 2 12 3" xfId="3436" xr:uid="{00000000-0005-0000-0000-0000640D0000}"/>
    <cellStyle name="Normal 11 2 2 13" xfId="3437" xr:uid="{00000000-0005-0000-0000-0000650D0000}"/>
    <cellStyle name="Normal 11 2 2 14" xfId="3438" xr:uid="{00000000-0005-0000-0000-0000660D0000}"/>
    <cellStyle name="Normal 11 2 2 2" xfId="3439" xr:uid="{00000000-0005-0000-0000-0000670D0000}"/>
    <cellStyle name="Normal 11 2 2 2 10" xfId="3440" xr:uid="{00000000-0005-0000-0000-0000680D0000}"/>
    <cellStyle name="Normal 11 2 2 2 10 2" xfId="3441" xr:uid="{00000000-0005-0000-0000-0000690D0000}"/>
    <cellStyle name="Normal 11 2 2 2 10 3" xfId="3442" xr:uid="{00000000-0005-0000-0000-00006A0D0000}"/>
    <cellStyle name="Normal 11 2 2 2 11" xfId="3443" xr:uid="{00000000-0005-0000-0000-00006B0D0000}"/>
    <cellStyle name="Normal 11 2 2 2 11 2" xfId="3444" xr:uid="{00000000-0005-0000-0000-00006C0D0000}"/>
    <cellStyle name="Normal 11 2 2 2 11 3" xfId="3445" xr:uid="{00000000-0005-0000-0000-00006D0D0000}"/>
    <cellStyle name="Normal 11 2 2 2 12" xfId="3446" xr:uid="{00000000-0005-0000-0000-00006E0D0000}"/>
    <cellStyle name="Normal 11 2 2 2 13" xfId="3447" xr:uid="{00000000-0005-0000-0000-00006F0D0000}"/>
    <cellStyle name="Normal 11 2 2 2 2" xfId="3448" xr:uid="{00000000-0005-0000-0000-0000700D0000}"/>
    <cellStyle name="Normal 11 2 2 2 2 10" xfId="3449" xr:uid="{00000000-0005-0000-0000-0000710D0000}"/>
    <cellStyle name="Normal 11 2 2 2 2 10 2" xfId="3450" xr:uid="{00000000-0005-0000-0000-0000720D0000}"/>
    <cellStyle name="Normal 11 2 2 2 2 10 3" xfId="3451" xr:uid="{00000000-0005-0000-0000-0000730D0000}"/>
    <cellStyle name="Normal 11 2 2 2 2 11" xfId="3452" xr:uid="{00000000-0005-0000-0000-0000740D0000}"/>
    <cellStyle name="Normal 11 2 2 2 2 12" xfId="3453" xr:uid="{00000000-0005-0000-0000-0000750D0000}"/>
    <cellStyle name="Normal 11 2 2 2 2 2" xfId="3454" xr:uid="{00000000-0005-0000-0000-0000760D0000}"/>
    <cellStyle name="Normal 11 2 2 2 2 2 10" xfId="3455" xr:uid="{00000000-0005-0000-0000-0000770D0000}"/>
    <cellStyle name="Normal 11 2 2 2 2 2 2" xfId="3456" xr:uid="{00000000-0005-0000-0000-0000780D0000}"/>
    <cellStyle name="Normal 11 2 2 2 2 2 2 2" xfId="3457" xr:uid="{00000000-0005-0000-0000-0000790D0000}"/>
    <cellStyle name="Normal 11 2 2 2 2 2 2 2 2" xfId="3458" xr:uid="{00000000-0005-0000-0000-00007A0D0000}"/>
    <cellStyle name="Normal 11 2 2 2 2 2 2 2 3" xfId="3459" xr:uid="{00000000-0005-0000-0000-00007B0D0000}"/>
    <cellStyle name="Normal 11 2 2 2 2 2 2 3" xfId="3460" xr:uid="{00000000-0005-0000-0000-00007C0D0000}"/>
    <cellStyle name="Normal 11 2 2 2 2 2 2 3 2" xfId="3461" xr:uid="{00000000-0005-0000-0000-00007D0D0000}"/>
    <cellStyle name="Normal 11 2 2 2 2 2 2 3 3" xfId="3462" xr:uid="{00000000-0005-0000-0000-00007E0D0000}"/>
    <cellStyle name="Normal 11 2 2 2 2 2 2 4" xfId="3463" xr:uid="{00000000-0005-0000-0000-00007F0D0000}"/>
    <cellStyle name="Normal 11 2 2 2 2 2 2 4 2" xfId="3464" xr:uid="{00000000-0005-0000-0000-0000800D0000}"/>
    <cellStyle name="Normal 11 2 2 2 2 2 2 4 3" xfId="3465" xr:uid="{00000000-0005-0000-0000-0000810D0000}"/>
    <cellStyle name="Normal 11 2 2 2 2 2 2 5" xfId="3466" xr:uid="{00000000-0005-0000-0000-0000820D0000}"/>
    <cellStyle name="Normal 11 2 2 2 2 2 2 5 2" xfId="3467" xr:uid="{00000000-0005-0000-0000-0000830D0000}"/>
    <cellStyle name="Normal 11 2 2 2 2 2 2 5 3" xfId="3468" xr:uid="{00000000-0005-0000-0000-0000840D0000}"/>
    <cellStyle name="Normal 11 2 2 2 2 2 2 6" xfId="3469" xr:uid="{00000000-0005-0000-0000-0000850D0000}"/>
    <cellStyle name="Normal 11 2 2 2 2 2 2 6 2" xfId="3470" xr:uid="{00000000-0005-0000-0000-0000860D0000}"/>
    <cellStyle name="Normal 11 2 2 2 2 2 2 6 3" xfId="3471" xr:uid="{00000000-0005-0000-0000-0000870D0000}"/>
    <cellStyle name="Normal 11 2 2 2 2 2 2 7" xfId="3472" xr:uid="{00000000-0005-0000-0000-0000880D0000}"/>
    <cellStyle name="Normal 11 2 2 2 2 2 2 7 2" xfId="3473" xr:uid="{00000000-0005-0000-0000-0000890D0000}"/>
    <cellStyle name="Normal 11 2 2 2 2 2 2 7 3" xfId="3474" xr:uid="{00000000-0005-0000-0000-00008A0D0000}"/>
    <cellStyle name="Normal 11 2 2 2 2 2 2 8" xfId="3475" xr:uid="{00000000-0005-0000-0000-00008B0D0000}"/>
    <cellStyle name="Normal 11 2 2 2 2 2 2 9" xfId="3476" xr:uid="{00000000-0005-0000-0000-00008C0D0000}"/>
    <cellStyle name="Normal 11 2 2 2 2 2 3" xfId="3477" xr:uid="{00000000-0005-0000-0000-00008D0D0000}"/>
    <cellStyle name="Normal 11 2 2 2 2 2 3 2" xfId="3478" xr:uid="{00000000-0005-0000-0000-00008E0D0000}"/>
    <cellStyle name="Normal 11 2 2 2 2 2 3 3" xfId="3479" xr:uid="{00000000-0005-0000-0000-00008F0D0000}"/>
    <cellStyle name="Normal 11 2 2 2 2 2 4" xfId="3480" xr:uid="{00000000-0005-0000-0000-0000900D0000}"/>
    <cellStyle name="Normal 11 2 2 2 2 2 4 2" xfId="3481" xr:uid="{00000000-0005-0000-0000-0000910D0000}"/>
    <cellStyle name="Normal 11 2 2 2 2 2 4 3" xfId="3482" xr:uid="{00000000-0005-0000-0000-0000920D0000}"/>
    <cellStyle name="Normal 11 2 2 2 2 2 5" xfId="3483" xr:uid="{00000000-0005-0000-0000-0000930D0000}"/>
    <cellStyle name="Normal 11 2 2 2 2 2 5 2" xfId="3484" xr:uid="{00000000-0005-0000-0000-0000940D0000}"/>
    <cellStyle name="Normal 11 2 2 2 2 2 5 3" xfId="3485" xr:uid="{00000000-0005-0000-0000-0000950D0000}"/>
    <cellStyle name="Normal 11 2 2 2 2 2 6" xfId="3486" xr:uid="{00000000-0005-0000-0000-0000960D0000}"/>
    <cellStyle name="Normal 11 2 2 2 2 2 6 2" xfId="3487" xr:uid="{00000000-0005-0000-0000-0000970D0000}"/>
    <cellStyle name="Normal 11 2 2 2 2 2 6 3" xfId="3488" xr:uid="{00000000-0005-0000-0000-0000980D0000}"/>
    <cellStyle name="Normal 11 2 2 2 2 2 7" xfId="3489" xr:uid="{00000000-0005-0000-0000-0000990D0000}"/>
    <cellStyle name="Normal 11 2 2 2 2 2 7 2" xfId="3490" xr:uid="{00000000-0005-0000-0000-00009A0D0000}"/>
    <cellStyle name="Normal 11 2 2 2 2 2 7 3" xfId="3491" xr:uid="{00000000-0005-0000-0000-00009B0D0000}"/>
    <cellStyle name="Normal 11 2 2 2 2 2 8" xfId="3492" xr:uid="{00000000-0005-0000-0000-00009C0D0000}"/>
    <cellStyle name="Normal 11 2 2 2 2 2 8 2" xfId="3493" xr:uid="{00000000-0005-0000-0000-00009D0D0000}"/>
    <cellStyle name="Normal 11 2 2 2 2 2 8 3" xfId="3494" xr:uid="{00000000-0005-0000-0000-00009E0D0000}"/>
    <cellStyle name="Normal 11 2 2 2 2 2 9" xfId="3495" xr:uid="{00000000-0005-0000-0000-00009F0D0000}"/>
    <cellStyle name="Normal 11 2 2 2 2 3" xfId="3496" xr:uid="{00000000-0005-0000-0000-0000A00D0000}"/>
    <cellStyle name="Normal 11 2 2 2 2 3 10" xfId="3497" xr:uid="{00000000-0005-0000-0000-0000A10D0000}"/>
    <cellStyle name="Normal 11 2 2 2 2 3 2" xfId="3498" xr:uid="{00000000-0005-0000-0000-0000A20D0000}"/>
    <cellStyle name="Normal 11 2 2 2 2 3 2 2" xfId="3499" xr:uid="{00000000-0005-0000-0000-0000A30D0000}"/>
    <cellStyle name="Normal 11 2 2 2 2 3 2 2 2" xfId="3500" xr:uid="{00000000-0005-0000-0000-0000A40D0000}"/>
    <cellStyle name="Normal 11 2 2 2 2 3 2 2 3" xfId="3501" xr:uid="{00000000-0005-0000-0000-0000A50D0000}"/>
    <cellStyle name="Normal 11 2 2 2 2 3 2 3" xfId="3502" xr:uid="{00000000-0005-0000-0000-0000A60D0000}"/>
    <cellStyle name="Normal 11 2 2 2 2 3 2 3 2" xfId="3503" xr:uid="{00000000-0005-0000-0000-0000A70D0000}"/>
    <cellStyle name="Normal 11 2 2 2 2 3 2 3 3" xfId="3504" xr:uid="{00000000-0005-0000-0000-0000A80D0000}"/>
    <cellStyle name="Normal 11 2 2 2 2 3 2 4" xfId="3505" xr:uid="{00000000-0005-0000-0000-0000A90D0000}"/>
    <cellStyle name="Normal 11 2 2 2 2 3 2 4 2" xfId="3506" xr:uid="{00000000-0005-0000-0000-0000AA0D0000}"/>
    <cellStyle name="Normal 11 2 2 2 2 3 2 4 3" xfId="3507" xr:uid="{00000000-0005-0000-0000-0000AB0D0000}"/>
    <cellStyle name="Normal 11 2 2 2 2 3 2 5" xfId="3508" xr:uid="{00000000-0005-0000-0000-0000AC0D0000}"/>
    <cellStyle name="Normal 11 2 2 2 2 3 2 5 2" xfId="3509" xr:uid="{00000000-0005-0000-0000-0000AD0D0000}"/>
    <cellStyle name="Normal 11 2 2 2 2 3 2 5 3" xfId="3510" xr:uid="{00000000-0005-0000-0000-0000AE0D0000}"/>
    <cellStyle name="Normal 11 2 2 2 2 3 2 6" xfId="3511" xr:uid="{00000000-0005-0000-0000-0000AF0D0000}"/>
    <cellStyle name="Normal 11 2 2 2 2 3 2 6 2" xfId="3512" xr:uid="{00000000-0005-0000-0000-0000B00D0000}"/>
    <cellStyle name="Normal 11 2 2 2 2 3 2 6 3" xfId="3513" xr:uid="{00000000-0005-0000-0000-0000B10D0000}"/>
    <cellStyle name="Normal 11 2 2 2 2 3 2 7" xfId="3514" xr:uid="{00000000-0005-0000-0000-0000B20D0000}"/>
    <cellStyle name="Normal 11 2 2 2 2 3 2 7 2" xfId="3515" xr:uid="{00000000-0005-0000-0000-0000B30D0000}"/>
    <cellStyle name="Normal 11 2 2 2 2 3 2 7 3" xfId="3516" xr:uid="{00000000-0005-0000-0000-0000B40D0000}"/>
    <cellStyle name="Normal 11 2 2 2 2 3 2 8" xfId="3517" xr:uid="{00000000-0005-0000-0000-0000B50D0000}"/>
    <cellStyle name="Normal 11 2 2 2 2 3 2 9" xfId="3518" xr:uid="{00000000-0005-0000-0000-0000B60D0000}"/>
    <cellStyle name="Normal 11 2 2 2 2 3 3" xfId="3519" xr:uid="{00000000-0005-0000-0000-0000B70D0000}"/>
    <cellStyle name="Normal 11 2 2 2 2 3 3 2" xfId="3520" xr:uid="{00000000-0005-0000-0000-0000B80D0000}"/>
    <cellStyle name="Normal 11 2 2 2 2 3 3 3" xfId="3521" xr:uid="{00000000-0005-0000-0000-0000B90D0000}"/>
    <cellStyle name="Normal 11 2 2 2 2 3 4" xfId="3522" xr:uid="{00000000-0005-0000-0000-0000BA0D0000}"/>
    <cellStyle name="Normal 11 2 2 2 2 3 4 2" xfId="3523" xr:uid="{00000000-0005-0000-0000-0000BB0D0000}"/>
    <cellStyle name="Normal 11 2 2 2 2 3 4 3" xfId="3524" xr:uid="{00000000-0005-0000-0000-0000BC0D0000}"/>
    <cellStyle name="Normal 11 2 2 2 2 3 5" xfId="3525" xr:uid="{00000000-0005-0000-0000-0000BD0D0000}"/>
    <cellStyle name="Normal 11 2 2 2 2 3 5 2" xfId="3526" xr:uid="{00000000-0005-0000-0000-0000BE0D0000}"/>
    <cellStyle name="Normal 11 2 2 2 2 3 5 3" xfId="3527" xr:uid="{00000000-0005-0000-0000-0000BF0D0000}"/>
    <cellStyle name="Normal 11 2 2 2 2 3 6" xfId="3528" xr:uid="{00000000-0005-0000-0000-0000C00D0000}"/>
    <cellStyle name="Normal 11 2 2 2 2 3 6 2" xfId="3529" xr:uid="{00000000-0005-0000-0000-0000C10D0000}"/>
    <cellStyle name="Normal 11 2 2 2 2 3 6 3" xfId="3530" xr:uid="{00000000-0005-0000-0000-0000C20D0000}"/>
    <cellStyle name="Normal 11 2 2 2 2 3 7" xfId="3531" xr:uid="{00000000-0005-0000-0000-0000C30D0000}"/>
    <cellStyle name="Normal 11 2 2 2 2 3 7 2" xfId="3532" xr:uid="{00000000-0005-0000-0000-0000C40D0000}"/>
    <cellStyle name="Normal 11 2 2 2 2 3 7 3" xfId="3533" xr:uid="{00000000-0005-0000-0000-0000C50D0000}"/>
    <cellStyle name="Normal 11 2 2 2 2 3 8" xfId="3534" xr:uid="{00000000-0005-0000-0000-0000C60D0000}"/>
    <cellStyle name="Normal 11 2 2 2 2 3 8 2" xfId="3535" xr:uid="{00000000-0005-0000-0000-0000C70D0000}"/>
    <cellStyle name="Normal 11 2 2 2 2 3 8 3" xfId="3536" xr:uid="{00000000-0005-0000-0000-0000C80D0000}"/>
    <cellStyle name="Normal 11 2 2 2 2 3 9" xfId="3537" xr:uid="{00000000-0005-0000-0000-0000C90D0000}"/>
    <cellStyle name="Normal 11 2 2 2 2 4" xfId="3538" xr:uid="{00000000-0005-0000-0000-0000CA0D0000}"/>
    <cellStyle name="Normal 11 2 2 2 2 4 2" xfId="3539" xr:uid="{00000000-0005-0000-0000-0000CB0D0000}"/>
    <cellStyle name="Normal 11 2 2 2 2 4 2 2" xfId="3540" xr:uid="{00000000-0005-0000-0000-0000CC0D0000}"/>
    <cellStyle name="Normal 11 2 2 2 2 4 2 3" xfId="3541" xr:uid="{00000000-0005-0000-0000-0000CD0D0000}"/>
    <cellStyle name="Normal 11 2 2 2 2 4 3" xfId="3542" xr:uid="{00000000-0005-0000-0000-0000CE0D0000}"/>
    <cellStyle name="Normal 11 2 2 2 2 4 3 2" xfId="3543" xr:uid="{00000000-0005-0000-0000-0000CF0D0000}"/>
    <cellStyle name="Normal 11 2 2 2 2 4 3 3" xfId="3544" xr:uid="{00000000-0005-0000-0000-0000D00D0000}"/>
    <cellStyle name="Normal 11 2 2 2 2 4 4" xfId="3545" xr:uid="{00000000-0005-0000-0000-0000D10D0000}"/>
    <cellStyle name="Normal 11 2 2 2 2 4 4 2" xfId="3546" xr:uid="{00000000-0005-0000-0000-0000D20D0000}"/>
    <cellStyle name="Normal 11 2 2 2 2 4 4 3" xfId="3547" xr:uid="{00000000-0005-0000-0000-0000D30D0000}"/>
    <cellStyle name="Normal 11 2 2 2 2 4 5" xfId="3548" xr:uid="{00000000-0005-0000-0000-0000D40D0000}"/>
    <cellStyle name="Normal 11 2 2 2 2 4 5 2" xfId="3549" xr:uid="{00000000-0005-0000-0000-0000D50D0000}"/>
    <cellStyle name="Normal 11 2 2 2 2 4 5 3" xfId="3550" xr:uid="{00000000-0005-0000-0000-0000D60D0000}"/>
    <cellStyle name="Normal 11 2 2 2 2 4 6" xfId="3551" xr:uid="{00000000-0005-0000-0000-0000D70D0000}"/>
    <cellStyle name="Normal 11 2 2 2 2 4 6 2" xfId="3552" xr:uid="{00000000-0005-0000-0000-0000D80D0000}"/>
    <cellStyle name="Normal 11 2 2 2 2 4 6 3" xfId="3553" xr:uid="{00000000-0005-0000-0000-0000D90D0000}"/>
    <cellStyle name="Normal 11 2 2 2 2 4 7" xfId="3554" xr:uid="{00000000-0005-0000-0000-0000DA0D0000}"/>
    <cellStyle name="Normal 11 2 2 2 2 4 7 2" xfId="3555" xr:uid="{00000000-0005-0000-0000-0000DB0D0000}"/>
    <cellStyle name="Normal 11 2 2 2 2 4 7 3" xfId="3556" xr:uid="{00000000-0005-0000-0000-0000DC0D0000}"/>
    <cellStyle name="Normal 11 2 2 2 2 4 8" xfId="3557" xr:uid="{00000000-0005-0000-0000-0000DD0D0000}"/>
    <cellStyle name="Normal 11 2 2 2 2 4 9" xfId="3558" xr:uid="{00000000-0005-0000-0000-0000DE0D0000}"/>
    <cellStyle name="Normal 11 2 2 2 2 5" xfId="3559" xr:uid="{00000000-0005-0000-0000-0000DF0D0000}"/>
    <cellStyle name="Normal 11 2 2 2 2 5 2" xfId="3560" xr:uid="{00000000-0005-0000-0000-0000E00D0000}"/>
    <cellStyle name="Normal 11 2 2 2 2 5 3" xfId="3561" xr:uid="{00000000-0005-0000-0000-0000E10D0000}"/>
    <cellStyle name="Normal 11 2 2 2 2 6" xfId="3562" xr:uid="{00000000-0005-0000-0000-0000E20D0000}"/>
    <cellStyle name="Normal 11 2 2 2 2 6 2" xfId="3563" xr:uid="{00000000-0005-0000-0000-0000E30D0000}"/>
    <cellStyle name="Normal 11 2 2 2 2 6 3" xfId="3564" xr:uid="{00000000-0005-0000-0000-0000E40D0000}"/>
    <cellStyle name="Normal 11 2 2 2 2 7" xfId="3565" xr:uid="{00000000-0005-0000-0000-0000E50D0000}"/>
    <cellStyle name="Normal 11 2 2 2 2 7 2" xfId="3566" xr:uid="{00000000-0005-0000-0000-0000E60D0000}"/>
    <cellStyle name="Normal 11 2 2 2 2 7 3" xfId="3567" xr:uid="{00000000-0005-0000-0000-0000E70D0000}"/>
    <cellStyle name="Normal 11 2 2 2 2 8" xfId="3568" xr:uid="{00000000-0005-0000-0000-0000E80D0000}"/>
    <cellStyle name="Normal 11 2 2 2 2 8 2" xfId="3569" xr:uid="{00000000-0005-0000-0000-0000E90D0000}"/>
    <cellStyle name="Normal 11 2 2 2 2 8 3" xfId="3570" xr:uid="{00000000-0005-0000-0000-0000EA0D0000}"/>
    <cellStyle name="Normal 11 2 2 2 2 9" xfId="3571" xr:uid="{00000000-0005-0000-0000-0000EB0D0000}"/>
    <cellStyle name="Normal 11 2 2 2 2 9 2" xfId="3572" xr:uid="{00000000-0005-0000-0000-0000EC0D0000}"/>
    <cellStyle name="Normal 11 2 2 2 2 9 3" xfId="3573" xr:uid="{00000000-0005-0000-0000-0000ED0D0000}"/>
    <cellStyle name="Normal 11 2 2 2 3" xfId="3574" xr:uid="{00000000-0005-0000-0000-0000EE0D0000}"/>
    <cellStyle name="Normal 11 2 2 2 3 10" xfId="3575" xr:uid="{00000000-0005-0000-0000-0000EF0D0000}"/>
    <cellStyle name="Normal 11 2 2 2 3 2" xfId="3576" xr:uid="{00000000-0005-0000-0000-0000F00D0000}"/>
    <cellStyle name="Normal 11 2 2 2 3 2 2" xfId="3577" xr:uid="{00000000-0005-0000-0000-0000F10D0000}"/>
    <cellStyle name="Normal 11 2 2 2 3 2 2 2" xfId="3578" xr:uid="{00000000-0005-0000-0000-0000F20D0000}"/>
    <cellStyle name="Normal 11 2 2 2 3 2 2 3" xfId="3579" xr:uid="{00000000-0005-0000-0000-0000F30D0000}"/>
    <cellStyle name="Normal 11 2 2 2 3 2 3" xfId="3580" xr:uid="{00000000-0005-0000-0000-0000F40D0000}"/>
    <cellStyle name="Normal 11 2 2 2 3 2 3 2" xfId="3581" xr:uid="{00000000-0005-0000-0000-0000F50D0000}"/>
    <cellStyle name="Normal 11 2 2 2 3 2 3 3" xfId="3582" xr:uid="{00000000-0005-0000-0000-0000F60D0000}"/>
    <cellStyle name="Normal 11 2 2 2 3 2 4" xfId="3583" xr:uid="{00000000-0005-0000-0000-0000F70D0000}"/>
    <cellStyle name="Normal 11 2 2 2 3 2 4 2" xfId="3584" xr:uid="{00000000-0005-0000-0000-0000F80D0000}"/>
    <cellStyle name="Normal 11 2 2 2 3 2 4 3" xfId="3585" xr:uid="{00000000-0005-0000-0000-0000F90D0000}"/>
    <cellStyle name="Normal 11 2 2 2 3 2 5" xfId="3586" xr:uid="{00000000-0005-0000-0000-0000FA0D0000}"/>
    <cellStyle name="Normal 11 2 2 2 3 2 5 2" xfId="3587" xr:uid="{00000000-0005-0000-0000-0000FB0D0000}"/>
    <cellStyle name="Normal 11 2 2 2 3 2 5 3" xfId="3588" xr:uid="{00000000-0005-0000-0000-0000FC0D0000}"/>
    <cellStyle name="Normal 11 2 2 2 3 2 6" xfId="3589" xr:uid="{00000000-0005-0000-0000-0000FD0D0000}"/>
    <cellStyle name="Normal 11 2 2 2 3 2 6 2" xfId="3590" xr:uid="{00000000-0005-0000-0000-0000FE0D0000}"/>
    <cellStyle name="Normal 11 2 2 2 3 2 6 3" xfId="3591" xr:uid="{00000000-0005-0000-0000-0000FF0D0000}"/>
    <cellStyle name="Normal 11 2 2 2 3 2 7" xfId="3592" xr:uid="{00000000-0005-0000-0000-0000000E0000}"/>
    <cellStyle name="Normal 11 2 2 2 3 2 7 2" xfId="3593" xr:uid="{00000000-0005-0000-0000-0000010E0000}"/>
    <cellStyle name="Normal 11 2 2 2 3 2 7 3" xfId="3594" xr:uid="{00000000-0005-0000-0000-0000020E0000}"/>
    <cellStyle name="Normal 11 2 2 2 3 2 8" xfId="3595" xr:uid="{00000000-0005-0000-0000-0000030E0000}"/>
    <cellStyle name="Normal 11 2 2 2 3 2 9" xfId="3596" xr:uid="{00000000-0005-0000-0000-0000040E0000}"/>
    <cellStyle name="Normal 11 2 2 2 3 3" xfId="3597" xr:uid="{00000000-0005-0000-0000-0000050E0000}"/>
    <cellStyle name="Normal 11 2 2 2 3 3 2" xfId="3598" xr:uid="{00000000-0005-0000-0000-0000060E0000}"/>
    <cellStyle name="Normal 11 2 2 2 3 3 3" xfId="3599" xr:uid="{00000000-0005-0000-0000-0000070E0000}"/>
    <cellStyle name="Normal 11 2 2 2 3 4" xfId="3600" xr:uid="{00000000-0005-0000-0000-0000080E0000}"/>
    <cellStyle name="Normal 11 2 2 2 3 4 2" xfId="3601" xr:uid="{00000000-0005-0000-0000-0000090E0000}"/>
    <cellStyle name="Normal 11 2 2 2 3 4 3" xfId="3602" xr:uid="{00000000-0005-0000-0000-00000A0E0000}"/>
    <cellStyle name="Normal 11 2 2 2 3 5" xfId="3603" xr:uid="{00000000-0005-0000-0000-00000B0E0000}"/>
    <cellStyle name="Normal 11 2 2 2 3 5 2" xfId="3604" xr:uid="{00000000-0005-0000-0000-00000C0E0000}"/>
    <cellStyle name="Normal 11 2 2 2 3 5 3" xfId="3605" xr:uid="{00000000-0005-0000-0000-00000D0E0000}"/>
    <cellStyle name="Normal 11 2 2 2 3 6" xfId="3606" xr:uid="{00000000-0005-0000-0000-00000E0E0000}"/>
    <cellStyle name="Normal 11 2 2 2 3 6 2" xfId="3607" xr:uid="{00000000-0005-0000-0000-00000F0E0000}"/>
    <cellStyle name="Normal 11 2 2 2 3 6 3" xfId="3608" xr:uid="{00000000-0005-0000-0000-0000100E0000}"/>
    <cellStyle name="Normal 11 2 2 2 3 7" xfId="3609" xr:uid="{00000000-0005-0000-0000-0000110E0000}"/>
    <cellStyle name="Normal 11 2 2 2 3 7 2" xfId="3610" xr:uid="{00000000-0005-0000-0000-0000120E0000}"/>
    <cellStyle name="Normal 11 2 2 2 3 7 3" xfId="3611" xr:uid="{00000000-0005-0000-0000-0000130E0000}"/>
    <cellStyle name="Normal 11 2 2 2 3 8" xfId="3612" xr:uid="{00000000-0005-0000-0000-0000140E0000}"/>
    <cellStyle name="Normal 11 2 2 2 3 8 2" xfId="3613" xr:uid="{00000000-0005-0000-0000-0000150E0000}"/>
    <cellStyle name="Normal 11 2 2 2 3 8 3" xfId="3614" xr:uid="{00000000-0005-0000-0000-0000160E0000}"/>
    <cellStyle name="Normal 11 2 2 2 3 9" xfId="3615" xr:uid="{00000000-0005-0000-0000-0000170E0000}"/>
    <cellStyle name="Normal 11 2 2 2 4" xfId="3616" xr:uid="{00000000-0005-0000-0000-0000180E0000}"/>
    <cellStyle name="Normal 11 2 2 2 4 10" xfId="3617" xr:uid="{00000000-0005-0000-0000-0000190E0000}"/>
    <cellStyle name="Normal 11 2 2 2 4 2" xfId="3618" xr:uid="{00000000-0005-0000-0000-00001A0E0000}"/>
    <cellStyle name="Normal 11 2 2 2 4 2 2" xfId="3619" xr:uid="{00000000-0005-0000-0000-00001B0E0000}"/>
    <cellStyle name="Normal 11 2 2 2 4 2 2 2" xfId="3620" xr:uid="{00000000-0005-0000-0000-00001C0E0000}"/>
    <cellStyle name="Normal 11 2 2 2 4 2 2 3" xfId="3621" xr:uid="{00000000-0005-0000-0000-00001D0E0000}"/>
    <cellStyle name="Normal 11 2 2 2 4 2 3" xfId="3622" xr:uid="{00000000-0005-0000-0000-00001E0E0000}"/>
    <cellStyle name="Normal 11 2 2 2 4 2 3 2" xfId="3623" xr:uid="{00000000-0005-0000-0000-00001F0E0000}"/>
    <cellStyle name="Normal 11 2 2 2 4 2 3 3" xfId="3624" xr:uid="{00000000-0005-0000-0000-0000200E0000}"/>
    <cellStyle name="Normal 11 2 2 2 4 2 4" xfId="3625" xr:uid="{00000000-0005-0000-0000-0000210E0000}"/>
    <cellStyle name="Normal 11 2 2 2 4 2 4 2" xfId="3626" xr:uid="{00000000-0005-0000-0000-0000220E0000}"/>
    <cellStyle name="Normal 11 2 2 2 4 2 4 3" xfId="3627" xr:uid="{00000000-0005-0000-0000-0000230E0000}"/>
    <cellStyle name="Normal 11 2 2 2 4 2 5" xfId="3628" xr:uid="{00000000-0005-0000-0000-0000240E0000}"/>
    <cellStyle name="Normal 11 2 2 2 4 2 5 2" xfId="3629" xr:uid="{00000000-0005-0000-0000-0000250E0000}"/>
    <cellStyle name="Normal 11 2 2 2 4 2 5 3" xfId="3630" xr:uid="{00000000-0005-0000-0000-0000260E0000}"/>
    <cellStyle name="Normal 11 2 2 2 4 2 6" xfId="3631" xr:uid="{00000000-0005-0000-0000-0000270E0000}"/>
    <cellStyle name="Normal 11 2 2 2 4 2 6 2" xfId="3632" xr:uid="{00000000-0005-0000-0000-0000280E0000}"/>
    <cellStyle name="Normal 11 2 2 2 4 2 6 3" xfId="3633" xr:uid="{00000000-0005-0000-0000-0000290E0000}"/>
    <cellStyle name="Normal 11 2 2 2 4 2 7" xfId="3634" xr:uid="{00000000-0005-0000-0000-00002A0E0000}"/>
    <cellStyle name="Normal 11 2 2 2 4 2 7 2" xfId="3635" xr:uid="{00000000-0005-0000-0000-00002B0E0000}"/>
    <cellStyle name="Normal 11 2 2 2 4 2 7 3" xfId="3636" xr:uid="{00000000-0005-0000-0000-00002C0E0000}"/>
    <cellStyle name="Normal 11 2 2 2 4 2 8" xfId="3637" xr:uid="{00000000-0005-0000-0000-00002D0E0000}"/>
    <cellStyle name="Normal 11 2 2 2 4 2 9" xfId="3638" xr:uid="{00000000-0005-0000-0000-00002E0E0000}"/>
    <cellStyle name="Normal 11 2 2 2 4 3" xfId="3639" xr:uid="{00000000-0005-0000-0000-00002F0E0000}"/>
    <cellStyle name="Normal 11 2 2 2 4 3 2" xfId="3640" xr:uid="{00000000-0005-0000-0000-0000300E0000}"/>
    <cellStyle name="Normal 11 2 2 2 4 3 3" xfId="3641" xr:uid="{00000000-0005-0000-0000-0000310E0000}"/>
    <cellStyle name="Normal 11 2 2 2 4 4" xfId="3642" xr:uid="{00000000-0005-0000-0000-0000320E0000}"/>
    <cellStyle name="Normal 11 2 2 2 4 4 2" xfId="3643" xr:uid="{00000000-0005-0000-0000-0000330E0000}"/>
    <cellStyle name="Normal 11 2 2 2 4 4 3" xfId="3644" xr:uid="{00000000-0005-0000-0000-0000340E0000}"/>
    <cellStyle name="Normal 11 2 2 2 4 5" xfId="3645" xr:uid="{00000000-0005-0000-0000-0000350E0000}"/>
    <cellStyle name="Normal 11 2 2 2 4 5 2" xfId="3646" xr:uid="{00000000-0005-0000-0000-0000360E0000}"/>
    <cellStyle name="Normal 11 2 2 2 4 5 3" xfId="3647" xr:uid="{00000000-0005-0000-0000-0000370E0000}"/>
    <cellStyle name="Normal 11 2 2 2 4 6" xfId="3648" xr:uid="{00000000-0005-0000-0000-0000380E0000}"/>
    <cellStyle name="Normal 11 2 2 2 4 6 2" xfId="3649" xr:uid="{00000000-0005-0000-0000-0000390E0000}"/>
    <cellStyle name="Normal 11 2 2 2 4 6 3" xfId="3650" xr:uid="{00000000-0005-0000-0000-00003A0E0000}"/>
    <cellStyle name="Normal 11 2 2 2 4 7" xfId="3651" xr:uid="{00000000-0005-0000-0000-00003B0E0000}"/>
    <cellStyle name="Normal 11 2 2 2 4 7 2" xfId="3652" xr:uid="{00000000-0005-0000-0000-00003C0E0000}"/>
    <cellStyle name="Normal 11 2 2 2 4 7 3" xfId="3653" xr:uid="{00000000-0005-0000-0000-00003D0E0000}"/>
    <cellStyle name="Normal 11 2 2 2 4 8" xfId="3654" xr:uid="{00000000-0005-0000-0000-00003E0E0000}"/>
    <cellStyle name="Normal 11 2 2 2 4 8 2" xfId="3655" xr:uid="{00000000-0005-0000-0000-00003F0E0000}"/>
    <cellStyle name="Normal 11 2 2 2 4 8 3" xfId="3656" xr:uid="{00000000-0005-0000-0000-0000400E0000}"/>
    <cellStyle name="Normal 11 2 2 2 4 9" xfId="3657" xr:uid="{00000000-0005-0000-0000-0000410E0000}"/>
    <cellStyle name="Normal 11 2 2 2 5" xfId="3658" xr:uid="{00000000-0005-0000-0000-0000420E0000}"/>
    <cellStyle name="Normal 11 2 2 2 5 2" xfId="3659" xr:uid="{00000000-0005-0000-0000-0000430E0000}"/>
    <cellStyle name="Normal 11 2 2 2 5 2 2" xfId="3660" xr:uid="{00000000-0005-0000-0000-0000440E0000}"/>
    <cellStyle name="Normal 11 2 2 2 5 2 3" xfId="3661" xr:uid="{00000000-0005-0000-0000-0000450E0000}"/>
    <cellStyle name="Normal 11 2 2 2 5 3" xfId="3662" xr:uid="{00000000-0005-0000-0000-0000460E0000}"/>
    <cellStyle name="Normal 11 2 2 2 5 3 2" xfId="3663" xr:uid="{00000000-0005-0000-0000-0000470E0000}"/>
    <cellStyle name="Normal 11 2 2 2 5 3 3" xfId="3664" xr:uid="{00000000-0005-0000-0000-0000480E0000}"/>
    <cellStyle name="Normal 11 2 2 2 5 4" xfId="3665" xr:uid="{00000000-0005-0000-0000-0000490E0000}"/>
    <cellStyle name="Normal 11 2 2 2 5 4 2" xfId="3666" xr:uid="{00000000-0005-0000-0000-00004A0E0000}"/>
    <cellStyle name="Normal 11 2 2 2 5 4 3" xfId="3667" xr:uid="{00000000-0005-0000-0000-00004B0E0000}"/>
    <cellStyle name="Normal 11 2 2 2 5 5" xfId="3668" xr:uid="{00000000-0005-0000-0000-00004C0E0000}"/>
    <cellStyle name="Normal 11 2 2 2 5 5 2" xfId="3669" xr:uid="{00000000-0005-0000-0000-00004D0E0000}"/>
    <cellStyle name="Normal 11 2 2 2 5 5 3" xfId="3670" xr:uid="{00000000-0005-0000-0000-00004E0E0000}"/>
    <cellStyle name="Normal 11 2 2 2 5 6" xfId="3671" xr:uid="{00000000-0005-0000-0000-00004F0E0000}"/>
    <cellStyle name="Normal 11 2 2 2 5 6 2" xfId="3672" xr:uid="{00000000-0005-0000-0000-0000500E0000}"/>
    <cellStyle name="Normal 11 2 2 2 5 6 3" xfId="3673" xr:uid="{00000000-0005-0000-0000-0000510E0000}"/>
    <cellStyle name="Normal 11 2 2 2 5 7" xfId="3674" xr:uid="{00000000-0005-0000-0000-0000520E0000}"/>
    <cellStyle name="Normal 11 2 2 2 5 7 2" xfId="3675" xr:uid="{00000000-0005-0000-0000-0000530E0000}"/>
    <cellStyle name="Normal 11 2 2 2 5 7 3" xfId="3676" xr:uid="{00000000-0005-0000-0000-0000540E0000}"/>
    <cellStyle name="Normal 11 2 2 2 5 8" xfId="3677" xr:uid="{00000000-0005-0000-0000-0000550E0000}"/>
    <cellStyle name="Normal 11 2 2 2 5 9" xfId="3678" xr:uid="{00000000-0005-0000-0000-0000560E0000}"/>
    <cellStyle name="Normal 11 2 2 2 6" xfId="3679" xr:uid="{00000000-0005-0000-0000-0000570E0000}"/>
    <cellStyle name="Normal 11 2 2 2 6 2" xfId="3680" xr:uid="{00000000-0005-0000-0000-0000580E0000}"/>
    <cellStyle name="Normal 11 2 2 2 6 3" xfId="3681" xr:uid="{00000000-0005-0000-0000-0000590E0000}"/>
    <cellStyle name="Normal 11 2 2 2 7" xfId="3682" xr:uid="{00000000-0005-0000-0000-00005A0E0000}"/>
    <cellStyle name="Normal 11 2 2 2 7 2" xfId="3683" xr:uid="{00000000-0005-0000-0000-00005B0E0000}"/>
    <cellStyle name="Normal 11 2 2 2 7 3" xfId="3684" xr:uid="{00000000-0005-0000-0000-00005C0E0000}"/>
    <cellStyle name="Normal 11 2 2 2 8" xfId="3685" xr:uid="{00000000-0005-0000-0000-00005D0E0000}"/>
    <cellStyle name="Normal 11 2 2 2 8 2" xfId="3686" xr:uid="{00000000-0005-0000-0000-00005E0E0000}"/>
    <cellStyle name="Normal 11 2 2 2 8 3" xfId="3687" xr:uid="{00000000-0005-0000-0000-00005F0E0000}"/>
    <cellStyle name="Normal 11 2 2 2 9" xfId="3688" xr:uid="{00000000-0005-0000-0000-0000600E0000}"/>
    <cellStyle name="Normal 11 2 2 2 9 2" xfId="3689" xr:uid="{00000000-0005-0000-0000-0000610E0000}"/>
    <cellStyle name="Normal 11 2 2 2 9 3" xfId="3690" xr:uid="{00000000-0005-0000-0000-0000620E0000}"/>
    <cellStyle name="Normal 11 2 2 3" xfId="3691" xr:uid="{00000000-0005-0000-0000-0000630E0000}"/>
    <cellStyle name="Normal 11 2 2 3 10" xfId="3692" xr:uid="{00000000-0005-0000-0000-0000640E0000}"/>
    <cellStyle name="Normal 11 2 2 3 10 2" xfId="3693" xr:uid="{00000000-0005-0000-0000-0000650E0000}"/>
    <cellStyle name="Normal 11 2 2 3 10 3" xfId="3694" xr:uid="{00000000-0005-0000-0000-0000660E0000}"/>
    <cellStyle name="Normal 11 2 2 3 11" xfId="3695" xr:uid="{00000000-0005-0000-0000-0000670E0000}"/>
    <cellStyle name="Normal 11 2 2 3 12" xfId="3696" xr:uid="{00000000-0005-0000-0000-0000680E0000}"/>
    <cellStyle name="Normal 11 2 2 3 2" xfId="3697" xr:uid="{00000000-0005-0000-0000-0000690E0000}"/>
    <cellStyle name="Normal 11 2 2 3 2 10" xfId="3698" xr:uid="{00000000-0005-0000-0000-00006A0E0000}"/>
    <cellStyle name="Normal 11 2 2 3 2 2" xfId="3699" xr:uid="{00000000-0005-0000-0000-00006B0E0000}"/>
    <cellStyle name="Normal 11 2 2 3 2 2 2" xfId="3700" xr:uid="{00000000-0005-0000-0000-00006C0E0000}"/>
    <cellStyle name="Normal 11 2 2 3 2 2 2 2" xfId="3701" xr:uid="{00000000-0005-0000-0000-00006D0E0000}"/>
    <cellStyle name="Normal 11 2 2 3 2 2 2 3" xfId="3702" xr:uid="{00000000-0005-0000-0000-00006E0E0000}"/>
    <cellStyle name="Normal 11 2 2 3 2 2 3" xfId="3703" xr:uid="{00000000-0005-0000-0000-00006F0E0000}"/>
    <cellStyle name="Normal 11 2 2 3 2 2 3 2" xfId="3704" xr:uid="{00000000-0005-0000-0000-0000700E0000}"/>
    <cellStyle name="Normal 11 2 2 3 2 2 3 3" xfId="3705" xr:uid="{00000000-0005-0000-0000-0000710E0000}"/>
    <cellStyle name="Normal 11 2 2 3 2 2 4" xfId="3706" xr:uid="{00000000-0005-0000-0000-0000720E0000}"/>
    <cellStyle name="Normal 11 2 2 3 2 2 4 2" xfId="3707" xr:uid="{00000000-0005-0000-0000-0000730E0000}"/>
    <cellStyle name="Normal 11 2 2 3 2 2 4 3" xfId="3708" xr:uid="{00000000-0005-0000-0000-0000740E0000}"/>
    <cellStyle name="Normal 11 2 2 3 2 2 5" xfId="3709" xr:uid="{00000000-0005-0000-0000-0000750E0000}"/>
    <cellStyle name="Normal 11 2 2 3 2 2 5 2" xfId="3710" xr:uid="{00000000-0005-0000-0000-0000760E0000}"/>
    <cellStyle name="Normal 11 2 2 3 2 2 5 3" xfId="3711" xr:uid="{00000000-0005-0000-0000-0000770E0000}"/>
    <cellStyle name="Normal 11 2 2 3 2 2 6" xfId="3712" xr:uid="{00000000-0005-0000-0000-0000780E0000}"/>
    <cellStyle name="Normal 11 2 2 3 2 2 6 2" xfId="3713" xr:uid="{00000000-0005-0000-0000-0000790E0000}"/>
    <cellStyle name="Normal 11 2 2 3 2 2 6 3" xfId="3714" xr:uid="{00000000-0005-0000-0000-00007A0E0000}"/>
    <cellStyle name="Normal 11 2 2 3 2 2 7" xfId="3715" xr:uid="{00000000-0005-0000-0000-00007B0E0000}"/>
    <cellStyle name="Normal 11 2 2 3 2 2 7 2" xfId="3716" xr:uid="{00000000-0005-0000-0000-00007C0E0000}"/>
    <cellStyle name="Normal 11 2 2 3 2 2 7 3" xfId="3717" xr:uid="{00000000-0005-0000-0000-00007D0E0000}"/>
    <cellStyle name="Normal 11 2 2 3 2 2 8" xfId="3718" xr:uid="{00000000-0005-0000-0000-00007E0E0000}"/>
    <cellStyle name="Normal 11 2 2 3 2 2 9" xfId="3719" xr:uid="{00000000-0005-0000-0000-00007F0E0000}"/>
    <cellStyle name="Normal 11 2 2 3 2 3" xfId="3720" xr:uid="{00000000-0005-0000-0000-0000800E0000}"/>
    <cellStyle name="Normal 11 2 2 3 2 3 2" xfId="3721" xr:uid="{00000000-0005-0000-0000-0000810E0000}"/>
    <cellStyle name="Normal 11 2 2 3 2 3 3" xfId="3722" xr:uid="{00000000-0005-0000-0000-0000820E0000}"/>
    <cellStyle name="Normal 11 2 2 3 2 4" xfId="3723" xr:uid="{00000000-0005-0000-0000-0000830E0000}"/>
    <cellStyle name="Normal 11 2 2 3 2 4 2" xfId="3724" xr:uid="{00000000-0005-0000-0000-0000840E0000}"/>
    <cellStyle name="Normal 11 2 2 3 2 4 3" xfId="3725" xr:uid="{00000000-0005-0000-0000-0000850E0000}"/>
    <cellStyle name="Normal 11 2 2 3 2 5" xfId="3726" xr:uid="{00000000-0005-0000-0000-0000860E0000}"/>
    <cellStyle name="Normal 11 2 2 3 2 5 2" xfId="3727" xr:uid="{00000000-0005-0000-0000-0000870E0000}"/>
    <cellStyle name="Normal 11 2 2 3 2 5 3" xfId="3728" xr:uid="{00000000-0005-0000-0000-0000880E0000}"/>
    <cellStyle name="Normal 11 2 2 3 2 6" xfId="3729" xr:uid="{00000000-0005-0000-0000-0000890E0000}"/>
    <cellStyle name="Normal 11 2 2 3 2 6 2" xfId="3730" xr:uid="{00000000-0005-0000-0000-00008A0E0000}"/>
    <cellStyle name="Normal 11 2 2 3 2 6 3" xfId="3731" xr:uid="{00000000-0005-0000-0000-00008B0E0000}"/>
    <cellStyle name="Normal 11 2 2 3 2 7" xfId="3732" xr:uid="{00000000-0005-0000-0000-00008C0E0000}"/>
    <cellStyle name="Normal 11 2 2 3 2 7 2" xfId="3733" xr:uid="{00000000-0005-0000-0000-00008D0E0000}"/>
    <cellStyle name="Normal 11 2 2 3 2 7 3" xfId="3734" xr:uid="{00000000-0005-0000-0000-00008E0E0000}"/>
    <cellStyle name="Normal 11 2 2 3 2 8" xfId="3735" xr:uid="{00000000-0005-0000-0000-00008F0E0000}"/>
    <cellStyle name="Normal 11 2 2 3 2 8 2" xfId="3736" xr:uid="{00000000-0005-0000-0000-0000900E0000}"/>
    <cellStyle name="Normal 11 2 2 3 2 8 3" xfId="3737" xr:uid="{00000000-0005-0000-0000-0000910E0000}"/>
    <cellStyle name="Normal 11 2 2 3 2 9" xfId="3738" xr:uid="{00000000-0005-0000-0000-0000920E0000}"/>
    <cellStyle name="Normal 11 2 2 3 3" xfId="3739" xr:uid="{00000000-0005-0000-0000-0000930E0000}"/>
    <cellStyle name="Normal 11 2 2 3 3 10" xfId="3740" xr:uid="{00000000-0005-0000-0000-0000940E0000}"/>
    <cellStyle name="Normal 11 2 2 3 3 2" xfId="3741" xr:uid="{00000000-0005-0000-0000-0000950E0000}"/>
    <cellStyle name="Normal 11 2 2 3 3 2 2" xfId="3742" xr:uid="{00000000-0005-0000-0000-0000960E0000}"/>
    <cellStyle name="Normal 11 2 2 3 3 2 2 2" xfId="3743" xr:uid="{00000000-0005-0000-0000-0000970E0000}"/>
    <cellStyle name="Normal 11 2 2 3 3 2 2 3" xfId="3744" xr:uid="{00000000-0005-0000-0000-0000980E0000}"/>
    <cellStyle name="Normal 11 2 2 3 3 2 3" xfId="3745" xr:uid="{00000000-0005-0000-0000-0000990E0000}"/>
    <cellStyle name="Normal 11 2 2 3 3 2 3 2" xfId="3746" xr:uid="{00000000-0005-0000-0000-00009A0E0000}"/>
    <cellStyle name="Normal 11 2 2 3 3 2 3 3" xfId="3747" xr:uid="{00000000-0005-0000-0000-00009B0E0000}"/>
    <cellStyle name="Normal 11 2 2 3 3 2 4" xfId="3748" xr:uid="{00000000-0005-0000-0000-00009C0E0000}"/>
    <cellStyle name="Normal 11 2 2 3 3 2 4 2" xfId="3749" xr:uid="{00000000-0005-0000-0000-00009D0E0000}"/>
    <cellStyle name="Normal 11 2 2 3 3 2 4 3" xfId="3750" xr:uid="{00000000-0005-0000-0000-00009E0E0000}"/>
    <cellStyle name="Normal 11 2 2 3 3 2 5" xfId="3751" xr:uid="{00000000-0005-0000-0000-00009F0E0000}"/>
    <cellStyle name="Normal 11 2 2 3 3 2 5 2" xfId="3752" xr:uid="{00000000-0005-0000-0000-0000A00E0000}"/>
    <cellStyle name="Normal 11 2 2 3 3 2 5 3" xfId="3753" xr:uid="{00000000-0005-0000-0000-0000A10E0000}"/>
    <cellStyle name="Normal 11 2 2 3 3 2 6" xfId="3754" xr:uid="{00000000-0005-0000-0000-0000A20E0000}"/>
    <cellStyle name="Normal 11 2 2 3 3 2 6 2" xfId="3755" xr:uid="{00000000-0005-0000-0000-0000A30E0000}"/>
    <cellStyle name="Normal 11 2 2 3 3 2 6 3" xfId="3756" xr:uid="{00000000-0005-0000-0000-0000A40E0000}"/>
    <cellStyle name="Normal 11 2 2 3 3 2 7" xfId="3757" xr:uid="{00000000-0005-0000-0000-0000A50E0000}"/>
    <cellStyle name="Normal 11 2 2 3 3 2 7 2" xfId="3758" xr:uid="{00000000-0005-0000-0000-0000A60E0000}"/>
    <cellStyle name="Normal 11 2 2 3 3 2 7 3" xfId="3759" xr:uid="{00000000-0005-0000-0000-0000A70E0000}"/>
    <cellStyle name="Normal 11 2 2 3 3 2 8" xfId="3760" xr:uid="{00000000-0005-0000-0000-0000A80E0000}"/>
    <cellStyle name="Normal 11 2 2 3 3 2 9" xfId="3761" xr:uid="{00000000-0005-0000-0000-0000A90E0000}"/>
    <cellStyle name="Normal 11 2 2 3 3 3" xfId="3762" xr:uid="{00000000-0005-0000-0000-0000AA0E0000}"/>
    <cellStyle name="Normal 11 2 2 3 3 3 2" xfId="3763" xr:uid="{00000000-0005-0000-0000-0000AB0E0000}"/>
    <cellStyle name="Normal 11 2 2 3 3 3 3" xfId="3764" xr:uid="{00000000-0005-0000-0000-0000AC0E0000}"/>
    <cellStyle name="Normal 11 2 2 3 3 4" xfId="3765" xr:uid="{00000000-0005-0000-0000-0000AD0E0000}"/>
    <cellStyle name="Normal 11 2 2 3 3 4 2" xfId="3766" xr:uid="{00000000-0005-0000-0000-0000AE0E0000}"/>
    <cellStyle name="Normal 11 2 2 3 3 4 3" xfId="3767" xr:uid="{00000000-0005-0000-0000-0000AF0E0000}"/>
    <cellStyle name="Normal 11 2 2 3 3 5" xfId="3768" xr:uid="{00000000-0005-0000-0000-0000B00E0000}"/>
    <cellStyle name="Normal 11 2 2 3 3 5 2" xfId="3769" xr:uid="{00000000-0005-0000-0000-0000B10E0000}"/>
    <cellStyle name="Normal 11 2 2 3 3 5 3" xfId="3770" xr:uid="{00000000-0005-0000-0000-0000B20E0000}"/>
    <cellStyle name="Normal 11 2 2 3 3 6" xfId="3771" xr:uid="{00000000-0005-0000-0000-0000B30E0000}"/>
    <cellStyle name="Normal 11 2 2 3 3 6 2" xfId="3772" xr:uid="{00000000-0005-0000-0000-0000B40E0000}"/>
    <cellStyle name="Normal 11 2 2 3 3 6 3" xfId="3773" xr:uid="{00000000-0005-0000-0000-0000B50E0000}"/>
    <cellStyle name="Normal 11 2 2 3 3 7" xfId="3774" xr:uid="{00000000-0005-0000-0000-0000B60E0000}"/>
    <cellStyle name="Normal 11 2 2 3 3 7 2" xfId="3775" xr:uid="{00000000-0005-0000-0000-0000B70E0000}"/>
    <cellStyle name="Normal 11 2 2 3 3 7 3" xfId="3776" xr:uid="{00000000-0005-0000-0000-0000B80E0000}"/>
    <cellStyle name="Normal 11 2 2 3 3 8" xfId="3777" xr:uid="{00000000-0005-0000-0000-0000B90E0000}"/>
    <cellStyle name="Normal 11 2 2 3 3 8 2" xfId="3778" xr:uid="{00000000-0005-0000-0000-0000BA0E0000}"/>
    <cellStyle name="Normal 11 2 2 3 3 8 3" xfId="3779" xr:uid="{00000000-0005-0000-0000-0000BB0E0000}"/>
    <cellStyle name="Normal 11 2 2 3 3 9" xfId="3780" xr:uid="{00000000-0005-0000-0000-0000BC0E0000}"/>
    <cellStyle name="Normal 11 2 2 3 4" xfId="3781" xr:uid="{00000000-0005-0000-0000-0000BD0E0000}"/>
    <cellStyle name="Normal 11 2 2 3 4 2" xfId="3782" xr:uid="{00000000-0005-0000-0000-0000BE0E0000}"/>
    <cellStyle name="Normal 11 2 2 3 4 2 2" xfId="3783" xr:uid="{00000000-0005-0000-0000-0000BF0E0000}"/>
    <cellStyle name="Normal 11 2 2 3 4 2 3" xfId="3784" xr:uid="{00000000-0005-0000-0000-0000C00E0000}"/>
    <cellStyle name="Normal 11 2 2 3 4 3" xfId="3785" xr:uid="{00000000-0005-0000-0000-0000C10E0000}"/>
    <cellStyle name="Normal 11 2 2 3 4 3 2" xfId="3786" xr:uid="{00000000-0005-0000-0000-0000C20E0000}"/>
    <cellStyle name="Normal 11 2 2 3 4 3 3" xfId="3787" xr:uid="{00000000-0005-0000-0000-0000C30E0000}"/>
    <cellStyle name="Normal 11 2 2 3 4 4" xfId="3788" xr:uid="{00000000-0005-0000-0000-0000C40E0000}"/>
    <cellStyle name="Normal 11 2 2 3 4 4 2" xfId="3789" xr:uid="{00000000-0005-0000-0000-0000C50E0000}"/>
    <cellStyle name="Normal 11 2 2 3 4 4 3" xfId="3790" xr:uid="{00000000-0005-0000-0000-0000C60E0000}"/>
    <cellStyle name="Normal 11 2 2 3 4 5" xfId="3791" xr:uid="{00000000-0005-0000-0000-0000C70E0000}"/>
    <cellStyle name="Normal 11 2 2 3 4 5 2" xfId="3792" xr:uid="{00000000-0005-0000-0000-0000C80E0000}"/>
    <cellStyle name="Normal 11 2 2 3 4 5 3" xfId="3793" xr:uid="{00000000-0005-0000-0000-0000C90E0000}"/>
    <cellStyle name="Normal 11 2 2 3 4 6" xfId="3794" xr:uid="{00000000-0005-0000-0000-0000CA0E0000}"/>
    <cellStyle name="Normal 11 2 2 3 4 6 2" xfId="3795" xr:uid="{00000000-0005-0000-0000-0000CB0E0000}"/>
    <cellStyle name="Normal 11 2 2 3 4 6 3" xfId="3796" xr:uid="{00000000-0005-0000-0000-0000CC0E0000}"/>
    <cellStyle name="Normal 11 2 2 3 4 7" xfId="3797" xr:uid="{00000000-0005-0000-0000-0000CD0E0000}"/>
    <cellStyle name="Normal 11 2 2 3 4 7 2" xfId="3798" xr:uid="{00000000-0005-0000-0000-0000CE0E0000}"/>
    <cellStyle name="Normal 11 2 2 3 4 7 3" xfId="3799" xr:uid="{00000000-0005-0000-0000-0000CF0E0000}"/>
    <cellStyle name="Normal 11 2 2 3 4 8" xfId="3800" xr:uid="{00000000-0005-0000-0000-0000D00E0000}"/>
    <cellStyle name="Normal 11 2 2 3 4 9" xfId="3801" xr:uid="{00000000-0005-0000-0000-0000D10E0000}"/>
    <cellStyle name="Normal 11 2 2 3 5" xfId="3802" xr:uid="{00000000-0005-0000-0000-0000D20E0000}"/>
    <cellStyle name="Normal 11 2 2 3 5 2" xfId="3803" xr:uid="{00000000-0005-0000-0000-0000D30E0000}"/>
    <cellStyle name="Normal 11 2 2 3 5 3" xfId="3804" xr:uid="{00000000-0005-0000-0000-0000D40E0000}"/>
    <cellStyle name="Normal 11 2 2 3 6" xfId="3805" xr:uid="{00000000-0005-0000-0000-0000D50E0000}"/>
    <cellStyle name="Normal 11 2 2 3 6 2" xfId="3806" xr:uid="{00000000-0005-0000-0000-0000D60E0000}"/>
    <cellStyle name="Normal 11 2 2 3 6 3" xfId="3807" xr:uid="{00000000-0005-0000-0000-0000D70E0000}"/>
    <cellStyle name="Normal 11 2 2 3 7" xfId="3808" xr:uid="{00000000-0005-0000-0000-0000D80E0000}"/>
    <cellStyle name="Normal 11 2 2 3 7 2" xfId="3809" xr:uid="{00000000-0005-0000-0000-0000D90E0000}"/>
    <cellStyle name="Normal 11 2 2 3 7 3" xfId="3810" xr:uid="{00000000-0005-0000-0000-0000DA0E0000}"/>
    <cellStyle name="Normal 11 2 2 3 8" xfId="3811" xr:uid="{00000000-0005-0000-0000-0000DB0E0000}"/>
    <cellStyle name="Normal 11 2 2 3 8 2" xfId="3812" xr:uid="{00000000-0005-0000-0000-0000DC0E0000}"/>
    <cellStyle name="Normal 11 2 2 3 8 3" xfId="3813" xr:uid="{00000000-0005-0000-0000-0000DD0E0000}"/>
    <cellStyle name="Normal 11 2 2 3 9" xfId="3814" xr:uid="{00000000-0005-0000-0000-0000DE0E0000}"/>
    <cellStyle name="Normal 11 2 2 3 9 2" xfId="3815" xr:uid="{00000000-0005-0000-0000-0000DF0E0000}"/>
    <cellStyle name="Normal 11 2 2 3 9 3" xfId="3816" xr:uid="{00000000-0005-0000-0000-0000E00E0000}"/>
    <cellStyle name="Normal 11 2 2 4" xfId="3817" xr:uid="{00000000-0005-0000-0000-0000E10E0000}"/>
    <cellStyle name="Normal 11 2 2 4 10" xfId="3818" xr:uid="{00000000-0005-0000-0000-0000E20E0000}"/>
    <cellStyle name="Normal 11 2 2 4 2" xfId="3819" xr:uid="{00000000-0005-0000-0000-0000E30E0000}"/>
    <cellStyle name="Normal 11 2 2 4 2 2" xfId="3820" xr:uid="{00000000-0005-0000-0000-0000E40E0000}"/>
    <cellStyle name="Normal 11 2 2 4 2 2 2" xfId="3821" xr:uid="{00000000-0005-0000-0000-0000E50E0000}"/>
    <cellStyle name="Normal 11 2 2 4 2 2 3" xfId="3822" xr:uid="{00000000-0005-0000-0000-0000E60E0000}"/>
    <cellStyle name="Normal 11 2 2 4 2 3" xfId="3823" xr:uid="{00000000-0005-0000-0000-0000E70E0000}"/>
    <cellStyle name="Normal 11 2 2 4 2 3 2" xfId="3824" xr:uid="{00000000-0005-0000-0000-0000E80E0000}"/>
    <cellStyle name="Normal 11 2 2 4 2 3 3" xfId="3825" xr:uid="{00000000-0005-0000-0000-0000E90E0000}"/>
    <cellStyle name="Normal 11 2 2 4 2 4" xfId="3826" xr:uid="{00000000-0005-0000-0000-0000EA0E0000}"/>
    <cellStyle name="Normal 11 2 2 4 2 4 2" xfId="3827" xr:uid="{00000000-0005-0000-0000-0000EB0E0000}"/>
    <cellStyle name="Normal 11 2 2 4 2 4 3" xfId="3828" xr:uid="{00000000-0005-0000-0000-0000EC0E0000}"/>
    <cellStyle name="Normal 11 2 2 4 2 5" xfId="3829" xr:uid="{00000000-0005-0000-0000-0000ED0E0000}"/>
    <cellStyle name="Normal 11 2 2 4 2 5 2" xfId="3830" xr:uid="{00000000-0005-0000-0000-0000EE0E0000}"/>
    <cellStyle name="Normal 11 2 2 4 2 5 3" xfId="3831" xr:uid="{00000000-0005-0000-0000-0000EF0E0000}"/>
    <cellStyle name="Normal 11 2 2 4 2 6" xfId="3832" xr:uid="{00000000-0005-0000-0000-0000F00E0000}"/>
    <cellStyle name="Normal 11 2 2 4 2 6 2" xfId="3833" xr:uid="{00000000-0005-0000-0000-0000F10E0000}"/>
    <cellStyle name="Normal 11 2 2 4 2 6 3" xfId="3834" xr:uid="{00000000-0005-0000-0000-0000F20E0000}"/>
    <cellStyle name="Normal 11 2 2 4 2 7" xfId="3835" xr:uid="{00000000-0005-0000-0000-0000F30E0000}"/>
    <cellStyle name="Normal 11 2 2 4 2 7 2" xfId="3836" xr:uid="{00000000-0005-0000-0000-0000F40E0000}"/>
    <cellStyle name="Normal 11 2 2 4 2 7 3" xfId="3837" xr:uid="{00000000-0005-0000-0000-0000F50E0000}"/>
    <cellStyle name="Normal 11 2 2 4 2 8" xfId="3838" xr:uid="{00000000-0005-0000-0000-0000F60E0000}"/>
    <cellStyle name="Normal 11 2 2 4 2 9" xfId="3839" xr:uid="{00000000-0005-0000-0000-0000F70E0000}"/>
    <cellStyle name="Normal 11 2 2 4 3" xfId="3840" xr:uid="{00000000-0005-0000-0000-0000F80E0000}"/>
    <cellStyle name="Normal 11 2 2 4 3 2" xfId="3841" xr:uid="{00000000-0005-0000-0000-0000F90E0000}"/>
    <cellStyle name="Normal 11 2 2 4 3 3" xfId="3842" xr:uid="{00000000-0005-0000-0000-0000FA0E0000}"/>
    <cellStyle name="Normal 11 2 2 4 4" xfId="3843" xr:uid="{00000000-0005-0000-0000-0000FB0E0000}"/>
    <cellStyle name="Normal 11 2 2 4 4 2" xfId="3844" xr:uid="{00000000-0005-0000-0000-0000FC0E0000}"/>
    <cellStyle name="Normal 11 2 2 4 4 3" xfId="3845" xr:uid="{00000000-0005-0000-0000-0000FD0E0000}"/>
    <cellStyle name="Normal 11 2 2 4 5" xfId="3846" xr:uid="{00000000-0005-0000-0000-0000FE0E0000}"/>
    <cellStyle name="Normal 11 2 2 4 5 2" xfId="3847" xr:uid="{00000000-0005-0000-0000-0000FF0E0000}"/>
    <cellStyle name="Normal 11 2 2 4 5 3" xfId="3848" xr:uid="{00000000-0005-0000-0000-0000000F0000}"/>
    <cellStyle name="Normal 11 2 2 4 6" xfId="3849" xr:uid="{00000000-0005-0000-0000-0000010F0000}"/>
    <cellStyle name="Normal 11 2 2 4 6 2" xfId="3850" xr:uid="{00000000-0005-0000-0000-0000020F0000}"/>
    <cellStyle name="Normal 11 2 2 4 6 3" xfId="3851" xr:uid="{00000000-0005-0000-0000-0000030F0000}"/>
    <cellStyle name="Normal 11 2 2 4 7" xfId="3852" xr:uid="{00000000-0005-0000-0000-0000040F0000}"/>
    <cellStyle name="Normal 11 2 2 4 7 2" xfId="3853" xr:uid="{00000000-0005-0000-0000-0000050F0000}"/>
    <cellStyle name="Normal 11 2 2 4 7 3" xfId="3854" xr:uid="{00000000-0005-0000-0000-0000060F0000}"/>
    <cellStyle name="Normal 11 2 2 4 8" xfId="3855" xr:uid="{00000000-0005-0000-0000-0000070F0000}"/>
    <cellStyle name="Normal 11 2 2 4 8 2" xfId="3856" xr:uid="{00000000-0005-0000-0000-0000080F0000}"/>
    <cellStyle name="Normal 11 2 2 4 8 3" xfId="3857" xr:uid="{00000000-0005-0000-0000-0000090F0000}"/>
    <cellStyle name="Normal 11 2 2 4 9" xfId="3858" xr:uid="{00000000-0005-0000-0000-00000A0F0000}"/>
    <cellStyle name="Normal 11 2 2 5" xfId="3859" xr:uid="{00000000-0005-0000-0000-00000B0F0000}"/>
    <cellStyle name="Normal 11 2 2 5 10" xfId="3860" xr:uid="{00000000-0005-0000-0000-00000C0F0000}"/>
    <cellStyle name="Normal 11 2 2 5 2" xfId="3861" xr:uid="{00000000-0005-0000-0000-00000D0F0000}"/>
    <cellStyle name="Normal 11 2 2 5 2 2" xfId="3862" xr:uid="{00000000-0005-0000-0000-00000E0F0000}"/>
    <cellStyle name="Normal 11 2 2 5 2 2 2" xfId="3863" xr:uid="{00000000-0005-0000-0000-00000F0F0000}"/>
    <cellStyle name="Normal 11 2 2 5 2 2 3" xfId="3864" xr:uid="{00000000-0005-0000-0000-0000100F0000}"/>
    <cellStyle name="Normal 11 2 2 5 2 3" xfId="3865" xr:uid="{00000000-0005-0000-0000-0000110F0000}"/>
    <cellStyle name="Normal 11 2 2 5 2 3 2" xfId="3866" xr:uid="{00000000-0005-0000-0000-0000120F0000}"/>
    <cellStyle name="Normal 11 2 2 5 2 3 3" xfId="3867" xr:uid="{00000000-0005-0000-0000-0000130F0000}"/>
    <cellStyle name="Normal 11 2 2 5 2 4" xfId="3868" xr:uid="{00000000-0005-0000-0000-0000140F0000}"/>
    <cellStyle name="Normal 11 2 2 5 2 4 2" xfId="3869" xr:uid="{00000000-0005-0000-0000-0000150F0000}"/>
    <cellStyle name="Normal 11 2 2 5 2 4 3" xfId="3870" xr:uid="{00000000-0005-0000-0000-0000160F0000}"/>
    <cellStyle name="Normal 11 2 2 5 2 5" xfId="3871" xr:uid="{00000000-0005-0000-0000-0000170F0000}"/>
    <cellStyle name="Normal 11 2 2 5 2 5 2" xfId="3872" xr:uid="{00000000-0005-0000-0000-0000180F0000}"/>
    <cellStyle name="Normal 11 2 2 5 2 5 3" xfId="3873" xr:uid="{00000000-0005-0000-0000-0000190F0000}"/>
    <cellStyle name="Normal 11 2 2 5 2 6" xfId="3874" xr:uid="{00000000-0005-0000-0000-00001A0F0000}"/>
    <cellStyle name="Normal 11 2 2 5 2 6 2" xfId="3875" xr:uid="{00000000-0005-0000-0000-00001B0F0000}"/>
    <cellStyle name="Normal 11 2 2 5 2 6 3" xfId="3876" xr:uid="{00000000-0005-0000-0000-00001C0F0000}"/>
    <cellStyle name="Normal 11 2 2 5 2 7" xfId="3877" xr:uid="{00000000-0005-0000-0000-00001D0F0000}"/>
    <cellStyle name="Normal 11 2 2 5 2 7 2" xfId="3878" xr:uid="{00000000-0005-0000-0000-00001E0F0000}"/>
    <cellStyle name="Normal 11 2 2 5 2 7 3" xfId="3879" xr:uid="{00000000-0005-0000-0000-00001F0F0000}"/>
    <cellStyle name="Normal 11 2 2 5 2 8" xfId="3880" xr:uid="{00000000-0005-0000-0000-0000200F0000}"/>
    <cellStyle name="Normal 11 2 2 5 2 9" xfId="3881" xr:uid="{00000000-0005-0000-0000-0000210F0000}"/>
    <cellStyle name="Normal 11 2 2 5 3" xfId="3882" xr:uid="{00000000-0005-0000-0000-0000220F0000}"/>
    <cellStyle name="Normal 11 2 2 5 3 2" xfId="3883" xr:uid="{00000000-0005-0000-0000-0000230F0000}"/>
    <cellStyle name="Normal 11 2 2 5 3 3" xfId="3884" xr:uid="{00000000-0005-0000-0000-0000240F0000}"/>
    <cellStyle name="Normal 11 2 2 5 4" xfId="3885" xr:uid="{00000000-0005-0000-0000-0000250F0000}"/>
    <cellStyle name="Normal 11 2 2 5 4 2" xfId="3886" xr:uid="{00000000-0005-0000-0000-0000260F0000}"/>
    <cellStyle name="Normal 11 2 2 5 4 3" xfId="3887" xr:uid="{00000000-0005-0000-0000-0000270F0000}"/>
    <cellStyle name="Normal 11 2 2 5 5" xfId="3888" xr:uid="{00000000-0005-0000-0000-0000280F0000}"/>
    <cellStyle name="Normal 11 2 2 5 5 2" xfId="3889" xr:uid="{00000000-0005-0000-0000-0000290F0000}"/>
    <cellStyle name="Normal 11 2 2 5 5 3" xfId="3890" xr:uid="{00000000-0005-0000-0000-00002A0F0000}"/>
    <cellStyle name="Normal 11 2 2 5 6" xfId="3891" xr:uid="{00000000-0005-0000-0000-00002B0F0000}"/>
    <cellStyle name="Normal 11 2 2 5 6 2" xfId="3892" xr:uid="{00000000-0005-0000-0000-00002C0F0000}"/>
    <cellStyle name="Normal 11 2 2 5 6 3" xfId="3893" xr:uid="{00000000-0005-0000-0000-00002D0F0000}"/>
    <cellStyle name="Normal 11 2 2 5 7" xfId="3894" xr:uid="{00000000-0005-0000-0000-00002E0F0000}"/>
    <cellStyle name="Normal 11 2 2 5 7 2" xfId="3895" xr:uid="{00000000-0005-0000-0000-00002F0F0000}"/>
    <cellStyle name="Normal 11 2 2 5 7 3" xfId="3896" xr:uid="{00000000-0005-0000-0000-0000300F0000}"/>
    <cellStyle name="Normal 11 2 2 5 8" xfId="3897" xr:uid="{00000000-0005-0000-0000-0000310F0000}"/>
    <cellStyle name="Normal 11 2 2 5 8 2" xfId="3898" xr:uid="{00000000-0005-0000-0000-0000320F0000}"/>
    <cellStyle name="Normal 11 2 2 5 8 3" xfId="3899" xr:uid="{00000000-0005-0000-0000-0000330F0000}"/>
    <cellStyle name="Normal 11 2 2 5 9" xfId="3900" xr:uid="{00000000-0005-0000-0000-0000340F0000}"/>
    <cellStyle name="Normal 11 2 2 6" xfId="3901" xr:uid="{00000000-0005-0000-0000-0000350F0000}"/>
    <cellStyle name="Normal 11 2 2 6 2" xfId="3902" xr:uid="{00000000-0005-0000-0000-0000360F0000}"/>
    <cellStyle name="Normal 11 2 2 6 2 2" xfId="3903" xr:uid="{00000000-0005-0000-0000-0000370F0000}"/>
    <cellStyle name="Normal 11 2 2 6 2 3" xfId="3904" xr:uid="{00000000-0005-0000-0000-0000380F0000}"/>
    <cellStyle name="Normal 11 2 2 6 3" xfId="3905" xr:uid="{00000000-0005-0000-0000-0000390F0000}"/>
    <cellStyle name="Normal 11 2 2 6 3 2" xfId="3906" xr:uid="{00000000-0005-0000-0000-00003A0F0000}"/>
    <cellStyle name="Normal 11 2 2 6 3 3" xfId="3907" xr:uid="{00000000-0005-0000-0000-00003B0F0000}"/>
    <cellStyle name="Normal 11 2 2 6 4" xfId="3908" xr:uid="{00000000-0005-0000-0000-00003C0F0000}"/>
    <cellStyle name="Normal 11 2 2 6 4 2" xfId="3909" xr:uid="{00000000-0005-0000-0000-00003D0F0000}"/>
    <cellStyle name="Normal 11 2 2 6 4 3" xfId="3910" xr:uid="{00000000-0005-0000-0000-00003E0F0000}"/>
    <cellStyle name="Normal 11 2 2 6 5" xfId="3911" xr:uid="{00000000-0005-0000-0000-00003F0F0000}"/>
    <cellStyle name="Normal 11 2 2 6 5 2" xfId="3912" xr:uid="{00000000-0005-0000-0000-0000400F0000}"/>
    <cellStyle name="Normal 11 2 2 6 5 3" xfId="3913" xr:uid="{00000000-0005-0000-0000-0000410F0000}"/>
    <cellStyle name="Normal 11 2 2 6 6" xfId="3914" xr:uid="{00000000-0005-0000-0000-0000420F0000}"/>
    <cellStyle name="Normal 11 2 2 6 6 2" xfId="3915" xr:uid="{00000000-0005-0000-0000-0000430F0000}"/>
    <cellStyle name="Normal 11 2 2 6 6 3" xfId="3916" xr:uid="{00000000-0005-0000-0000-0000440F0000}"/>
    <cellStyle name="Normal 11 2 2 6 7" xfId="3917" xr:uid="{00000000-0005-0000-0000-0000450F0000}"/>
    <cellStyle name="Normal 11 2 2 6 7 2" xfId="3918" xr:uid="{00000000-0005-0000-0000-0000460F0000}"/>
    <cellStyle name="Normal 11 2 2 6 7 3" xfId="3919" xr:uid="{00000000-0005-0000-0000-0000470F0000}"/>
    <cellStyle name="Normal 11 2 2 6 8" xfId="3920" xr:uid="{00000000-0005-0000-0000-0000480F0000}"/>
    <cellStyle name="Normal 11 2 2 6 9" xfId="3921" xr:uid="{00000000-0005-0000-0000-0000490F0000}"/>
    <cellStyle name="Normal 11 2 2 7" xfId="3922" xr:uid="{00000000-0005-0000-0000-00004A0F0000}"/>
    <cellStyle name="Normal 11 2 2 7 2" xfId="3923" xr:uid="{00000000-0005-0000-0000-00004B0F0000}"/>
    <cellStyle name="Normal 11 2 2 7 3" xfId="3924" xr:uid="{00000000-0005-0000-0000-00004C0F0000}"/>
    <cellStyle name="Normal 11 2 2 8" xfId="3925" xr:uid="{00000000-0005-0000-0000-00004D0F0000}"/>
    <cellStyle name="Normal 11 2 2 8 2" xfId="3926" xr:uid="{00000000-0005-0000-0000-00004E0F0000}"/>
    <cellStyle name="Normal 11 2 2 8 3" xfId="3927" xr:uid="{00000000-0005-0000-0000-00004F0F0000}"/>
    <cellStyle name="Normal 11 2 2 9" xfId="3928" xr:uid="{00000000-0005-0000-0000-0000500F0000}"/>
    <cellStyle name="Normal 11 2 2 9 2" xfId="3929" xr:uid="{00000000-0005-0000-0000-0000510F0000}"/>
    <cellStyle name="Normal 11 2 2 9 3" xfId="3930" xr:uid="{00000000-0005-0000-0000-0000520F0000}"/>
    <cellStyle name="Normal 11 2 3" xfId="3931" xr:uid="{00000000-0005-0000-0000-0000530F0000}"/>
    <cellStyle name="Normal 11 2 3 10" xfId="3932" xr:uid="{00000000-0005-0000-0000-0000540F0000}"/>
    <cellStyle name="Normal 11 2 3 10 2" xfId="3933" xr:uid="{00000000-0005-0000-0000-0000550F0000}"/>
    <cellStyle name="Normal 11 2 3 10 3" xfId="3934" xr:uid="{00000000-0005-0000-0000-0000560F0000}"/>
    <cellStyle name="Normal 11 2 3 11" xfId="3935" xr:uid="{00000000-0005-0000-0000-0000570F0000}"/>
    <cellStyle name="Normal 11 2 3 11 2" xfId="3936" xr:uid="{00000000-0005-0000-0000-0000580F0000}"/>
    <cellStyle name="Normal 11 2 3 11 3" xfId="3937" xr:uid="{00000000-0005-0000-0000-0000590F0000}"/>
    <cellStyle name="Normal 11 2 3 12" xfId="3938" xr:uid="{00000000-0005-0000-0000-00005A0F0000}"/>
    <cellStyle name="Normal 11 2 3 13" xfId="3939" xr:uid="{00000000-0005-0000-0000-00005B0F0000}"/>
    <cellStyle name="Normal 11 2 3 2" xfId="3940" xr:uid="{00000000-0005-0000-0000-00005C0F0000}"/>
    <cellStyle name="Normal 11 2 3 2 10" xfId="3941" xr:uid="{00000000-0005-0000-0000-00005D0F0000}"/>
    <cellStyle name="Normal 11 2 3 2 10 2" xfId="3942" xr:uid="{00000000-0005-0000-0000-00005E0F0000}"/>
    <cellStyle name="Normal 11 2 3 2 10 3" xfId="3943" xr:uid="{00000000-0005-0000-0000-00005F0F0000}"/>
    <cellStyle name="Normal 11 2 3 2 11" xfId="3944" xr:uid="{00000000-0005-0000-0000-0000600F0000}"/>
    <cellStyle name="Normal 11 2 3 2 12" xfId="3945" xr:uid="{00000000-0005-0000-0000-0000610F0000}"/>
    <cellStyle name="Normal 11 2 3 2 2" xfId="3946" xr:uid="{00000000-0005-0000-0000-0000620F0000}"/>
    <cellStyle name="Normal 11 2 3 2 2 10" xfId="3947" xr:uid="{00000000-0005-0000-0000-0000630F0000}"/>
    <cellStyle name="Normal 11 2 3 2 2 2" xfId="3948" xr:uid="{00000000-0005-0000-0000-0000640F0000}"/>
    <cellStyle name="Normal 11 2 3 2 2 2 2" xfId="3949" xr:uid="{00000000-0005-0000-0000-0000650F0000}"/>
    <cellStyle name="Normal 11 2 3 2 2 2 2 2" xfId="3950" xr:uid="{00000000-0005-0000-0000-0000660F0000}"/>
    <cellStyle name="Normal 11 2 3 2 2 2 2 3" xfId="3951" xr:uid="{00000000-0005-0000-0000-0000670F0000}"/>
    <cellStyle name="Normal 11 2 3 2 2 2 3" xfId="3952" xr:uid="{00000000-0005-0000-0000-0000680F0000}"/>
    <cellStyle name="Normal 11 2 3 2 2 2 3 2" xfId="3953" xr:uid="{00000000-0005-0000-0000-0000690F0000}"/>
    <cellStyle name="Normal 11 2 3 2 2 2 3 3" xfId="3954" xr:uid="{00000000-0005-0000-0000-00006A0F0000}"/>
    <cellStyle name="Normal 11 2 3 2 2 2 4" xfId="3955" xr:uid="{00000000-0005-0000-0000-00006B0F0000}"/>
    <cellStyle name="Normal 11 2 3 2 2 2 4 2" xfId="3956" xr:uid="{00000000-0005-0000-0000-00006C0F0000}"/>
    <cellStyle name="Normal 11 2 3 2 2 2 4 3" xfId="3957" xr:uid="{00000000-0005-0000-0000-00006D0F0000}"/>
    <cellStyle name="Normal 11 2 3 2 2 2 5" xfId="3958" xr:uid="{00000000-0005-0000-0000-00006E0F0000}"/>
    <cellStyle name="Normal 11 2 3 2 2 2 5 2" xfId="3959" xr:uid="{00000000-0005-0000-0000-00006F0F0000}"/>
    <cellStyle name="Normal 11 2 3 2 2 2 5 3" xfId="3960" xr:uid="{00000000-0005-0000-0000-0000700F0000}"/>
    <cellStyle name="Normal 11 2 3 2 2 2 6" xfId="3961" xr:uid="{00000000-0005-0000-0000-0000710F0000}"/>
    <cellStyle name="Normal 11 2 3 2 2 2 6 2" xfId="3962" xr:uid="{00000000-0005-0000-0000-0000720F0000}"/>
    <cellStyle name="Normal 11 2 3 2 2 2 6 3" xfId="3963" xr:uid="{00000000-0005-0000-0000-0000730F0000}"/>
    <cellStyle name="Normal 11 2 3 2 2 2 7" xfId="3964" xr:uid="{00000000-0005-0000-0000-0000740F0000}"/>
    <cellStyle name="Normal 11 2 3 2 2 2 7 2" xfId="3965" xr:uid="{00000000-0005-0000-0000-0000750F0000}"/>
    <cellStyle name="Normal 11 2 3 2 2 2 7 3" xfId="3966" xr:uid="{00000000-0005-0000-0000-0000760F0000}"/>
    <cellStyle name="Normal 11 2 3 2 2 2 8" xfId="3967" xr:uid="{00000000-0005-0000-0000-0000770F0000}"/>
    <cellStyle name="Normal 11 2 3 2 2 2 9" xfId="3968" xr:uid="{00000000-0005-0000-0000-0000780F0000}"/>
    <cellStyle name="Normal 11 2 3 2 2 3" xfId="3969" xr:uid="{00000000-0005-0000-0000-0000790F0000}"/>
    <cellStyle name="Normal 11 2 3 2 2 3 2" xfId="3970" xr:uid="{00000000-0005-0000-0000-00007A0F0000}"/>
    <cellStyle name="Normal 11 2 3 2 2 3 3" xfId="3971" xr:uid="{00000000-0005-0000-0000-00007B0F0000}"/>
    <cellStyle name="Normal 11 2 3 2 2 4" xfId="3972" xr:uid="{00000000-0005-0000-0000-00007C0F0000}"/>
    <cellStyle name="Normal 11 2 3 2 2 4 2" xfId="3973" xr:uid="{00000000-0005-0000-0000-00007D0F0000}"/>
    <cellStyle name="Normal 11 2 3 2 2 4 3" xfId="3974" xr:uid="{00000000-0005-0000-0000-00007E0F0000}"/>
    <cellStyle name="Normal 11 2 3 2 2 5" xfId="3975" xr:uid="{00000000-0005-0000-0000-00007F0F0000}"/>
    <cellStyle name="Normal 11 2 3 2 2 5 2" xfId="3976" xr:uid="{00000000-0005-0000-0000-0000800F0000}"/>
    <cellStyle name="Normal 11 2 3 2 2 5 3" xfId="3977" xr:uid="{00000000-0005-0000-0000-0000810F0000}"/>
    <cellStyle name="Normal 11 2 3 2 2 6" xfId="3978" xr:uid="{00000000-0005-0000-0000-0000820F0000}"/>
    <cellStyle name="Normal 11 2 3 2 2 6 2" xfId="3979" xr:uid="{00000000-0005-0000-0000-0000830F0000}"/>
    <cellStyle name="Normal 11 2 3 2 2 6 3" xfId="3980" xr:uid="{00000000-0005-0000-0000-0000840F0000}"/>
    <cellStyle name="Normal 11 2 3 2 2 7" xfId="3981" xr:uid="{00000000-0005-0000-0000-0000850F0000}"/>
    <cellStyle name="Normal 11 2 3 2 2 7 2" xfId="3982" xr:uid="{00000000-0005-0000-0000-0000860F0000}"/>
    <cellStyle name="Normal 11 2 3 2 2 7 3" xfId="3983" xr:uid="{00000000-0005-0000-0000-0000870F0000}"/>
    <cellStyle name="Normal 11 2 3 2 2 8" xfId="3984" xr:uid="{00000000-0005-0000-0000-0000880F0000}"/>
    <cellStyle name="Normal 11 2 3 2 2 8 2" xfId="3985" xr:uid="{00000000-0005-0000-0000-0000890F0000}"/>
    <cellStyle name="Normal 11 2 3 2 2 8 3" xfId="3986" xr:uid="{00000000-0005-0000-0000-00008A0F0000}"/>
    <cellStyle name="Normal 11 2 3 2 2 9" xfId="3987" xr:uid="{00000000-0005-0000-0000-00008B0F0000}"/>
    <cellStyle name="Normal 11 2 3 2 3" xfId="3988" xr:uid="{00000000-0005-0000-0000-00008C0F0000}"/>
    <cellStyle name="Normal 11 2 3 2 3 10" xfId="3989" xr:uid="{00000000-0005-0000-0000-00008D0F0000}"/>
    <cellStyle name="Normal 11 2 3 2 3 2" xfId="3990" xr:uid="{00000000-0005-0000-0000-00008E0F0000}"/>
    <cellStyle name="Normal 11 2 3 2 3 2 2" xfId="3991" xr:uid="{00000000-0005-0000-0000-00008F0F0000}"/>
    <cellStyle name="Normal 11 2 3 2 3 2 2 2" xfId="3992" xr:uid="{00000000-0005-0000-0000-0000900F0000}"/>
    <cellStyle name="Normal 11 2 3 2 3 2 2 3" xfId="3993" xr:uid="{00000000-0005-0000-0000-0000910F0000}"/>
    <cellStyle name="Normal 11 2 3 2 3 2 3" xfId="3994" xr:uid="{00000000-0005-0000-0000-0000920F0000}"/>
    <cellStyle name="Normal 11 2 3 2 3 2 3 2" xfId="3995" xr:uid="{00000000-0005-0000-0000-0000930F0000}"/>
    <cellStyle name="Normal 11 2 3 2 3 2 3 3" xfId="3996" xr:uid="{00000000-0005-0000-0000-0000940F0000}"/>
    <cellStyle name="Normal 11 2 3 2 3 2 4" xfId="3997" xr:uid="{00000000-0005-0000-0000-0000950F0000}"/>
    <cellStyle name="Normal 11 2 3 2 3 2 4 2" xfId="3998" xr:uid="{00000000-0005-0000-0000-0000960F0000}"/>
    <cellStyle name="Normal 11 2 3 2 3 2 4 3" xfId="3999" xr:uid="{00000000-0005-0000-0000-0000970F0000}"/>
    <cellStyle name="Normal 11 2 3 2 3 2 5" xfId="4000" xr:uid="{00000000-0005-0000-0000-0000980F0000}"/>
    <cellStyle name="Normal 11 2 3 2 3 2 5 2" xfId="4001" xr:uid="{00000000-0005-0000-0000-0000990F0000}"/>
    <cellStyle name="Normal 11 2 3 2 3 2 5 3" xfId="4002" xr:uid="{00000000-0005-0000-0000-00009A0F0000}"/>
    <cellStyle name="Normal 11 2 3 2 3 2 6" xfId="4003" xr:uid="{00000000-0005-0000-0000-00009B0F0000}"/>
    <cellStyle name="Normal 11 2 3 2 3 2 6 2" xfId="4004" xr:uid="{00000000-0005-0000-0000-00009C0F0000}"/>
    <cellStyle name="Normal 11 2 3 2 3 2 6 3" xfId="4005" xr:uid="{00000000-0005-0000-0000-00009D0F0000}"/>
    <cellStyle name="Normal 11 2 3 2 3 2 7" xfId="4006" xr:uid="{00000000-0005-0000-0000-00009E0F0000}"/>
    <cellStyle name="Normal 11 2 3 2 3 2 7 2" xfId="4007" xr:uid="{00000000-0005-0000-0000-00009F0F0000}"/>
    <cellStyle name="Normal 11 2 3 2 3 2 7 3" xfId="4008" xr:uid="{00000000-0005-0000-0000-0000A00F0000}"/>
    <cellStyle name="Normal 11 2 3 2 3 2 8" xfId="4009" xr:uid="{00000000-0005-0000-0000-0000A10F0000}"/>
    <cellStyle name="Normal 11 2 3 2 3 2 9" xfId="4010" xr:uid="{00000000-0005-0000-0000-0000A20F0000}"/>
    <cellStyle name="Normal 11 2 3 2 3 3" xfId="4011" xr:uid="{00000000-0005-0000-0000-0000A30F0000}"/>
    <cellStyle name="Normal 11 2 3 2 3 3 2" xfId="4012" xr:uid="{00000000-0005-0000-0000-0000A40F0000}"/>
    <cellStyle name="Normal 11 2 3 2 3 3 3" xfId="4013" xr:uid="{00000000-0005-0000-0000-0000A50F0000}"/>
    <cellStyle name="Normal 11 2 3 2 3 4" xfId="4014" xr:uid="{00000000-0005-0000-0000-0000A60F0000}"/>
    <cellStyle name="Normal 11 2 3 2 3 4 2" xfId="4015" xr:uid="{00000000-0005-0000-0000-0000A70F0000}"/>
    <cellStyle name="Normal 11 2 3 2 3 4 3" xfId="4016" xr:uid="{00000000-0005-0000-0000-0000A80F0000}"/>
    <cellStyle name="Normal 11 2 3 2 3 5" xfId="4017" xr:uid="{00000000-0005-0000-0000-0000A90F0000}"/>
    <cellStyle name="Normal 11 2 3 2 3 5 2" xfId="4018" xr:uid="{00000000-0005-0000-0000-0000AA0F0000}"/>
    <cellStyle name="Normal 11 2 3 2 3 5 3" xfId="4019" xr:uid="{00000000-0005-0000-0000-0000AB0F0000}"/>
    <cellStyle name="Normal 11 2 3 2 3 6" xfId="4020" xr:uid="{00000000-0005-0000-0000-0000AC0F0000}"/>
    <cellStyle name="Normal 11 2 3 2 3 6 2" xfId="4021" xr:uid="{00000000-0005-0000-0000-0000AD0F0000}"/>
    <cellStyle name="Normal 11 2 3 2 3 6 3" xfId="4022" xr:uid="{00000000-0005-0000-0000-0000AE0F0000}"/>
    <cellStyle name="Normal 11 2 3 2 3 7" xfId="4023" xr:uid="{00000000-0005-0000-0000-0000AF0F0000}"/>
    <cellStyle name="Normal 11 2 3 2 3 7 2" xfId="4024" xr:uid="{00000000-0005-0000-0000-0000B00F0000}"/>
    <cellStyle name="Normal 11 2 3 2 3 7 3" xfId="4025" xr:uid="{00000000-0005-0000-0000-0000B10F0000}"/>
    <cellStyle name="Normal 11 2 3 2 3 8" xfId="4026" xr:uid="{00000000-0005-0000-0000-0000B20F0000}"/>
    <cellStyle name="Normal 11 2 3 2 3 8 2" xfId="4027" xr:uid="{00000000-0005-0000-0000-0000B30F0000}"/>
    <cellStyle name="Normal 11 2 3 2 3 8 3" xfId="4028" xr:uid="{00000000-0005-0000-0000-0000B40F0000}"/>
    <cellStyle name="Normal 11 2 3 2 3 9" xfId="4029" xr:uid="{00000000-0005-0000-0000-0000B50F0000}"/>
    <cellStyle name="Normal 11 2 3 2 4" xfId="4030" xr:uid="{00000000-0005-0000-0000-0000B60F0000}"/>
    <cellStyle name="Normal 11 2 3 2 4 2" xfId="4031" xr:uid="{00000000-0005-0000-0000-0000B70F0000}"/>
    <cellStyle name="Normal 11 2 3 2 4 2 2" xfId="4032" xr:uid="{00000000-0005-0000-0000-0000B80F0000}"/>
    <cellStyle name="Normal 11 2 3 2 4 2 3" xfId="4033" xr:uid="{00000000-0005-0000-0000-0000B90F0000}"/>
    <cellStyle name="Normal 11 2 3 2 4 3" xfId="4034" xr:uid="{00000000-0005-0000-0000-0000BA0F0000}"/>
    <cellStyle name="Normal 11 2 3 2 4 3 2" xfId="4035" xr:uid="{00000000-0005-0000-0000-0000BB0F0000}"/>
    <cellStyle name="Normal 11 2 3 2 4 3 3" xfId="4036" xr:uid="{00000000-0005-0000-0000-0000BC0F0000}"/>
    <cellStyle name="Normal 11 2 3 2 4 4" xfId="4037" xr:uid="{00000000-0005-0000-0000-0000BD0F0000}"/>
    <cellStyle name="Normal 11 2 3 2 4 4 2" xfId="4038" xr:uid="{00000000-0005-0000-0000-0000BE0F0000}"/>
    <cellStyle name="Normal 11 2 3 2 4 4 3" xfId="4039" xr:uid="{00000000-0005-0000-0000-0000BF0F0000}"/>
    <cellStyle name="Normal 11 2 3 2 4 5" xfId="4040" xr:uid="{00000000-0005-0000-0000-0000C00F0000}"/>
    <cellStyle name="Normal 11 2 3 2 4 5 2" xfId="4041" xr:uid="{00000000-0005-0000-0000-0000C10F0000}"/>
    <cellStyle name="Normal 11 2 3 2 4 5 3" xfId="4042" xr:uid="{00000000-0005-0000-0000-0000C20F0000}"/>
    <cellStyle name="Normal 11 2 3 2 4 6" xfId="4043" xr:uid="{00000000-0005-0000-0000-0000C30F0000}"/>
    <cellStyle name="Normal 11 2 3 2 4 6 2" xfId="4044" xr:uid="{00000000-0005-0000-0000-0000C40F0000}"/>
    <cellStyle name="Normal 11 2 3 2 4 6 3" xfId="4045" xr:uid="{00000000-0005-0000-0000-0000C50F0000}"/>
    <cellStyle name="Normal 11 2 3 2 4 7" xfId="4046" xr:uid="{00000000-0005-0000-0000-0000C60F0000}"/>
    <cellStyle name="Normal 11 2 3 2 4 7 2" xfId="4047" xr:uid="{00000000-0005-0000-0000-0000C70F0000}"/>
    <cellStyle name="Normal 11 2 3 2 4 7 3" xfId="4048" xr:uid="{00000000-0005-0000-0000-0000C80F0000}"/>
    <cellStyle name="Normal 11 2 3 2 4 8" xfId="4049" xr:uid="{00000000-0005-0000-0000-0000C90F0000}"/>
    <cellStyle name="Normal 11 2 3 2 4 9" xfId="4050" xr:uid="{00000000-0005-0000-0000-0000CA0F0000}"/>
    <cellStyle name="Normal 11 2 3 2 5" xfId="4051" xr:uid="{00000000-0005-0000-0000-0000CB0F0000}"/>
    <cellStyle name="Normal 11 2 3 2 5 2" xfId="4052" xr:uid="{00000000-0005-0000-0000-0000CC0F0000}"/>
    <cellStyle name="Normal 11 2 3 2 5 3" xfId="4053" xr:uid="{00000000-0005-0000-0000-0000CD0F0000}"/>
    <cellStyle name="Normal 11 2 3 2 6" xfId="4054" xr:uid="{00000000-0005-0000-0000-0000CE0F0000}"/>
    <cellStyle name="Normal 11 2 3 2 6 2" xfId="4055" xr:uid="{00000000-0005-0000-0000-0000CF0F0000}"/>
    <cellStyle name="Normal 11 2 3 2 6 3" xfId="4056" xr:uid="{00000000-0005-0000-0000-0000D00F0000}"/>
    <cellStyle name="Normal 11 2 3 2 7" xfId="4057" xr:uid="{00000000-0005-0000-0000-0000D10F0000}"/>
    <cellStyle name="Normal 11 2 3 2 7 2" xfId="4058" xr:uid="{00000000-0005-0000-0000-0000D20F0000}"/>
    <cellStyle name="Normal 11 2 3 2 7 3" xfId="4059" xr:uid="{00000000-0005-0000-0000-0000D30F0000}"/>
    <cellStyle name="Normal 11 2 3 2 8" xfId="4060" xr:uid="{00000000-0005-0000-0000-0000D40F0000}"/>
    <cellStyle name="Normal 11 2 3 2 8 2" xfId="4061" xr:uid="{00000000-0005-0000-0000-0000D50F0000}"/>
    <cellStyle name="Normal 11 2 3 2 8 3" xfId="4062" xr:uid="{00000000-0005-0000-0000-0000D60F0000}"/>
    <cellStyle name="Normal 11 2 3 2 9" xfId="4063" xr:uid="{00000000-0005-0000-0000-0000D70F0000}"/>
    <cellStyle name="Normal 11 2 3 2 9 2" xfId="4064" xr:uid="{00000000-0005-0000-0000-0000D80F0000}"/>
    <cellStyle name="Normal 11 2 3 2 9 3" xfId="4065" xr:uid="{00000000-0005-0000-0000-0000D90F0000}"/>
    <cellStyle name="Normal 11 2 3 3" xfId="4066" xr:uid="{00000000-0005-0000-0000-0000DA0F0000}"/>
    <cellStyle name="Normal 11 2 3 3 10" xfId="4067" xr:uid="{00000000-0005-0000-0000-0000DB0F0000}"/>
    <cellStyle name="Normal 11 2 3 3 2" xfId="4068" xr:uid="{00000000-0005-0000-0000-0000DC0F0000}"/>
    <cellStyle name="Normal 11 2 3 3 2 2" xfId="4069" xr:uid="{00000000-0005-0000-0000-0000DD0F0000}"/>
    <cellStyle name="Normal 11 2 3 3 2 2 2" xfId="4070" xr:uid="{00000000-0005-0000-0000-0000DE0F0000}"/>
    <cellStyle name="Normal 11 2 3 3 2 2 3" xfId="4071" xr:uid="{00000000-0005-0000-0000-0000DF0F0000}"/>
    <cellStyle name="Normal 11 2 3 3 2 3" xfId="4072" xr:uid="{00000000-0005-0000-0000-0000E00F0000}"/>
    <cellStyle name="Normal 11 2 3 3 2 3 2" xfId="4073" xr:uid="{00000000-0005-0000-0000-0000E10F0000}"/>
    <cellStyle name="Normal 11 2 3 3 2 3 3" xfId="4074" xr:uid="{00000000-0005-0000-0000-0000E20F0000}"/>
    <cellStyle name="Normal 11 2 3 3 2 4" xfId="4075" xr:uid="{00000000-0005-0000-0000-0000E30F0000}"/>
    <cellStyle name="Normal 11 2 3 3 2 4 2" xfId="4076" xr:uid="{00000000-0005-0000-0000-0000E40F0000}"/>
    <cellStyle name="Normal 11 2 3 3 2 4 3" xfId="4077" xr:uid="{00000000-0005-0000-0000-0000E50F0000}"/>
    <cellStyle name="Normal 11 2 3 3 2 5" xfId="4078" xr:uid="{00000000-0005-0000-0000-0000E60F0000}"/>
    <cellStyle name="Normal 11 2 3 3 2 5 2" xfId="4079" xr:uid="{00000000-0005-0000-0000-0000E70F0000}"/>
    <cellStyle name="Normal 11 2 3 3 2 5 3" xfId="4080" xr:uid="{00000000-0005-0000-0000-0000E80F0000}"/>
    <cellStyle name="Normal 11 2 3 3 2 6" xfId="4081" xr:uid="{00000000-0005-0000-0000-0000E90F0000}"/>
    <cellStyle name="Normal 11 2 3 3 2 6 2" xfId="4082" xr:uid="{00000000-0005-0000-0000-0000EA0F0000}"/>
    <cellStyle name="Normal 11 2 3 3 2 6 3" xfId="4083" xr:uid="{00000000-0005-0000-0000-0000EB0F0000}"/>
    <cellStyle name="Normal 11 2 3 3 2 7" xfId="4084" xr:uid="{00000000-0005-0000-0000-0000EC0F0000}"/>
    <cellStyle name="Normal 11 2 3 3 2 7 2" xfId="4085" xr:uid="{00000000-0005-0000-0000-0000ED0F0000}"/>
    <cellStyle name="Normal 11 2 3 3 2 7 3" xfId="4086" xr:uid="{00000000-0005-0000-0000-0000EE0F0000}"/>
    <cellStyle name="Normal 11 2 3 3 2 8" xfId="4087" xr:uid="{00000000-0005-0000-0000-0000EF0F0000}"/>
    <cellStyle name="Normal 11 2 3 3 2 9" xfId="4088" xr:uid="{00000000-0005-0000-0000-0000F00F0000}"/>
    <cellStyle name="Normal 11 2 3 3 3" xfId="4089" xr:uid="{00000000-0005-0000-0000-0000F10F0000}"/>
    <cellStyle name="Normal 11 2 3 3 3 2" xfId="4090" xr:uid="{00000000-0005-0000-0000-0000F20F0000}"/>
    <cellStyle name="Normal 11 2 3 3 3 3" xfId="4091" xr:uid="{00000000-0005-0000-0000-0000F30F0000}"/>
    <cellStyle name="Normal 11 2 3 3 4" xfId="4092" xr:uid="{00000000-0005-0000-0000-0000F40F0000}"/>
    <cellStyle name="Normal 11 2 3 3 4 2" xfId="4093" xr:uid="{00000000-0005-0000-0000-0000F50F0000}"/>
    <cellStyle name="Normal 11 2 3 3 4 3" xfId="4094" xr:uid="{00000000-0005-0000-0000-0000F60F0000}"/>
    <cellStyle name="Normal 11 2 3 3 5" xfId="4095" xr:uid="{00000000-0005-0000-0000-0000F70F0000}"/>
    <cellStyle name="Normal 11 2 3 3 5 2" xfId="4096" xr:uid="{00000000-0005-0000-0000-0000F80F0000}"/>
    <cellStyle name="Normal 11 2 3 3 5 3" xfId="4097" xr:uid="{00000000-0005-0000-0000-0000F90F0000}"/>
    <cellStyle name="Normal 11 2 3 3 6" xfId="4098" xr:uid="{00000000-0005-0000-0000-0000FA0F0000}"/>
    <cellStyle name="Normal 11 2 3 3 6 2" xfId="4099" xr:uid="{00000000-0005-0000-0000-0000FB0F0000}"/>
    <cellStyle name="Normal 11 2 3 3 6 3" xfId="4100" xr:uid="{00000000-0005-0000-0000-0000FC0F0000}"/>
    <cellStyle name="Normal 11 2 3 3 7" xfId="4101" xr:uid="{00000000-0005-0000-0000-0000FD0F0000}"/>
    <cellStyle name="Normal 11 2 3 3 7 2" xfId="4102" xr:uid="{00000000-0005-0000-0000-0000FE0F0000}"/>
    <cellStyle name="Normal 11 2 3 3 7 3" xfId="4103" xr:uid="{00000000-0005-0000-0000-0000FF0F0000}"/>
    <cellStyle name="Normal 11 2 3 3 8" xfId="4104" xr:uid="{00000000-0005-0000-0000-000000100000}"/>
    <cellStyle name="Normal 11 2 3 3 8 2" xfId="4105" xr:uid="{00000000-0005-0000-0000-000001100000}"/>
    <cellStyle name="Normal 11 2 3 3 8 3" xfId="4106" xr:uid="{00000000-0005-0000-0000-000002100000}"/>
    <cellStyle name="Normal 11 2 3 3 9" xfId="4107" xr:uid="{00000000-0005-0000-0000-000003100000}"/>
    <cellStyle name="Normal 11 2 3 4" xfId="4108" xr:uid="{00000000-0005-0000-0000-000004100000}"/>
    <cellStyle name="Normal 11 2 3 4 10" xfId="4109" xr:uid="{00000000-0005-0000-0000-000005100000}"/>
    <cellStyle name="Normal 11 2 3 4 2" xfId="4110" xr:uid="{00000000-0005-0000-0000-000006100000}"/>
    <cellStyle name="Normal 11 2 3 4 2 2" xfId="4111" xr:uid="{00000000-0005-0000-0000-000007100000}"/>
    <cellStyle name="Normal 11 2 3 4 2 2 2" xfId="4112" xr:uid="{00000000-0005-0000-0000-000008100000}"/>
    <cellStyle name="Normal 11 2 3 4 2 2 3" xfId="4113" xr:uid="{00000000-0005-0000-0000-000009100000}"/>
    <cellStyle name="Normal 11 2 3 4 2 3" xfId="4114" xr:uid="{00000000-0005-0000-0000-00000A100000}"/>
    <cellStyle name="Normal 11 2 3 4 2 3 2" xfId="4115" xr:uid="{00000000-0005-0000-0000-00000B100000}"/>
    <cellStyle name="Normal 11 2 3 4 2 3 3" xfId="4116" xr:uid="{00000000-0005-0000-0000-00000C100000}"/>
    <cellStyle name="Normal 11 2 3 4 2 4" xfId="4117" xr:uid="{00000000-0005-0000-0000-00000D100000}"/>
    <cellStyle name="Normal 11 2 3 4 2 4 2" xfId="4118" xr:uid="{00000000-0005-0000-0000-00000E100000}"/>
    <cellStyle name="Normal 11 2 3 4 2 4 3" xfId="4119" xr:uid="{00000000-0005-0000-0000-00000F100000}"/>
    <cellStyle name="Normal 11 2 3 4 2 5" xfId="4120" xr:uid="{00000000-0005-0000-0000-000010100000}"/>
    <cellStyle name="Normal 11 2 3 4 2 5 2" xfId="4121" xr:uid="{00000000-0005-0000-0000-000011100000}"/>
    <cellStyle name="Normal 11 2 3 4 2 5 3" xfId="4122" xr:uid="{00000000-0005-0000-0000-000012100000}"/>
    <cellStyle name="Normal 11 2 3 4 2 6" xfId="4123" xr:uid="{00000000-0005-0000-0000-000013100000}"/>
    <cellStyle name="Normal 11 2 3 4 2 6 2" xfId="4124" xr:uid="{00000000-0005-0000-0000-000014100000}"/>
    <cellStyle name="Normal 11 2 3 4 2 6 3" xfId="4125" xr:uid="{00000000-0005-0000-0000-000015100000}"/>
    <cellStyle name="Normal 11 2 3 4 2 7" xfId="4126" xr:uid="{00000000-0005-0000-0000-000016100000}"/>
    <cellStyle name="Normal 11 2 3 4 2 7 2" xfId="4127" xr:uid="{00000000-0005-0000-0000-000017100000}"/>
    <cellStyle name="Normal 11 2 3 4 2 7 3" xfId="4128" xr:uid="{00000000-0005-0000-0000-000018100000}"/>
    <cellStyle name="Normal 11 2 3 4 2 8" xfId="4129" xr:uid="{00000000-0005-0000-0000-000019100000}"/>
    <cellStyle name="Normal 11 2 3 4 2 9" xfId="4130" xr:uid="{00000000-0005-0000-0000-00001A100000}"/>
    <cellStyle name="Normal 11 2 3 4 3" xfId="4131" xr:uid="{00000000-0005-0000-0000-00001B100000}"/>
    <cellStyle name="Normal 11 2 3 4 3 2" xfId="4132" xr:uid="{00000000-0005-0000-0000-00001C100000}"/>
    <cellStyle name="Normal 11 2 3 4 3 3" xfId="4133" xr:uid="{00000000-0005-0000-0000-00001D100000}"/>
    <cellStyle name="Normal 11 2 3 4 4" xfId="4134" xr:uid="{00000000-0005-0000-0000-00001E100000}"/>
    <cellStyle name="Normal 11 2 3 4 4 2" xfId="4135" xr:uid="{00000000-0005-0000-0000-00001F100000}"/>
    <cellStyle name="Normal 11 2 3 4 4 3" xfId="4136" xr:uid="{00000000-0005-0000-0000-000020100000}"/>
    <cellStyle name="Normal 11 2 3 4 5" xfId="4137" xr:uid="{00000000-0005-0000-0000-000021100000}"/>
    <cellStyle name="Normal 11 2 3 4 5 2" xfId="4138" xr:uid="{00000000-0005-0000-0000-000022100000}"/>
    <cellStyle name="Normal 11 2 3 4 5 3" xfId="4139" xr:uid="{00000000-0005-0000-0000-000023100000}"/>
    <cellStyle name="Normal 11 2 3 4 6" xfId="4140" xr:uid="{00000000-0005-0000-0000-000024100000}"/>
    <cellStyle name="Normal 11 2 3 4 6 2" xfId="4141" xr:uid="{00000000-0005-0000-0000-000025100000}"/>
    <cellStyle name="Normal 11 2 3 4 6 3" xfId="4142" xr:uid="{00000000-0005-0000-0000-000026100000}"/>
    <cellStyle name="Normal 11 2 3 4 7" xfId="4143" xr:uid="{00000000-0005-0000-0000-000027100000}"/>
    <cellStyle name="Normal 11 2 3 4 7 2" xfId="4144" xr:uid="{00000000-0005-0000-0000-000028100000}"/>
    <cellStyle name="Normal 11 2 3 4 7 3" xfId="4145" xr:uid="{00000000-0005-0000-0000-000029100000}"/>
    <cellStyle name="Normal 11 2 3 4 8" xfId="4146" xr:uid="{00000000-0005-0000-0000-00002A100000}"/>
    <cellStyle name="Normal 11 2 3 4 8 2" xfId="4147" xr:uid="{00000000-0005-0000-0000-00002B100000}"/>
    <cellStyle name="Normal 11 2 3 4 8 3" xfId="4148" xr:uid="{00000000-0005-0000-0000-00002C100000}"/>
    <cellStyle name="Normal 11 2 3 4 9" xfId="4149" xr:uid="{00000000-0005-0000-0000-00002D100000}"/>
    <cellStyle name="Normal 11 2 3 5" xfId="4150" xr:uid="{00000000-0005-0000-0000-00002E100000}"/>
    <cellStyle name="Normal 11 2 3 5 2" xfId="4151" xr:uid="{00000000-0005-0000-0000-00002F100000}"/>
    <cellStyle name="Normal 11 2 3 5 2 2" xfId="4152" xr:uid="{00000000-0005-0000-0000-000030100000}"/>
    <cellStyle name="Normal 11 2 3 5 2 3" xfId="4153" xr:uid="{00000000-0005-0000-0000-000031100000}"/>
    <cellStyle name="Normal 11 2 3 5 3" xfId="4154" xr:uid="{00000000-0005-0000-0000-000032100000}"/>
    <cellStyle name="Normal 11 2 3 5 3 2" xfId="4155" xr:uid="{00000000-0005-0000-0000-000033100000}"/>
    <cellStyle name="Normal 11 2 3 5 3 3" xfId="4156" xr:uid="{00000000-0005-0000-0000-000034100000}"/>
    <cellStyle name="Normal 11 2 3 5 4" xfId="4157" xr:uid="{00000000-0005-0000-0000-000035100000}"/>
    <cellStyle name="Normal 11 2 3 5 4 2" xfId="4158" xr:uid="{00000000-0005-0000-0000-000036100000}"/>
    <cellStyle name="Normal 11 2 3 5 4 3" xfId="4159" xr:uid="{00000000-0005-0000-0000-000037100000}"/>
    <cellStyle name="Normal 11 2 3 5 5" xfId="4160" xr:uid="{00000000-0005-0000-0000-000038100000}"/>
    <cellStyle name="Normal 11 2 3 5 5 2" xfId="4161" xr:uid="{00000000-0005-0000-0000-000039100000}"/>
    <cellStyle name="Normal 11 2 3 5 5 3" xfId="4162" xr:uid="{00000000-0005-0000-0000-00003A100000}"/>
    <cellStyle name="Normal 11 2 3 5 6" xfId="4163" xr:uid="{00000000-0005-0000-0000-00003B100000}"/>
    <cellStyle name="Normal 11 2 3 5 6 2" xfId="4164" xr:uid="{00000000-0005-0000-0000-00003C100000}"/>
    <cellStyle name="Normal 11 2 3 5 6 3" xfId="4165" xr:uid="{00000000-0005-0000-0000-00003D100000}"/>
    <cellStyle name="Normal 11 2 3 5 7" xfId="4166" xr:uid="{00000000-0005-0000-0000-00003E100000}"/>
    <cellStyle name="Normal 11 2 3 5 7 2" xfId="4167" xr:uid="{00000000-0005-0000-0000-00003F100000}"/>
    <cellStyle name="Normal 11 2 3 5 7 3" xfId="4168" xr:uid="{00000000-0005-0000-0000-000040100000}"/>
    <cellStyle name="Normal 11 2 3 5 8" xfId="4169" xr:uid="{00000000-0005-0000-0000-000041100000}"/>
    <cellStyle name="Normal 11 2 3 5 9" xfId="4170" xr:uid="{00000000-0005-0000-0000-000042100000}"/>
    <cellStyle name="Normal 11 2 3 6" xfId="4171" xr:uid="{00000000-0005-0000-0000-000043100000}"/>
    <cellStyle name="Normal 11 2 3 6 2" xfId="4172" xr:uid="{00000000-0005-0000-0000-000044100000}"/>
    <cellStyle name="Normal 11 2 3 6 3" xfId="4173" xr:uid="{00000000-0005-0000-0000-000045100000}"/>
    <cellStyle name="Normal 11 2 3 7" xfId="4174" xr:uid="{00000000-0005-0000-0000-000046100000}"/>
    <cellStyle name="Normal 11 2 3 7 2" xfId="4175" xr:uid="{00000000-0005-0000-0000-000047100000}"/>
    <cellStyle name="Normal 11 2 3 7 3" xfId="4176" xr:uid="{00000000-0005-0000-0000-000048100000}"/>
    <cellStyle name="Normal 11 2 3 8" xfId="4177" xr:uid="{00000000-0005-0000-0000-000049100000}"/>
    <cellStyle name="Normal 11 2 3 8 2" xfId="4178" xr:uid="{00000000-0005-0000-0000-00004A100000}"/>
    <cellStyle name="Normal 11 2 3 8 3" xfId="4179" xr:uid="{00000000-0005-0000-0000-00004B100000}"/>
    <cellStyle name="Normal 11 2 3 9" xfId="4180" xr:uid="{00000000-0005-0000-0000-00004C100000}"/>
    <cellStyle name="Normal 11 2 3 9 2" xfId="4181" xr:uid="{00000000-0005-0000-0000-00004D100000}"/>
    <cellStyle name="Normal 11 2 3 9 3" xfId="4182" xr:uid="{00000000-0005-0000-0000-00004E100000}"/>
    <cellStyle name="Normal 11 2 4" xfId="4183" xr:uid="{00000000-0005-0000-0000-00004F100000}"/>
    <cellStyle name="Normal 11 2 4 10" xfId="4184" xr:uid="{00000000-0005-0000-0000-000050100000}"/>
    <cellStyle name="Normal 11 2 4 10 2" xfId="4185" xr:uid="{00000000-0005-0000-0000-000051100000}"/>
    <cellStyle name="Normal 11 2 4 10 3" xfId="4186" xr:uid="{00000000-0005-0000-0000-000052100000}"/>
    <cellStyle name="Normal 11 2 4 11" xfId="4187" xr:uid="{00000000-0005-0000-0000-000053100000}"/>
    <cellStyle name="Normal 11 2 4 12" xfId="4188" xr:uid="{00000000-0005-0000-0000-000054100000}"/>
    <cellStyle name="Normal 11 2 4 2" xfId="4189" xr:uid="{00000000-0005-0000-0000-000055100000}"/>
    <cellStyle name="Normal 11 2 4 2 10" xfId="4190" xr:uid="{00000000-0005-0000-0000-000056100000}"/>
    <cellStyle name="Normal 11 2 4 2 2" xfId="4191" xr:uid="{00000000-0005-0000-0000-000057100000}"/>
    <cellStyle name="Normal 11 2 4 2 2 2" xfId="4192" xr:uid="{00000000-0005-0000-0000-000058100000}"/>
    <cellStyle name="Normal 11 2 4 2 2 2 2" xfId="4193" xr:uid="{00000000-0005-0000-0000-000059100000}"/>
    <cellStyle name="Normal 11 2 4 2 2 2 3" xfId="4194" xr:uid="{00000000-0005-0000-0000-00005A100000}"/>
    <cellStyle name="Normal 11 2 4 2 2 3" xfId="4195" xr:uid="{00000000-0005-0000-0000-00005B100000}"/>
    <cellStyle name="Normal 11 2 4 2 2 3 2" xfId="4196" xr:uid="{00000000-0005-0000-0000-00005C100000}"/>
    <cellStyle name="Normal 11 2 4 2 2 3 3" xfId="4197" xr:uid="{00000000-0005-0000-0000-00005D100000}"/>
    <cellStyle name="Normal 11 2 4 2 2 4" xfId="4198" xr:uid="{00000000-0005-0000-0000-00005E100000}"/>
    <cellStyle name="Normal 11 2 4 2 2 4 2" xfId="4199" xr:uid="{00000000-0005-0000-0000-00005F100000}"/>
    <cellStyle name="Normal 11 2 4 2 2 4 3" xfId="4200" xr:uid="{00000000-0005-0000-0000-000060100000}"/>
    <cellStyle name="Normal 11 2 4 2 2 5" xfId="4201" xr:uid="{00000000-0005-0000-0000-000061100000}"/>
    <cellStyle name="Normal 11 2 4 2 2 5 2" xfId="4202" xr:uid="{00000000-0005-0000-0000-000062100000}"/>
    <cellStyle name="Normal 11 2 4 2 2 5 3" xfId="4203" xr:uid="{00000000-0005-0000-0000-000063100000}"/>
    <cellStyle name="Normal 11 2 4 2 2 6" xfId="4204" xr:uid="{00000000-0005-0000-0000-000064100000}"/>
    <cellStyle name="Normal 11 2 4 2 2 6 2" xfId="4205" xr:uid="{00000000-0005-0000-0000-000065100000}"/>
    <cellStyle name="Normal 11 2 4 2 2 6 3" xfId="4206" xr:uid="{00000000-0005-0000-0000-000066100000}"/>
    <cellStyle name="Normal 11 2 4 2 2 7" xfId="4207" xr:uid="{00000000-0005-0000-0000-000067100000}"/>
    <cellStyle name="Normal 11 2 4 2 2 7 2" xfId="4208" xr:uid="{00000000-0005-0000-0000-000068100000}"/>
    <cellStyle name="Normal 11 2 4 2 2 7 3" xfId="4209" xr:uid="{00000000-0005-0000-0000-000069100000}"/>
    <cellStyle name="Normal 11 2 4 2 2 8" xfId="4210" xr:uid="{00000000-0005-0000-0000-00006A100000}"/>
    <cellStyle name="Normal 11 2 4 2 2 9" xfId="4211" xr:uid="{00000000-0005-0000-0000-00006B100000}"/>
    <cellStyle name="Normal 11 2 4 2 3" xfId="4212" xr:uid="{00000000-0005-0000-0000-00006C100000}"/>
    <cellStyle name="Normal 11 2 4 2 3 2" xfId="4213" xr:uid="{00000000-0005-0000-0000-00006D100000}"/>
    <cellStyle name="Normal 11 2 4 2 3 3" xfId="4214" xr:uid="{00000000-0005-0000-0000-00006E100000}"/>
    <cellStyle name="Normal 11 2 4 2 4" xfId="4215" xr:uid="{00000000-0005-0000-0000-00006F100000}"/>
    <cellStyle name="Normal 11 2 4 2 4 2" xfId="4216" xr:uid="{00000000-0005-0000-0000-000070100000}"/>
    <cellStyle name="Normal 11 2 4 2 4 3" xfId="4217" xr:uid="{00000000-0005-0000-0000-000071100000}"/>
    <cellStyle name="Normal 11 2 4 2 5" xfId="4218" xr:uid="{00000000-0005-0000-0000-000072100000}"/>
    <cellStyle name="Normal 11 2 4 2 5 2" xfId="4219" xr:uid="{00000000-0005-0000-0000-000073100000}"/>
    <cellStyle name="Normal 11 2 4 2 5 3" xfId="4220" xr:uid="{00000000-0005-0000-0000-000074100000}"/>
    <cellStyle name="Normal 11 2 4 2 6" xfId="4221" xr:uid="{00000000-0005-0000-0000-000075100000}"/>
    <cellStyle name="Normal 11 2 4 2 6 2" xfId="4222" xr:uid="{00000000-0005-0000-0000-000076100000}"/>
    <cellStyle name="Normal 11 2 4 2 6 3" xfId="4223" xr:uid="{00000000-0005-0000-0000-000077100000}"/>
    <cellStyle name="Normal 11 2 4 2 7" xfId="4224" xr:uid="{00000000-0005-0000-0000-000078100000}"/>
    <cellStyle name="Normal 11 2 4 2 7 2" xfId="4225" xr:uid="{00000000-0005-0000-0000-000079100000}"/>
    <cellStyle name="Normal 11 2 4 2 7 3" xfId="4226" xr:uid="{00000000-0005-0000-0000-00007A100000}"/>
    <cellStyle name="Normal 11 2 4 2 8" xfId="4227" xr:uid="{00000000-0005-0000-0000-00007B100000}"/>
    <cellStyle name="Normal 11 2 4 2 8 2" xfId="4228" xr:uid="{00000000-0005-0000-0000-00007C100000}"/>
    <cellStyle name="Normal 11 2 4 2 8 3" xfId="4229" xr:uid="{00000000-0005-0000-0000-00007D100000}"/>
    <cellStyle name="Normal 11 2 4 2 9" xfId="4230" xr:uid="{00000000-0005-0000-0000-00007E100000}"/>
    <cellStyle name="Normal 11 2 4 3" xfId="4231" xr:uid="{00000000-0005-0000-0000-00007F100000}"/>
    <cellStyle name="Normal 11 2 4 3 10" xfId="4232" xr:uid="{00000000-0005-0000-0000-000080100000}"/>
    <cellStyle name="Normal 11 2 4 3 2" xfId="4233" xr:uid="{00000000-0005-0000-0000-000081100000}"/>
    <cellStyle name="Normal 11 2 4 3 2 2" xfId="4234" xr:uid="{00000000-0005-0000-0000-000082100000}"/>
    <cellStyle name="Normal 11 2 4 3 2 2 2" xfId="4235" xr:uid="{00000000-0005-0000-0000-000083100000}"/>
    <cellStyle name="Normal 11 2 4 3 2 2 3" xfId="4236" xr:uid="{00000000-0005-0000-0000-000084100000}"/>
    <cellStyle name="Normal 11 2 4 3 2 3" xfId="4237" xr:uid="{00000000-0005-0000-0000-000085100000}"/>
    <cellStyle name="Normal 11 2 4 3 2 3 2" xfId="4238" xr:uid="{00000000-0005-0000-0000-000086100000}"/>
    <cellStyle name="Normal 11 2 4 3 2 3 3" xfId="4239" xr:uid="{00000000-0005-0000-0000-000087100000}"/>
    <cellStyle name="Normal 11 2 4 3 2 4" xfId="4240" xr:uid="{00000000-0005-0000-0000-000088100000}"/>
    <cellStyle name="Normal 11 2 4 3 2 4 2" xfId="4241" xr:uid="{00000000-0005-0000-0000-000089100000}"/>
    <cellStyle name="Normal 11 2 4 3 2 4 3" xfId="4242" xr:uid="{00000000-0005-0000-0000-00008A100000}"/>
    <cellStyle name="Normal 11 2 4 3 2 5" xfId="4243" xr:uid="{00000000-0005-0000-0000-00008B100000}"/>
    <cellStyle name="Normal 11 2 4 3 2 5 2" xfId="4244" xr:uid="{00000000-0005-0000-0000-00008C100000}"/>
    <cellStyle name="Normal 11 2 4 3 2 5 3" xfId="4245" xr:uid="{00000000-0005-0000-0000-00008D100000}"/>
    <cellStyle name="Normal 11 2 4 3 2 6" xfId="4246" xr:uid="{00000000-0005-0000-0000-00008E100000}"/>
    <cellStyle name="Normal 11 2 4 3 2 6 2" xfId="4247" xr:uid="{00000000-0005-0000-0000-00008F100000}"/>
    <cellStyle name="Normal 11 2 4 3 2 6 3" xfId="4248" xr:uid="{00000000-0005-0000-0000-000090100000}"/>
    <cellStyle name="Normal 11 2 4 3 2 7" xfId="4249" xr:uid="{00000000-0005-0000-0000-000091100000}"/>
    <cellStyle name="Normal 11 2 4 3 2 7 2" xfId="4250" xr:uid="{00000000-0005-0000-0000-000092100000}"/>
    <cellStyle name="Normal 11 2 4 3 2 7 3" xfId="4251" xr:uid="{00000000-0005-0000-0000-000093100000}"/>
    <cellStyle name="Normal 11 2 4 3 2 8" xfId="4252" xr:uid="{00000000-0005-0000-0000-000094100000}"/>
    <cellStyle name="Normal 11 2 4 3 2 9" xfId="4253" xr:uid="{00000000-0005-0000-0000-000095100000}"/>
    <cellStyle name="Normal 11 2 4 3 3" xfId="4254" xr:uid="{00000000-0005-0000-0000-000096100000}"/>
    <cellStyle name="Normal 11 2 4 3 3 2" xfId="4255" xr:uid="{00000000-0005-0000-0000-000097100000}"/>
    <cellStyle name="Normal 11 2 4 3 3 3" xfId="4256" xr:uid="{00000000-0005-0000-0000-000098100000}"/>
    <cellStyle name="Normal 11 2 4 3 4" xfId="4257" xr:uid="{00000000-0005-0000-0000-000099100000}"/>
    <cellStyle name="Normal 11 2 4 3 4 2" xfId="4258" xr:uid="{00000000-0005-0000-0000-00009A100000}"/>
    <cellStyle name="Normal 11 2 4 3 4 3" xfId="4259" xr:uid="{00000000-0005-0000-0000-00009B100000}"/>
    <cellStyle name="Normal 11 2 4 3 5" xfId="4260" xr:uid="{00000000-0005-0000-0000-00009C100000}"/>
    <cellStyle name="Normal 11 2 4 3 5 2" xfId="4261" xr:uid="{00000000-0005-0000-0000-00009D100000}"/>
    <cellStyle name="Normal 11 2 4 3 5 3" xfId="4262" xr:uid="{00000000-0005-0000-0000-00009E100000}"/>
    <cellStyle name="Normal 11 2 4 3 6" xfId="4263" xr:uid="{00000000-0005-0000-0000-00009F100000}"/>
    <cellStyle name="Normal 11 2 4 3 6 2" xfId="4264" xr:uid="{00000000-0005-0000-0000-0000A0100000}"/>
    <cellStyle name="Normal 11 2 4 3 6 3" xfId="4265" xr:uid="{00000000-0005-0000-0000-0000A1100000}"/>
    <cellStyle name="Normal 11 2 4 3 7" xfId="4266" xr:uid="{00000000-0005-0000-0000-0000A2100000}"/>
    <cellStyle name="Normal 11 2 4 3 7 2" xfId="4267" xr:uid="{00000000-0005-0000-0000-0000A3100000}"/>
    <cellStyle name="Normal 11 2 4 3 7 3" xfId="4268" xr:uid="{00000000-0005-0000-0000-0000A4100000}"/>
    <cellStyle name="Normal 11 2 4 3 8" xfId="4269" xr:uid="{00000000-0005-0000-0000-0000A5100000}"/>
    <cellStyle name="Normal 11 2 4 3 8 2" xfId="4270" xr:uid="{00000000-0005-0000-0000-0000A6100000}"/>
    <cellStyle name="Normal 11 2 4 3 8 3" xfId="4271" xr:uid="{00000000-0005-0000-0000-0000A7100000}"/>
    <cellStyle name="Normal 11 2 4 3 9" xfId="4272" xr:uid="{00000000-0005-0000-0000-0000A8100000}"/>
    <cellStyle name="Normal 11 2 4 4" xfId="4273" xr:uid="{00000000-0005-0000-0000-0000A9100000}"/>
    <cellStyle name="Normal 11 2 4 4 2" xfId="4274" xr:uid="{00000000-0005-0000-0000-0000AA100000}"/>
    <cellStyle name="Normal 11 2 4 4 2 2" xfId="4275" xr:uid="{00000000-0005-0000-0000-0000AB100000}"/>
    <cellStyle name="Normal 11 2 4 4 2 3" xfId="4276" xr:uid="{00000000-0005-0000-0000-0000AC100000}"/>
    <cellStyle name="Normal 11 2 4 4 3" xfId="4277" xr:uid="{00000000-0005-0000-0000-0000AD100000}"/>
    <cellStyle name="Normal 11 2 4 4 3 2" xfId="4278" xr:uid="{00000000-0005-0000-0000-0000AE100000}"/>
    <cellStyle name="Normal 11 2 4 4 3 3" xfId="4279" xr:uid="{00000000-0005-0000-0000-0000AF100000}"/>
    <cellStyle name="Normal 11 2 4 4 4" xfId="4280" xr:uid="{00000000-0005-0000-0000-0000B0100000}"/>
    <cellStyle name="Normal 11 2 4 4 4 2" xfId="4281" xr:uid="{00000000-0005-0000-0000-0000B1100000}"/>
    <cellStyle name="Normal 11 2 4 4 4 3" xfId="4282" xr:uid="{00000000-0005-0000-0000-0000B2100000}"/>
    <cellStyle name="Normal 11 2 4 4 5" xfId="4283" xr:uid="{00000000-0005-0000-0000-0000B3100000}"/>
    <cellStyle name="Normal 11 2 4 4 5 2" xfId="4284" xr:uid="{00000000-0005-0000-0000-0000B4100000}"/>
    <cellStyle name="Normal 11 2 4 4 5 3" xfId="4285" xr:uid="{00000000-0005-0000-0000-0000B5100000}"/>
    <cellStyle name="Normal 11 2 4 4 6" xfId="4286" xr:uid="{00000000-0005-0000-0000-0000B6100000}"/>
    <cellStyle name="Normal 11 2 4 4 6 2" xfId="4287" xr:uid="{00000000-0005-0000-0000-0000B7100000}"/>
    <cellStyle name="Normal 11 2 4 4 6 3" xfId="4288" xr:uid="{00000000-0005-0000-0000-0000B8100000}"/>
    <cellStyle name="Normal 11 2 4 4 7" xfId="4289" xr:uid="{00000000-0005-0000-0000-0000B9100000}"/>
    <cellStyle name="Normal 11 2 4 4 7 2" xfId="4290" xr:uid="{00000000-0005-0000-0000-0000BA100000}"/>
    <cellStyle name="Normal 11 2 4 4 7 3" xfId="4291" xr:uid="{00000000-0005-0000-0000-0000BB100000}"/>
    <cellStyle name="Normal 11 2 4 4 8" xfId="4292" xr:uid="{00000000-0005-0000-0000-0000BC100000}"/>
    <cellStyle name="Normal 11 2 4 4 9" xfId="4293" xr:uid="{00000000-0005-0000-0000-0000BD100000}"/>
    <cellStyle name="Normal 11 2 4 5" xfId="4294" xr:uid="{00000000-0005-0000-0000-0000BE100000}"/>
    <cellStyle name="Normal 11 2 4 5 2" xfId="4295" xr:uid="{00000000-0005-0000-0000-0000BF100000}"/>
    <cellStyle name="Normal 11 2 4 5 3" xfId="4296" xr:uid="{00000000-0005-0000-0000-0000C0100000}"/>
    <cellStyle name="Normal 11 2 4 6" xfId="4297" xr:uid="{00000000-0005-0000-0000-0000C1100000}"/>
    <cellStyle name="Normal 11 2 4 6 2" xfId="4298" xr:uid="{00000000-0005-0000-0000-0000C2100000}"/>
    <cellStyle name="Normal 11 2 4 6 3" xfId="4299" xr:uid="{00000000-0005-0000-0000-0000C3100000}"/>
    <cellStyle name="Normal 11 2 4 7" xfId="4300" xr:uid="{00000000-0005-0000-0000-0000C4100000}"/>
    <cellStyle name="Normal 11 2 4 7 2" xfId="4301" xr:uid="{00000000-0005-0000-0000-0000C5100000}"/>
    <cellStyle name="Normal 11 2 4 7 3" xfId="4302" xr:uid="{00000000-0005-0000-0000-0000C6100000}"/>
    <cellStyle name="Normal 11 2 4 8" xfId="4303" xr:uid="{00000000-0005-0000-0000-0000C7100000}"/>
    <cellStyle name="Normal 11 2 4 8 2" xfId="4304" xr:uid="{00000000-0005-0000-0000-0000C8100000}"/>
    <cellStyle name="Normal 11 2 4 8 3" xfId="4305" xr:uid="{00000000-0005-0000-0000-0000C9100000}"/>
    <cellStyle name="Normal 11 2 4 9" xfId="4306" xr:uid="{00000000-0005-0000-0000-0000CA100000}"/>
    <cellStyle name="Normal 11 2 4 9 2" xfId="4307" xr:uid="{00000000-0005-0000-0000-0000CB100000}"/>
    <cellStyle name="Normal 11 2 4 9 3" xfId="4308" xr:uid="{00000000-0005-0000-0000-0000CC100000}"/>
    <cellStyle name="Normal 11 2 5" xfId="4309" xr:uid="{00000000-0005-0000-0000-0000CD100000}"/>
    <cellStyle name="Normal 11 2 5 10" xfId="4310" xr:uid="{00000000-0005-0000-0000-0000CE100000}"/>
    <cellStyle name="Normal 11 2 5 2" xfId="4311" xr:uid="{00000000-0005-0000-0000-0000CF100000}"/>
    <cellStyle name="Normal 11 2 5 2 2" xfId="4312" xr:uid="{00000000-0005-0000-0000-0000D0100000}"/>
    <cellStyle name="Normal 11 2 5 2 2 2" xfId="4313" xr:uid="{00000000-0005-0000-0000-0000D1100000}"/>
    <cellStyle name="Normal 11 2 5 2 2 3" xfId="4314" xr:uid="{00000000-0005-0000-0000-0000D2100000}"/>
    <cellStyle name="Normal 11 2 5 2 3" xfId="4315" xr:uid="{00000000-0005-0000-0000-0000D3100000}"/>
    <cellStyle name="Normal 11 2 5 2 3 2" xfId="4316" xr:uid="{00000000-0005-0000-0000-0000D4100000}"/>
    <cellStyle name="Normal 11 2 5 2 3 3" xfId="4317" xr:uid="{00000000-0005-0000-0000-0000D5100000}"/>
    <cellStyle name="Normal 11 2 5 2 4" xfId="4318" xr:uid="{00000000-0005-0000-0000-0000D6100000}"/>
    <cellStyle name="Normal 11 2 5 2 4 2" xfId="4319" xr:uid="{00000000-0005-0000-0000-0000D7100000}"/>
    <cellStyle name="Normal 11 2 5 2 4 3" xfId="4320" xr:uid="{00000000-0005-0000-0000-0000D8100000}"/>
    <cellStyle name="Normal 11 2 5 2 5" xfId="4321" xr:uid="{00000000-0005-0000-0000-0000D9100000}"/>
    <cellStyle name="Normal 11 2 5 2 5 2" xfId="4322" xr:uid="{00000000-0005-0000-0000-0000DA100000}"/>
    <cellStyle name="Normal 11 2 5 2 5 3" xfId="4323" xr:uid="{00000000-0005-0000-0000-0000DB100000}"/>
    <cellStyle name="Normal 11 2 5 2 6" xfId="4324" xr:uid="{00000000-0005-0000-0000-0000DC100000}"/>
    <cellStyle name="Normal 11 2 5 2 6 2" xfId="4325" xr:uid="{00000000-0005-0000-0000-0000DD100000}"/>
    <cellStyle name="Normal 11 2 5 2 6 3" xfId="4326" xr:uid="{00000000-0005-0000-0000-0000DE100000}"/>
    <cellStyle name="Normal 11 2 5 2 7" xfId="4327" xr:uid="{00000000-0005-0000-0000-0000DF100000}"/>
    <cellStyle name="Normal 11 2 5 2 7 2" xfId="4328" xr:uid="{00000000-0005-0000-0000-0000E0100000}"/>
    <cellStyle name="Normal 11 2 5 2 7 3" xfId="4329" xr:uid="{00000000-0005-0000-0000-0000E1100000}"/>
    <cellStyle name="Normal 11 2 5 2 8" xfId="4330" xr:uid="{00000000-0005-0000-0000-0000E2100000}"/>
    <cellStyle name="Normal 11 2 5 2 9" xfId="4331" xr:uid="{00000000-0005-0000-0000-0000E3100000}"/>
    <cellStyle name="Normal 11 2 5 3" xfId="4332" xr:uid="{00000000-0005-0000-0000-0000E4100000}"/>
    <cellStyle name="Normal 11 2 5 3 2" xfId="4333" xr:uid="{00000000-0005-0000-0000-0000E5100000}"/>
    <cellStyle name="Normal 11 2 5 3 3" xfId="4334" xr:uid="{00000000-0005-0000-0000-0000E6100000}"/>
    <cellStyle name="Normal 11 2 5 4" xfId="4335" xr:uid="{00000000-0005-0000-0000-0000E7100000}"/>
    <cellStyle name="Normal 11 2 5 4 2" xfId="4336" xr:uid="{00000000-0005-0000-0000-0000E8100000}"/>
    <cellStyle name="Normal 11 2 5 4 3" xfId="4337" xr:uid="{00000000-0005-0000-0000-0000E9100000}"/>
    <cellStyle name="Normal 11 2 5 5" xfId="4338" xr:uid="{00000000-0005-0000-0000-0000EA100000}"/>
    <cellStyle name="Normal 11 2 5 5 2" xfId="4339" xr:uid="{00000000-0005-0000-0000-0000EB100000}"/>
    <cellStyle name="Normal 11 2 5 5 3" xfId="4340" xr:uid="{00000000-0005-0000-0000-0000EC100000}"/>
    <cellStyle name="Normal 11 2 5 6" xfId="4341" xr:uid="{00000000-0005-0000-0000-0000ED100000}"/>
    <cellStyle name="Normal 11 2 5 6 2" xfId="4342" xr:uid="{00000000-0005-0000-0000-0000EE100000}"/>
    <cellStyle name="Normal 11 2 5 6 3" xfId="4343" xr:uid="{00000000-0005-0000-0000-0000EF100000}"/>
    <cellStyle name="Normal 11 2 5 7" xfId="4344" xr:uid="{00000000-0005-0000-0000-0000F0100000}"/>
    <cellStyle name="Normal 11 2 5 7 2" xfId="4345" xr:uid="{00000000-0005-0000-0000-0000F1100000}"/>
    <cellStyle name="Normal 11 2 5 7 3" xfId="4346" xr:uid="{00000000-0005-0000-0000-0000F2100000}"/>
    <cellStyle name="Normal 11 2 5 8" xfId="4347" xr:uid="{00000000-0005-0000-0000-0000F3100000}"/>
    <cellStyle name="Normal 11 2 5 8 2" xfId="4348" xr:uid="{00000000-0005-0000-0000-0000F4100000}"/>
    <cellStyle name="Normal 11 2 5 8 3" xfId="4349" xr:uid="{00000000-0005-0000-0000-0000F5100000}"/>
    <cellStyle name="Normal 11 2 5 9" xfId="4350" xr:uid="{00000000-0005-0000-0000-0000F6100000}"/>
    <cellStyle name="Normal 11 2 6" xfId="4351" xr:uid="{00000000-0005-0000-0000-0000F7100000}"/>
    <cellStyle name="Normal 11 2 6 10" xfId="4352" xr:uid="{00000000-0005-0000-0000-0000F8100000}"/>
    <cellStyle name="Normal 11 2 6 2" xfId="4353" xr:uid="{00000000-0005-0000-0000-0000F9100000}"/>
    <cellStyle name="Normal 11 2 6 2 2" xfId="4354" xr:uid="{00000000-0005-0000-0000-0000FA100000}"/>
    <cellStyle name="Normal 11 2 6 2 2 2" xfId="4355" xr:uid="{00000000-0005-0000-0000-0000FB100000}"/>
    <cellStyle name="Normal 11 2 6 2 2 3" xfId="4356" xr:uid="{00000000-0005-0000-0000-0000FC100000}"/>
    <cellStyle name="Normal 11 2 6 2 3" xfId="4357" xr:uid="{00000000-0005-0000-0000-0000FD100000}"/>
    <cellStyle name="Normal 11 2 6 2 3 2" xfId="4358" xr:uid="{00000000-0005-0000-0000-0000FE100000}"/>
    <cellStyle name="Normal 11 2 6 2 3 3" xfId="4359" xr:uid="{00000000-0005-0000-0000-0000FF100000}"/>
    <cellStyle name="Normal 11 2 6 2 4" xfId="4360" xr:uid="{00000000-0005-0000-0000-000000110000}"/>
    <cellStyle name="Normal 11 2 6 2 4 2" xfId="4361" xr:uid="{00000000-0005-0000-0000-000001110000}"/>
    <cellStyle name="Normal 11 2 6 2 4 3" xfId="4362" xr:uid="{00000000-0005-0000-0000-000002110000}"/>
    <cellStyle name="Normal 11 2 6 2 5" xfId="4363" xr:uid="{00000000-0005-0000-0000-000003110000}"/>
    <cellStyle name="Normal 11 2 6 2 5 2" xfId="4364" xr:uid="{00000000-0005-0000-0000-000004110000}"/>
    <cellStyle name="Normal 11 2 6 2 5 3" xfId="4365" xr:uid="{00000000-0005-0000-0000-000005110000}"/>
    <cellStyle name="Normal 11 2 6 2 6" xfId="4366" xr:uid="{00000000-0005-0000-0000-000006110000}"/>
    <cellStyle name="Normal 11 2 6 2 6 2" xfId="4367" xr:uid="{00000000-0005-0000-0000-000007110000}"/>
    <cellStyle name="Normal 11 2 6 2 6 3" xfId="4368" xr:uid="{00000000-0005-0000-0000-000008110000}"/>
    <cellStyle name="Normal 11 2 6 2 7" xfId="4369" xr:uid="{00000000-0005-0000-0000-000009110000}"/>
    <cellStyle name="Normal 11 2 6 2 7 2" xfId="4370" xr:uid="{00000000-0005-0000-0000-00000A110000}"/>
    <cellStyle name="Normal 11 2 6 2 7 3" xfId="4371" xr:uid="{00000000-0005-0000-0000-00000B110000}"/>
    <cellStyle name="Normal 11 2 6 2 8" xfId="4372" xr:uid="{00000000-0005-0000-0000-00000C110000}"/>
    <cellStyle name="Normal 11 2 6 2 9" xfId="4373" xr:uid="{00000000-0005-0000-0000-00000D110000}"/>
    <cellStyle name="Normal 11 2 6 3" xfId="4374" xr:uid="{00000000-0005-0000-0000-00000E110000}"/>
    <cellStyle name="Normal 11 2 6 3 2" xfId="4375" xr:uid="{00000000-0005-0000-0000-00000F110000}"/>
    <cellStyle name="Normal 11 2 6 3 3" xfId="4376" xr:uid="{00000000-0005-0000-0000-000010110000}"/>
    <cellStyle name="Normal 11 2 6 4" xfId="4377" xr:uid="{00000000-0005-0000-0000-000011110000}"/>
    <cellStyle name="Normal 11 2 6 4 2" xfId="4378" xr:uid="{00000000-0005-0000-0000-000012110000}"/>
    <cellStyle name="Normal 11 2 6 4 3" xfId="4379" xr:uid="{00000000-0005-0000-0000-000013110000}"/>
    <cellStyle name="Normal 11 2 6 5" xfId="4380" xr:uid="{00000000-0005-0000-0000-000014110000}"/>
    <cellStyle name="Normal 11 2 6 5 2" xfId="4381" xr:uid="{00000000-0005-0000-0000-000015110000}"/>
    <cellStyle name="Normal 11 2 6 5 3" xfId="4382" xr:uid="{00000000-0005-0000-0000-000016110000}"/>
    <cellStyle name="Normal 11 2 6 6" xfId="4383" xr:uid="{00000000-0005-0000-0000-000017110000}"/>
    <cellStyle name="Normal 11 2 6 6 2" xfId="4384" xr:uid="{00000000-0005-0000-0000-000018110000}"/>
    <cellStyle name="Normal 11 2 6 6 3" xfId="4385" xr:uid="{00000000-0005-0000-0000-000019110000}"/>
    <cellStyle name="Normal 11 2 6 7" xfId="4386" xr:uid="{00000000-0005-0000-0000-00001A110000}"/>
    <cellStyle name="Normal 11 2 6 7 2" xfId="4387" xr:uid="{00000000-0005-0000-0000-00001B110000}"/>
    <cellStyle name="Normal 11 2 6 7 3" xfId="4388" xr:uid="{00000000-0005-0000-0000-00001C110000}"/>
    <cellStyle name="Normal 11 2 6 8" xfId="4389" xr:uid="{00000000-0005-0000-0000-00001D110000}"/>
    <cellStyle name="Normal 11 2 6 8 2" xfId="4390" xr:uid="{00000000-0005-0000-0000-00001E110000}"/>
    <cellStyle name="Normal 11 2 6 8 3" xfId="4391" xr:uid="{00000000-0005-0000-0000-00001F110000}"/>
    <cellStyle name="Normal 11 2 6 9" xfId="4392" xr:uid="{00000000-0005-0000-0000-000020110000}"/>
    <cellStyle name="Normal 11 2 7" xfId="4393" xr:uid="{00000000-0005-0000-0000-000021110000}"/>
    <cellStyle name="Normal 11 2 7 2" xfId="4394" xr:uid="{00000000-0005-0000-0000-000022110000}"/>
    <cellStyle name="Normal 11 2 7 2 2" xfId="4395" xr:uid="{00000000-0005-0000-0000-000023110000}"/>
    <cellStyle name="Normal 11 2 7 2 3" xfId="4396" xr:uid="{00000000-0005-0000-0000-000024110000}"/>
    <cellStyle name="Normal 11 2 7 3" xfId="4397" xr:uid="{00000000-0005-0000-0000-000025110000}"/>
    <cellStyle name="Normal 11 2 7 3 2" xfId="4398" xr:uid="{00000000-0005-0000-0000-000026110000}"/>
    <cellStyle name="Normal 11 2 7 3 3" xfId="4399" xr:uid="{00000000-0005-0000-0000-000027110000}"/>
    <cellStyle name="Normal 11 2 7 4" xfId="4400" xr:uid="{00000000-0005-0000-0000-000028110000}"/>
    <cellStyle name="Normal 11 2 7 4 2" xfId="4401" xr:uid="{00000000-0005-0000-0000-000029110000}"/>
    <cellStyle name="Normal 11 2 7 4 3" xfId="4402" xr:uid="{00000000-0005-0000-0000-00002A110000}"/>
    <cellStyle name="Normal 11 2 7 5" xfId="4403" xr:uid="{00000000-0005-0000-0000-00002B110000}"/>
    <cellStyle name="Normal 11 2 7 5 2" xfId="4404" xr:uid="{00000000-0005-0000-0000-00002C110000}"/>
    <cellStyle name="Normal 11 2 7 5 3" xfId="4405" xr:uid="{00000000-0005-0000-0000-00002D110000}"/>
    <cellStyle name="Normal 11 2 7 6" xfId="4406" xr:uid="{00000000-0005-0000-0000-00002E110000}"/>
    <cellStyle name="Normal 11 2 7 6 2" xfId="4407" xr:uid="{00000000-0005-0000-0000-00002F110000}"/>
    <cellStyle name="Normal 11 2 7 6 3" xfId="4408" xr:uid="{00000000-0005-0000-0000-000030110000}"/>
    <cellStyle name="Normal 11 2 7 7" xfId="4409" xr:uid="{00000000-0005-0000-0000-000031110000}"/>
    <cellStyle name="Normal 11 2 7 7 2" xfId="4410" xr:uid="{00000000-0005-0000-0000-000032110000}"/>
    <cellStyle name="Normal 11 2 7 7 3" xfId="4411" xr:uid="{00000000-0005-0000-0000-000033110000}"/>
    <cellStyle name="Normal 11 2 7 8" xfId="4412" xr:uid="{00000000-0005-0000-0000-000034110000}"/>
    <cellStyle name="Normal 11 2 7 9" xfId="4413" xr:uid="{00000000-0005-0000-0000-000035110000}"/>
    <cellStyle name="Normal 11 2 8" xfId="4414" xr:uid="{00000000-0005-0000-0000-000036110000}"/>
    <cellStyle name="Normal 11 2 8 2" xfId="4415" xr:uid="{00000000-0005-0000-0000-000037110000}"/>
    <cellStyle name="Normal 11 2 8 3" xfId="4416" xr:uid="{00000000-0005-0000-0000-000038110000}"/>
    <cellStyle name="Normal 11 2 9" xfId="4417" xr:uid="{00000000-0005-0000-0000-000039110000}"/>
    <cellStyle name="Normal 11 2 9 2" xfId="4418" xr:uid="{00000000-0005-0000-0000-00003A110000}"/>
    <cellStyle name="Normal 11 2 9 3" xfId="4419" xr:uid="{00000000-0005-0000-0000-00003B110000}"/>
    <cellStyle name="Normal 11 3" xfId="4420" xr:uid="{00000000-0005-0000-0000-00003C110000}"/>
    <cellStyle name="Normal 11 3 10" xfId="4421" xr:uid="{00000000-0005-0000-0000-00003D110000}"/>
    <cellStyle name="Normal 11 3 10 2" xfId="4422" xr:uid="{00000000-0005-0000-0000-00003E110000}"/>
    <cellStyle name="Normal 11 3 10 3" xfId="4423" xr:uid="{00000000-0005-0000-0000-00003F110000}"/>
    <cellStyle name="Normal 11 3 11" xfId="4424" xr:uid="{00000000-0005-0000-0000-000040110000}"/>
    <cellStyle name="Normal 11 3 11 2" xfId="4425" xr:uid="{00000000-0005-0000-0000-000041110000}"/>
    <cellStyle name="Normal 11 3 11 3" xfId="4426" xr:uid="{00000000-0005-0000-0000-000042110000}"/>
    <cellStyle name="Normal 11 3 12" xfId="4427" xr:uid="{00000000-0005-0000-0000-000043110000}"/>
    <cellStyle name="Normal 11 3 12 2" xfId="4428" xr:uid="{00000000-0005-0000-0000-000044110000}"/>
    <cellStyle name="Normal 11 3 12 3" xfId="4429" xr:uid="{00000000-0005-0000-0000-000045110000}"/>
    <cellStyle name="Normal 11 3 13" xfId="4430" xr:uid="{00000000-0005-0000-0000-000046110000}"/>
    <cellStyle name="Normal 11 3 14" xfId="4431" xr:uid="{00000000-0005-0000-0000-000047110000}"/>
    <cellStyle name="Normal 11 3 2" xfId="4432" xr:uid="{00000000-0005-0000-0000-000048110000}"/>
    <cellStyle name="Normal 11 3 2 10" xfId="4433" xr:uid="{00000000-0005-0000-0000-000049110000}"/>
    <cellStyle name="Normal 11 3 2 10 2" xfId="4434" xr:uid="{00000000-0005-0000-0000-00004A110000}"/>
    <cellStyle name="Normal 11 3 2 10 3" xfId="4435" xr:uid="{00000000-0005-0000-0000-00004B110000}"/>
    <cellStyle name="Normal 11 3 2 11" xfId="4436" xr:uid="{00000000-0005-0000-0000-00004C110000}"/>
    <cellStyle name="Normal 11 3 2 11 2" xfId="4437" xr:uid="{00000000-0005-0000-0000-00004D110000}"/>
    <cellStyle name="Normal 11 3 2 11 3" xfId="4438" xr:uid="{00000000-0005-0000-0000-00004E110000}"/>
    <cellStyle name="Normal 11 3 2 12" xfId="4439" xr:uid="{00000000-0005-0000-0000-00004F110000}"/>
    <cellStyle name="Normal 11 3 2 13" xfId="4440" xr:uid="{00000000-0005-0000-0000-000050110000}"/>
    <cellStyle name="Normal 11 3 2 2" xfId="4441" xr:uid="{00000000-0005-0000-0000-000051110000}"/>
    <cellStyle name="Normal 11 3 2 2 10" xfId="4442" xr:uid="{00000000-0005-0000-0000-000052110000}"/>
    <cellStyle name="Normal 11 3 2 2 10 2" xfId="4443" xr:uid="{00000000-0005-0000-0000-000053110000}"/>
    <cellStyle name="Normal 11 3 2 2 10 3" xfId="4444" xr:uid="{00000000-0005-0000-0000-000054110000}"/>
    <cellStyle name="Normal 11 3 2 2 11" xfId="4445" xr:uid="{00000000-0005-0000-0000-000055110000}"/>
    <cellStyle name="Normal 11 3 2 2 12" xfId="4446" xr:uid="{00000000-0005-0000-0000-000056110000}"/>
    <cellStyle name="Normal 11 3 2 2 2" xfId="4447" xr:uid="{00000000-0005-0000-0000-000057110000}"/>
    <cellStyle name="Normal 11 3 2 2 2 10" xfId="4448" xr:uid="{00000000-0005-0000-0000-000058110000}"/>
    <cellStyle name="Normal 11 3 2 2 2 2" xfId="4449" xr:uid="{00000000-0005-0000-0000-000059110000}"/>
    <cellStyle name="Normal 11 3 2 2 2 2 2" xfId="4450" xr:uid="{00000000-0005-0000-0000-00005A110000}"/>
    <cellStyle name="Normal 11 3 2 2 2 2 2 2" xfId="4451" xr:uid="{00000000-0005-0000-0000-00005B110000}"/>
    <cellStyle name="Normal 11 3 2 2 2 2 2 3" xfId="4452" xr:uid="{00000000-0005-0000-0000-00005C110000}"/>
    <cellStyle name="Normal 11 3 2 2 2 2 3" xfId="4453" xr:uid="{00000000-0005-0000-0000-00005D110000}"/>
    <cellStyle name="Normal 11 3 2 2 2 2 3 2" xfId="4454" xr:uid="{00000000-0005-0000-0000-00005E110000}"/>
    <cellStyle name="Normal 11 3 2 2 2 2 3 3" xfId="4455" xr:uid="{00000000-0005-0000-0000-00005F110000}"/>
    <cellStyle name="Normal 11 3 2 2 2 2 4" xfId="4456" xr:uid="{00000000-0005-0000-0000-000060110000}"/>
    <cellStyle name="Normal 11 3 2 2 2 2 4 2" xfId="4457" xr:uid="{00000000-0005-0000-0000-000061110000}"/>
    <cellStyle name="Normal 11 3 2 2 2 2 4 3" xfId="4458" xr:uid="{00000000-0005-0000-0000-000062110000}"/>
    <cellStyle name="Normal 11 3 2 2 2 2 5" xfId="4459" xr:uid="{00000000-0005-0000-0000-000063110000}"/>
    <cellStyle name="Normal 11 3 2 2 2 2 5 2" xfId="4460" xr:uid="{00000000-0005-0000-0000-000064110000}"/>
    <cellStyle name="Normal 11 3 2 2 2 2 5 3" xfId="4461" xr:uid="{00000000-0005-0000-0000-000065110000}"/>
    <cellStyle name="Normal 11 3 2 2 2 2 6" xfId="4462" xr:uid="{00000000-0005-0000-0000-000066110000}"/>
    <cellStyle name="Normal 11 3 2 2 2 2 6 2" xfId="4463" xr:uid="{00000000-0005-0000-0000-000067110000}"/>
    <cellStyle name="Normal 11 3 2 2 2 2 6 3" xfId="4464" xr:uid="{00000000-0005-0000-0000-000068110000}"/>
    <cellStyle name="Normal 11 3 2 2 2 2 7" xfId="4465" xr:uid="{00000000-0005-0000-0000-000069110000}"/>
    <cellStyle name="Normal 11 3 2 2 2 2 7 2" xfId="4466" xr:uid="{00000000-0005-0000-0000-00006A110000}"/>
    <cellStyle name="Normal 11 3 2 2 2 2 7 3" xfId="4467" xr:uid="{00000000-0005-0000-0000-00006B110000}"/>
    <cellStyle name="Normal 11 3 2 2 2 2 8" xfId="4468" xr:uid="{00000000-0005-0000-0000-00006C110000}"/>
    <cellStyle name="Normal 11 3 2 2 2 2 9" xfId="4469" xr:uid="{00000000-0005-0000-0000-00006D110000}"/>
    <cellStyle name="Normal 11 3 2 2 2 3" xfId="4470" xr:uid="{00000000-0005-0000-0000-00006E110000}"/>
    <cellStyle name="Normal 11 3 2 2 2 3 2" xfId="4471" xr:uid="{00000000-0005-0000-0000-00006F110000}"/>
    <cellStyle name="Normal 11 3 2 2 2 3 3" xfId="4472" xr:uid="{00000000-0005-0000-0000-000070110000}"/>
    <cellStyle name="Normal 11 3 2 2 2 4" xfId="4473" xr:uid="{00000000-0005-0000-0000-000071110000}"/>
    <cellStyle name="Normal 11 3 2 2 2 4 2" xfId="4474" xr:uid="{00000000-0005-0000-0000-000072110000}"/>
    <cellStyle name="Normal 11 3 2 2 2 4 3" xfId="4475" xr:uid="{00000000-0005-0000-0000-000073110000}"/>
    <cellStyle name="Normal 11 3 2 2 2 5" xfId="4476" xr:uid="{00000000-0005-0000-0000-000074110000}"/>
    <cellStyle name="Normal 11 3 2 2 2 5 2" xfId="4477" xr:uid="{00000000-0005-0000-0000-000075110000}"/>
    <cellStyle name="Normal 11 3 2 2 2 5 3" xfId="4478" xr:uid="{00000000-0005-0000-0000-000076110000}"/>
    <cellStyle name="Normal 11 3 2 2 2 6" xfId="4479" xr:uid="{00000000-0005-0000-0000-000077110000}"/>
    <cellStyle name="Normal 11 3 2 2 2 6 2" xfId="4480" xr:uid="{00000000-0005-0000-0000-000078110000}"/>
    <cellStyle name="Normal 11 3 2 2 2 6 3" xfId="4481" xr:uid="{00000000-0005-0000-0000-000079110000}"/>
    <cellStyle name="Normal 11 3 2 2 2 7" xfId="4482" xr:uid="{00000000-0005-0000-0000-00007A110000}"/>
    <cellStyle name="Normal 11 3 2 2 2 7 2" xfId="4483" xr:uid="{00000000-0005-0000-0000-00007B110000}"/>
    <cellStyle name="Normal 11 3 2 2 2 7 3" xfId="4484" xr:uid="{00000000-0005-0000-0000-00007C110000}"/>
    <cellStyle name="Normal 11 3 2 2 2 8" xfId="4485" xr:uid="{00000000-0005-0000-0000-00007D110000}"/>
    <cellStyle name="Normal 11 3 2 2 2 8 2" xfId="4486" xr:uid="{00000000-0005-0000-0000-00007E110000}"/>
    <cellStyle name="Normal 11 3 2 2 2 8 3" xfId="4487" xr:uid="{00000000-0005-0000-0000-00007F110000}"/>
    <cellStyle name="Normal 11 3 2 2 2 9" xfId="4488" xr:uid="{00000000-0005-0000-0000-000080110000}"/>
    <cellStyle name="Normal 11 3 2 2 3" xfId="4489" xr:uid="{00000000-0005-0000-0000-000081110000}"/>
    <cellStyle name="Normal 11 3 2 2 3 10" xfId="4490" xr:uid="{00000000-0005-0000-0000-000082110000}"/>
    <cellStyle name="Normal 11 3 2 2 3 2" xfId="4491" xr:uid="{00000000-0005-0000-0000-000083110000}"/>
    <cellStyle name="Normal 11 3 2 2 3 2 2" xfId="4492" xr:uid="{00000000-0005-0000-0000-000084110000}"/>
    <cellStyle name="Normal 11 3 2 2 3 2 2 2" xfId="4493" xr:uid="{00000000-0005-0000-0000-000085110000}"/>
    <cellStyle name="Normal 11 3 2 2 3 2 2 3" xfId="4494" xr:uid="{00000000-0005-0000-0000-000086110000}"/>
    <cellStyle name="Normal 11 3 2 2 3 2 3" xfId="4495" xr:uid="{00000000-0005-0000-0000-000087110000}"/>
    <cellStyle name="Normal 11 3 2 2 3 2 3 2" xfId="4496" xr:uid="{00000000-0005-0000-0000-000088110000}"/>
    <cellStyle name="Normal 11 3 2 2 3 2 3 3" xfId="4497" xr:uid="{00000000-0005-0000-0000-000089110000}"/>
    <cellStyle name="Normal 11 3 2 2 3 2 4" xfId="4498" xr:uid="{00000000-0005-0000-0000-00008A110000}"/>
    <cellStyle name="Normal 11 3 2 2 3 2 4 2" xfId="4499" xr:uid="{00000000-0005-0000-0000-00008B110000}"/>
    <cellStyle name="Normal 11 3 2 2 3 2 4 3" xfId="4500" xr:uid="{00000000-0005-0000-0000-00008C110000}"/>
    <cellStyle name="Normal 11 3 2 2 3 2 5" xfId="4501" xr:uid="{00000000-0005-0000-0000-00008D110000}"/>
    <cellStyle name="Normal 11 3 2 2 3 2 5 2" xfId="4502" xr:uid="{00000000-0005-0000-0000-00008E110000}"/>
    <cellStyle name="Normal 11 3 2 2 3 2 5 3" xfId="4503" xr:uid="{00000000-0005-0000-0000-00008F110000}"/>
    <cellStyle name="Normal 11 3 2 2 3 2 6" xfId="4504" xr:uid="{00000000-0005-0000-0000-000090110000}"/>
    <cellStyle name="Normal 11 3 2 2 3 2 6 2" xfId="4505" xr:uid="{00000000-0005-0000-0000-000091110000}"/>
    <cellStyle name="Normal 11 3 2 2 3 2 6 3" xfId="4506" xr:uid="{00000000-0005-0000-0000-000092110000}"/>
    <cellStyle name="Normal 11 3 2 2 3 2 7" xfId="4507" xr:uid="{00000000-0005-0000-0000-000093110000}"/>
    <cellStyle name="Normal 11 3 2 2 3 2 7 2" xfId="4508" xr:uid="{00000000-0005-0000-0000-000094110000}"/>
    <cellStyle name="Normal 11 3 2 2 3 2 7 3" xfId="4509" xr:uid="{00000000-0005-0000-0000-000095110000}"/>
    <cellStyle name="Normal 11 3 2 2 3 2 8" xfId="4510" xr:uid="{00000000-0005-0000-0000-000096110000}"/>
    <cellStyle name="Normal 11 3 2 2 3 2 9" xfId="4511" xr:uid="{00000000-0005-0000-0000-000097110000}"/>
    <cellStyle name="Normal 11 3 2 2 3 3" xfId="4512" xr:uid="{00000000-0005-0000-0000-000098110000}"/>
    <cellStyle name="Normal 11 3 2 2 3 3 2" xfId="4513" xr:uid="{00000000-0005-0000-0000-000099110000}"/>
    <cellStyle name="Normal 11 3 2 2 3 3 3" xfId="4514" xr:uid="{00000000-0005-0000-0000-00009A110000}"/>
    <cellStyle name="Normal 11 3 2 2 3 4" xfId="4515" xr:uid="{00000000-0005-0000-0000-00009B110000}"/>
    <cellStyle name="Normal 11 3 2 2 3 4 2" xfId="4516" xr:uid="{00000000-0005-0000-0000-00009C110000}"/>
    <cellStyle name="Normal 11 3 2 2 3 4 3" xfId="4517" xr:uid="{00000000-0005-0000-0000-00009D110000}"/>
    <cellStyle name="Normal 11 3 2 2 3 5" xfId="4518" xr:uid="{00000000-0005-0000-0000-00009E110000}"/>
    <cellStyle name="Normal 11 3 2 2 3 5 2" xfId="4519" xr:uid="{00000000-0005-0000-0000-00009F110000}"/>
    <cellStyle name="Normal 11 3 2 2 3 5 3" xfId="4520" xr:uid="{00000000-0005-0000-0000-0000A0110000}"/>
    <cellStyle name="Normal 11 3 2 2 3 6" xfId="4521" xr:uid="{00000000-0005-0000-0000-0000A1110000}"/>
    <cellStyle name="Normal 11 3 2 2 3 6 2" xfId="4522" xr:uid="{00000000-0005-0000-0000-0000A2110000}"/>
    <cellStyle name="Normal 11 3 2 2 3 6 3" xfId="4523" xr:uid="{00000000-0005-0000-0000-0000A3110000}"/>
    <cellStyle name="Normal 11 3 2 2 3 7" xfId="4524" xr:uid="{00000000-0005-0000-0000-0000A4110000}"/>
    <cellStyle name="Normal 11 3 2 2 3 7 2" xfId="4525" xr:uid="{00000000-0005-0000-0000-0000A5110000}"/>
    <cellStyle name="Normal 11 3 2 2 3 7 3" xfId="4526" xr:uid="{00000000-0005-0000-0000-0000A6110000}"/>
    <cellStyle name="Normal 11 3 2 2 3 8" xfId="4527" xr:uid="{00000000-0005-0000-0000-0000A7110000}"/>
    <cellStyle name="Normal 11 3 2 2 3 8 2" xfId="4528" xr:uid="{00000000-0005-0000-0000-0000A8110000}"/>
    <cellStyle name="Normal 11 3 2 2 3 8 3" xfId="4529" xr:uid="{00000000-0005-0000-0000-0000A9110000}"/>
    <cellStyle name="Normal 11 3 2 2 3 9" xfId="4530" xr:uid="{00000000-0005-0000-0000-0000AA110000}"/>
    <cellStyle name="Normal 11 3 2 2 4" xfId="4531" xr:uid="{00000000-0005-0000-0000-0000AB110000}"/>
    <cellStyle name="Normal 11 3 2 2 4 2" xfId="4532" xr:uid="{00000000-0005-0000-0000-0000AC110000}"/>
    <cellStyle name="Normal 11 3 2 2 4 2 2" xfId="4533" xr:uid="{00000000-0005-0000-0000-0000AD110000}"/>
    <cellStyle name="Normal 11 3 2 2 4 2 3" xfId="4534" xr:uid="{00000000-0005-0000-0000-0000AE110000}"/>
    <cellStyle name="Normal 11 3 2 2 4 3" xfId="4535" xr:uid="{00000000-0005-0000-0000-0000AF110000}"/>
    <cellStyle name="Normal 11 3 2 2 4 3 2" xfId="4536" xr:uid="{00000000-0005-0000-0000-0000B0110000}"/>
    <cellStyle name="Normal 11 3 2 2 4 3 3" xfId="4537" xr:uid="{00000000-0005-0000-0000-0000B1110000}"/>
    <cellStyle name="Normal 11 3 2 2 4 4" xfId="4538" xr:uid="{00000000-0005-0000-0000-0000B2110000}"/>
    <cellStyle name="Normal 11 3 2 2 4 4 2" xfId="4539" xr:uid="{00000000-0005-0000-0000-0000B3110000}"/>
    <cellStyle name="Normal 11 3 2 2 4 4 3" xfId="4540" xr:uid="{00000000-0005-0000-0000-0000B4110000}"/>
    <cellStyle name="Normal 11 3 2 2 4 5" xfId="4541" xr:uid="{00000000-0005-0000-0000-0000B5110000}"/>
    <cellStyle name="Normal 11 3 2 2 4 5 2" xfId="4542" xr:uid="{00000000-0005-0000-0000-0000B6110000}"/>
    <cellStyle name="Normal 11 3 2 2 4 5 3" xfId="4543" xr:uid="{00000000-0005-0000-0000-0000B7110000}"/>
    <cellStyle name="Normal 11 3 2 2 4 6" xfId="4544" xr:uid="{00000000-0005-0000-0000-0000B8110000}"/>
    <cellStyle name="Normal 11 3 2 2 4 6 2" xfId="4545" xr:uid="{00000000-0005-0000-0000-0000B9110000}"/>
    <cellStyle name="Normal 11 3 2 2 4 6 3" xfId="4546" xr:uid="{00000000-0005-0000-0000-0000BA110000}"/>
    <cellStyle name="Normal 11 3 2 2 4 7" xfId="4547" xr:uid="{00000000-0005-0000-0000-0000BB110000}"/>
    <cellStyle name="Normal 11 3 2 2 4 7 2" xfId="4548" xr:uid="{00000000-0005-0000-0000-0000BC110000}"/>
    <cellStyle name="Normal 11 3 2 2 4 7 3" xfId="4549" xr:uid="{00000000-0005-0000-0000-0000BD110000}"/>
    <cellStyle name="Normal 11 3 2 2 4 8" xfId="4550" xr:uid="{00000000-0005-0000-0000-0000BE110000}"/>
    <cellStyle name="Normal 11 3 2 2 4 9" xfId="4551" xr:uid="{00000000-0005-0000-0000-0000BF110000}"/>
    <cellStyle name="Normal 11 3 2 2 5" xfId="4552" xr:uid="{00000000-0005-0000-0000-0000C0110000}"/>
    <cellStyle name="Normal 11 3 2 2 5 2" xfId="4553" xr:uid="{00000000-0005-0000-0000-0000C1110000}"/>
    <cellStyle name="Normal 11 3 2 2 5 3" xfId="4554" xr:uid="{00000000-0005-0000-0000-0000C2110000}"/>
    <cellStyle name="Normal 11 3 2 2 6" xfId="4555" xr:uid="{00000000-0005-0000-0000-0000C3110000}"/>
    <cellStyle name="Normal 11 3 2 2 6 2" xfId="4556" xr:uid="{00000000-0005-0000-0000-0000C4110000}"/>
    <cellStyle name="Normal 11 3 2 2 6 3" xfId="4557" xr:uid="{00000000-0005-0000-0000-0000C5110000}"/>
    <cellStyle name="Normal 11 3 2 2 7" xfId="4558" xr:uid="{00000000-0005-0000-0000-0000C6110000}"/>
    <cellStyle name="Normal 11 3 2 2 7 2" xfId="4559" xr:uid="{00000000-0005-0000-0000-0000C7110000}"/>
    <cellStyle name="Normal 11 3 2 2 7 3" xfId="4560" xr:uid="{00000000-0005-0000-0000-0000C8110000}"/>
    <cellStyle name="Normal 11 3 2 2 8" xfId="4561" xr:uid="{00000000-0005-0000-0000-0000C9110000}"/>
    <cellStyle name="Normal 11 3 2 2 8 2" xfId="4562" xr:uid="{00000000-0005-0000-0000-0000CA110000}"/>
    <cellStyle name="Normal 11 3 2 2 8 3" xfId="4563" xr:uid="{00000000-0005-0000-0000-0000CB110000}"/>
    <cellStyle name="Normal 11 3 2 2 9" xfId="4564" xr:uid="{00000000-0005-0000-0000-0000CC110000}"/>
    <cellStyle name="Normal 11 3 2 2 9 2" xfId="4565" xr:uid="{00000000-0005-0000-0000-0000CD110000}"/>
    <cellStyle name="Normal 11 3 2 2 9 3" xfId="4566" xr:uid="{00000000-0005-0000-0000-0000CE110000}"/>
    <cellStyle name="Normal 11 3 2 3" xfId="4567" xr:uid="{00000000-0005-0000-0000-0000CF110000}"/>
    <cellStyle name="Normal 11 3 2 3 10" xfId="4568" xr:uid="{00000000-0005-0000-0000-0000D0110000}"/>
    <cellStyle name="Normal 11 3 2 3 2" xfId="4569" xr:uid="{00000000-0005-0000-0000-0000D1110000}"/>
    <cellStyle name="Normal 11 3 2 3 2 2" xfId="4570" xr:uid="{00000000-0005-0000-0000-0000D2110000}"/>
    <cellStyle name="Normal 11 3 2 3 2 2 2" xfId="4571" xr:uid="{00000000-0005-0000-0000-0000D3110000}"/>
    <cellStyle name="Normal 11 3 2 3 2 2 3" xfId="4572" xr:uid="{00000000-0005-0000-0000-0000D4110000}"/>
    <cellStyle name="Normal 11 3 2 3 2 3" xfId="4573" xr:uid="{00000000-0005-0000-0000-0000D5110000}"/>
    <cellStyle name="Normal 11 3 2 3 2 3 2" xfId="4574" xr:uid="{00000000-0005-0000-0000-0000D6110000}"/>
    <cellStyle name="Normal 11 3 2 3 2 3 3" xfId="4575" xr:uid="{00000000-0005-0000-0000-0000D7110000}"/>
    <cellStyle name="Normal 11 3 2 3 2 4" xfId="4576" xr:uid="{00000000-0005-0000-0000-0000D8110000}"/>
    <cellStyle name="Normal 11 3 2 3 2 4 2" xfId="4577" xr:uid="{00000000-0005-0000-0000-0000D9110000}"/>
    <cellStyle name="Normal 11 3 2 3 2 4 3" xfId="4578" xr:uid="{00000000-0005-0000-0000-0000DA110000}"/>
    <cellStyle name="Normal 11 3 2 3 2 5" xfId="4579" xr:uid="{00000000-0005-0000-0000-0000DB110000}"/>
    <cellStyle name="Normal 11 3 2 3 2 5 2" xfId="4580" xr:uid="{00000000-0005-0000-0000-0000DC110000}"/>
    <cellStyle name="Normal 11 3 2 3 2 5 3" xfId="4581" xr:uid="{00000000-0005-0000-0000-0000DD110000}"/>
    <cellStyle name="Normal 11 3 2 3 2 6" xfId="4582" xr:uid="{00000000-0005-0000-0000-0000DE110000}"/>
    <cellStyle name="Normal 11 3 2 3 2 6 2" xfId="4583" xr:uid="{00000000-0005-0000-0000-0000DF110000}"/>
    <cellStyle name="Normal 11 3 2 3 2 6 3" xfId="4584" xr:uid="{00000000-0005-0000-0000-0000E0110000}"/>
    <cellStyle name="Normal 11 3 2 3 2 7" xfId="4585" xr:uid="{00000000-0005-0000-0000-0000E1110000}"/>
    <cellStyle name="Normal 11 3 2 3 2 7 2" xfId="4586" xr:uid="{00000000-0005-0000-0000-0000E2110000}"/>
    <cellStyle name="Normal 11 3 2 3 2 7 3" xfId="4587" xr:uid="{00000000-0005-0000-0000-0000E3110000}"/>
    <cellStyle name="Normal 11 3 2 3 2 8" xfId="4588" xr:uid="{00000000-0005-0000-0000-0000E4110000}"/>
    <cellStyle name="Normal 11 3 2 3 2 9" xfId="4589" xr:uid="{00000000-0005-0000-0000-0000E5110000}"/>
    <cellStyle name="Normal 11 3 2 3 3" xfId="4590" xr:uid="{00000000-0005-0000-0000-0000E6110000}"/>
    <cellStyle name="Normal 11 3 2 3 3 2" xfId="4591" xr:uid="{00000000-0005-0000-0000-0000E7110000}"/>
    <cellStyle name="Normal 11 3 2 3 3 3" xfId="4592" xr:uid="{00000000-0005-0000-0000-0000E8110000}"/>
    <cellStyle name="Normal 11 3 2 3 4" xfId="4593" xr:uid="{00000000-0005-0000-0000-0000E9110000}"/>
    <cellStyle name="Normal 11 3 2 3 4 2" xfId="4594" xr:uid="{00000000-0005-0000-0000-0000EA110000}"/>
    <cellStyle name="Normal 11 3 2 3 4 3" xfId="4595" xr:uid="{00000000-0005-0000-0000-0000EB110000}"/>
    <cellStyle name="Normal 11 3 2 3 5" xfId="4596" xr:uid="{00000000-0005-0000-0000-0000EC110000}"/>
    <cellStyle name="Normal 11 3 2 3 5 2" xfId="4597" xr:uid="{00000000-0005-0000-0000-0000ED110000}"/>
    <cellStyle name="Normal 11 3 2 3 5 3" xfId="4598" xr:uid="{00000000-0005-0000-0000-0000EE110000}"/>
    <cellStyle name="Normal 11 3 2 3 6" xfId="4599" xr:uid="{00000000-0005-0000-0000-0000EF110000}"/>
    <cellStyle name="Normal 11 3 2 3 6 2" xfId="4600" xr:uid="{00000000-0005-0000-0000-0000F0110000}"/>
    <cellStyle name="Normal 11 3 2 3 6 3" xfId="4601" xr:uid="{00000000-0005-0000-0000-0000F1110000}"/>
    <cellStyle name="Normal 11 3 2 3 7" xfId="4602" xr:uid="{00000000-0005-0000-0000-0000F2110000}"/>
    <cellStyle name="Normal 11 3 2 3 7 2" xfId="4603" xr:uid="{00000000-0005-0000-0000-0000F3110000}"/>
    <cellStyle name="Normal 11 3 2 3 7 3" xfId="4604" xr:uid="{00000000-0005-0000-0000-0000F4110000}"/>
    <cellStyle name="Normal 11 3 2 3 8" xfId="4605" xr:uid="{00000000-0005-0000-0000-0000F5110000}"/>
    <cellStyle name="Normal 11 3 2 3 8 2" xfId="4606" xr:uid="{00000000-0005-0000-0000-0000F6110000}"/>
    <cellStyle name="Normal 11 3 2 3 8 3" xfId="4607" xr:uid="{00000000-0005-0000-0000-0000F7110000}"/>
    <cellStyle name="Normal 11 3 2 3 9" xfId="4608" xr:uid="{00000000-0005-0000-0000-0000F8110000}"/>
    <cellStyle name="Normal 11 3 2 4" xfId="4609" xr:uid="{00000000-0005-0000-0000-0000F9110000}"/>
    <cellStyle name="Normal 11 3 2 4 10" xfId="4610" xr:uid="{00000000-0005-0000-0000-0000FA110000}"/>
    <cellStyle name="Normal 11 3 2 4 2" xfId="4611" xr:uid="{00000000-0005-0000-0000-0000FB110000}"/>
    <cellStyle name="Normal 11 3 2 4 2 2" xfId="4612" xr:uid="{00000000-0005-0000-0000-0000FC110000}"/>
    <cellStyle name="Normal 11 3 2 4 2 2 2" xfId="4613" xr:uid="{00000000-0005-0000-0000-0000FD110000}"/>
    <cellStyle name="Normal 11 3 2 4 2 2 3" xfId="4614" xr:uid="{00000000-0005-0000-0000-0000FE110000}"/>
    <cellStyle name="Normal 11 3 2 4 2 3" xfId="4615" xr:uid="{00000000-0005-0000-0000-0000FF110000}"/>
    <cellStyle name="Normal 11 3 2 4 2 3 2" xfId="4616" xr:uid="{00000000-0005-0000-0000-000000120000}"/>
    <cellStyle name="Normal 11 3 2 4 2 3 3" xfId="4617" xr:uid="{00000000-0005-0000-0000-000001120000}"/>
    <cellStyle name="Normal 11 3 2 4 2 4" xfId="4618" xr:uid="{00000000-0005-0000-0000-000002120000}"/>
    <cellStyle name="Normal 11 3 2 4 2 4 2" xfId="4619" xr:uid="{00000000-0005-0000-0000-000003120000}"/>
    <cellStyle name="Normal 11 3 2 4 2 4 3" xfId="4620" xr:uid="{00000000-0005-0000-0000-000004120000}"/>
    <cellStyle name="Normal 11 3 2 4 2 5" xfId="4621" xr:uid="{00000000-0005-0000-0000-000005120000}"/>
    <cellStyle name="Normal 11 3 2 4 2 5 2" xfId="4622" xr:uid="{00000000-0005-0000-0000-000006120000}"/>
    <cellStyle name="Normal 11 3 2 4 2 5 3" xfId="4623" xr:uid="{00000000-0005-0000-0000-000007120000}"/>
    <cellStyle name="Normal 11 3 2 4 2 6" xfId="4624" xr:uid="{00000000-0005-0000-0000-000008120000}"/>
    <cellStyle name="Normal 11 3 2 4 2 6 2" xfId="4625" xr:uid="{00000000-0005-0000-0000-000009120000}"/>
    <cellStyle name="Normal 11 3 2 4 2 6 3" xfId="4626" xr:uid="{00000000-0005-0000-0000-00000A120000}"/>
    <cellStyle name="Normal 11 3 2 4 2 7" xfId="4627" xr:uid="{00000000-0005-0000-0000-00000B120000}"/>
    <cellStyle name="Normal 11 3 2 4 2 7 2" xfId="4628" xr:uid="{00000000-0005-0000-0000-00000C120000}"/>
    <cellStyle name="Normal 11 3 2 4 2 7 3" xfId="4629" xr:uid="{00000000-0005-0000-0000-00000D120000}"/>
    <cellStyle name="Normal 11 3 2 4 2 8" xfId="4630" xr:uid="{00000000-0005-0000-0000-00000E120000}"/>
    <cellStyle name="Normal 11 3 2 4 2 9" xfId="4631" xr:uid="{00000000-0005-0000-0000-00000F120000}"/>
    <cellStyle name="Normal 11 3 2 4 3" xfId="4632" xr:uid="{00000000-0005-0000-0000-000010120000}"/>
    <cellStyle name="Normal 11 3 2 4 3 2" xfId="4633" xr:uid="{00000000-0005-0000-0000-000011120000}"/>
    <cellStyle name="Normal 11 3 2 4 3 3" xfId="4634" xr:uid="{00000000-0005-0000-0000-000012120000}"/>
    <cellStyle name="Normal 11 3 2 4 4" xfId="4635" xr:uid="{00000000-0005-0000-0000-000013120000}"/>
    <cellStyle name="Normal 11 3 2 4 4 2" xfId="4636" xr:uid="{00000000-0005-0000-0000-000014120000}"/>
    <cellStyle name="Normal 11 3 2 4 4 3" xfId="4637" xr:uid="{00000000-0005-0000-0000-000015120000}"/>
    <cellStyle name="Normal 11 3 2 4 5" xfId="4638" xr:uid="{00000000-0005-0000-0000-000016120000}"/>
    <cellStyle name="Normal 11 3 2 4 5 2" xfId="4639" xr:uid="{00000000-0005-0000-0000-000017120000}"/>
    <cellStyle name="Normal 11 3 2 4 5 3" xfId="4640" xr:uid="{00000000-0005-0000-0000-000018120000}"/>
    <cellStyle name="Normal 11 3 2 4 6" xfId="4641" xr:uid="{00000000-0005-0000-0000-000019120000}"/>
    <cellStyle name="Normal 11 3 2 4 6 2" xfId="4642" xr:uid="{00000000-0005-0000-0000-00001A120000}"/>
    <cellStyle name="Normal 11 3 2 4 6 3" xfId="4643" xr:uid="{00000000-0005-0000-0000-00001B120000}"/>
    <cellStyle name="Normal 11 3 2 4 7" xfId="4644" xr:uid="{00000000-0005-0000-0000-00001C120000}"/>
    <cellStyle name="Normal 11 3 2 4 7 2" xfId="4645" xr:uid="{00000000-0005-0000-0000-00001D120000}"/>
    <cellStyle name="Normal 11 3 2 4 7 3" xfId="4646" xr:uid="{00000000-0005-0000-0000-00001E120000}"/>
    <cellStyle name="Normal 11 3 2 4 8" xfId="4647" xr:uid="{00000000-0005-0000-0000-00001F120000}"/>
    <cellStyle name="Normal 11 3 2 4 8 2" xfId="4648" xr:uid="{00000000-0005-0000-0000-000020120000}"/>
    <cellStyle name="Normal 11 3 2 4 8 3" xfId="4649" xr:uid="{00000000-0005-0000-0000-000021120000}"/>
    <cellStyle name="Normal 11 3 2 4 9" xfId="4650" xr:uid="{00000000-0005-0000-0000-000022120000}"/>
    <cellStyle name="Normal 11 3 2 5" xfId="4651" xr:uid="{00000000-0005-0000-0000-000023120000}"/>
    <cellStyle name="Normal 11 3 2 5 2" xfId="4652" xr:uid="{00000000-0005-0000-0000-000024120000}"/>
    <cellStyle name="Normal 11 3 2 5 2 2" xfId="4653" xr:uid="{00000000-0005-0000-0000-000025120000}"/>
    <cellStyle name="Normal 11 3 2 5 2 3" xfId="4654" xr:uid="{00000000-0005-0000-0000-000026120000}"/>
    <cellStyle name="Normal 11 3 2 5 3" xfId="4655" xr:uid="{00000000-0005-0000-0000-000027120000}"/>
    <cellStyle name="Normal 11 3 2 5 3 2" xfId="4656" xr:uid="{00000000-0005-0000-0000-000028120000}"/>
    <cellStyle name="Normal 11 3 2 5 3 3" xfId="4657" xr:uid="{00000000-0005-0000-0000-000029120000}"/>
    <cellStyle name="Normal 11 3 2 5 4" xfId="4658" xr:uid="{00000000-0005-0000-0000-00002A120000}"/>
    <cellStyle name="Normal 11 3 2 5 4 2" xfId="4659" xr:uid="{00000000-0005-0000-0000-00002B120000}"/>
    <cellStyle name="Normal 11 3 2 5 4 3" xfId="4660" xr:uid="{00000000-0005-0000-0000-00002C120000}"/>
    <cellStyle name="Normal 11 3 2 5 5" xfId="4661" xr:uid="{00000000-0005-0000-0000-00002D120000}"/>
    <cellStyle name="Normal 11 3 2 5 5 2" xfId="4662" xr:uid="{00000000-0005-0000-0000-00002E120000}"/>
    <cellStyle name="Normal 11 3 2 5 5 3" xfId="4663" xr:uid="{00000000-0005-0000-0000-00002F120000}"/>
    <cellStyle name="Normal 11 3 2 5 6" xfId="4664" xr:uid="{00000000-0005-0000-0000-000030120000}"/>
    <cellStyle name="Normal 11 3 2 5 6 2" xfId="4665" xr:uid="{00000000-0005-0000-0000-000031120000}"/>
    <cellStyle name="Normal 11 3 2 5 6 3" xfId="4666" xr:uid="{00000000-0005-0000-0000-000032120000}"/>
    <cellStyle name="Normal 11 3 2 5 7" xfId="4667" xr:uid="{00000000-0005-0000-0000-000033120000}"/>
    <cellStyle name="Normal 11 3 2 5 7 2" xfId="4668" xr:uid="{00000000-0005-0000-0000-000034120000}"/>
    <cellStyle name="Normal 11 3 2 5 7 3" xfId="4669" xr:uid="{00000000-0005-0000-0000-000035120000}"/>
    <cellStyle name="Normal 11 3 2 5 8" xfId="4670" xr:uid="{00000000-0005-0000-0000-000036120000}"/>
    <cellStyle name="Normal 11 3 2 5 9" xfId="4671" xr:uid="{00000000-0005-0000-0000-000037120000}"/>
    <cellStyle name="Normal 11 3 2 6" xfId="4672" xr:uid="{00000000-0005-0000-0000-000038120000}"/>
    <cellStyle name="Normal 11 3 2 6 2" xfId="4673" xr:uid="{00000000-0005-0000-0000-000039120000}"/>
    <cellStyle name="Normal 11 3 2 6 3" xfId="4674" xr:uid="{00000000-0005-0000-0000-00003A120000}"/>
    <cellStyle name="Normal 11 3 2 7" xfId="4675" xr:uid="{00000000-0005-0000-0000-00003B120000}"/>
    <cellStyle name="Normal 11 3 2 7 2" xfId="4676" xr:uid="{00000000-0005-0000-0000-00003C120000}"/>
    <cellStyle name="Normal 11 3 2 7 3" xfId="4677" xr:uid="{00000000-0005-0000-0000-00003D120000}"/>
    <cellStyle name="Normal 11 3 2 8" xfId="4678" xr:uid="{00000000-0005-0000-0000-00003E120000}"/>
    <cellStyle name="Normal 11 3 2 8 2" xfId="4679" xr:uid="{00000000-0005-0000-0000-00003F120000}"/>
    <cellStyle name="Normal 11 3 2 8 3" xfId="4680" xr:uid="{00000000-0005-0000-0000-000040120000}"/>
    <cellStyle name="Normal 11 3 2 9" xfId="4681" xr:uid="{00000000-0005-0000-0000-000041120000}"/>
    <cellStyle name="Normal 11 3 2 9 2" xfId="4682" xr:uid="{00000000-0005-0000-0000-000042120000}"/>
    <cellStyle name="Normal 11 3 2 9 3" xfId="4683" xr:uid="{00000000-0005-0000-0000-000043120000}"/>
    <cellStyle name="Normal 11 3 3" xfId="4684" xr:uid="{00000000-0005-0000-0000-000044120000}"/>
    <cellStyle name="Normal 11 3 3 10" xfId="4685" xr:uid="{00000000-0005-0000-0000-000045120000}"/>
    <cellStyle name="Normal 11 3 3 10 2" xfId="4686" xr:uid="{00000000-0005-0000-0000-000046120000}"/>
    <cellStyle name="Normal 11 3 3 10 3" xfId="4687" xr:uid="{00000000-0005-0000-0000-000047120000}"/>
    <cellStyle name="Normal 11 3 3 11" xfId="4688" xr:uid="{00000000-0005-0000-0000-000048120000}"/>
    <cellStyle name="Normal 11 3 3 12" xfId="4689" xr:uid="{00000000-0005-0000-0000-000049120000}"/>
    <cellStyle name="Normal 11 3 3 2" xfId="4690" xr:uid="{00000000-0005-0000-0000-00004A120000}"/>
    <cellStyle name="Normal 11 3 3 2 10" xfId="4691" xr:uid="{00000000-0005-0000-0000-00004B120000}"/>
    <cellStyle name="Normal 11 3 3 2 2" xfId="4692" xr:uid="{00000000-0005-0000-0000-00004C120000}"/>
    <cellStyle name="Normal 11 3 3 2 2 2" xfId="4693" xr:uid="{00000000-0005-0000-0000-00004D120000}"/>
    <cellStyle name="Normal 11 3 3 2 2 2 2" xfId="4694" xr:uid="{00000000-0005-0000-0000-00004E120000}"/>
    <cellStyle name="Normal 11 3 3 2 2 2 3" xfId="4695" xr:uid="{00000000-0005-0000-0000-00004F120000}"/>
    <cellStyle name="Normal 11 3 3 2 2 3" xfId="4696" xr:uid="{00000000-0005-0000-0000-000050120000}"/>
    <cellStyle name="Normal 11 3 3 2 2 3 2" xfId="4697" xr:uid="{00000000-0005-0000-0000-000051120000}"/>
    <cellStyle name="Normal 11 3 3 2 2 3 3" xfId="4698" xr:uid="{00000000-0005-0000-0000-000052120000}"/>
    <cellStyle name="Normal 11 3 3 2 2 4" xfId="4699" xr:uid="{00000000-0005-0000-0000-000053120000}"/>
    <cellStyle name="Normal 11 3 3 2 2 4 2" xfId="4700" xr:uid="{00000000-0005-0000-0000-000054120000}"/>
    <cellStyle name="Normal 11 3 3 2 2 4 3" xfId="4701" xr:uid="{00000000-0005-0000-0000-000055120000}"/>
    <cellStyle name="Normal 11 3 3 2 2 5" xfId="4702" xr:uid="{00000000-0005-0000-0000-000056120000}"/>
    <cellStyle name="Normal 11 3 3 2 2 5 2" xfId="4703" xr:uid="{00000000-0005-0000-0000-000057120000}"/>
    <cellStyle name="Normal 11 3 3 2 2 5 3" xfId="4704" xr:uid="{00000000-0005-0000-0000-000058120000}"/>
    <cellStyle name="Normal 11 3 3 2 2 6" xfId="4705" xr:uid="{00000000-0005-0000-0000-000059120000}"/>
    <cellStyle name="Normal 11 3 3 2 2 6 2" xfId="4706" xr:uid="{00000000-0005-0000-0000-00005A120000}"/>
    <cellStyle name="Normal 11 3 3 2 2 6 3" xfId="4707" xr:uid="{00000000-0005-0000-0000-00005B120000}"/>
    <cellStyle name="Normal 11 3 3 2 2 7" xfId="4708" xr:uid="{00000000-0005-0000-0000-00005C120000}"/>
    <cellStyle name="Normal 11 3 3 2 2 7 2" xfId="4709" xr:uid="{00000000-0005-0000-0000-00005D120000}"/>
    <cellStyle name="Normal 11 3 3 2 2 7 3" xfId="4710" xr:uid="{00000000-0005-0000-0000-00005E120000}"/>
    <cellStyle name="Normal 11 3 3 2 2 8" xfId="4711" xr:uid="{00000000-0005-0000-0000-00005F120000}"/>
    <cellStyle name="Normal 11 3 3 2 2 9" xfId="4712" xr:uid="{00000000-0005-0000-0000-000060120000}"/>
    <cellStyle name="Normal 11 3 3 2 3" xfId="4713" xr:uid="{00000000-0005-0000-0000-000061120000}"/>
    <cellStyle name="Normal 11 3 3 2 3 2" xfId="4714" xr:uid="{00000000-0005-0000-0000-000062120000}"/>
    <cellStyle name="Normal 11 3 3 2 3 3" xfId="4715" xr:uid="{00000000-0005-0000-0000-000063120000}"/>
    <cellStyle name="Normal 11 3 3 2 4" xfId="4716" xr:uid="{00000000-0005-0000-0000-000064120000}"/>
    <cellStyle name="Normal 11 3 3 2 4 2" xfId="4717" xr:uid="{00000000-0005-0000-0000-000065120000}"/>
    <cellStyle name="Normal 11 3 3 2 4 3" xfId="4718" xr:uid="{00000000-0005-0000-0000-000066120000}"/>
    <cellStyle name="Normal 11 3 3 2 5" xfId="4719" xr:uid="{00000000-0005-0000-0000-000067120000}"/>
    <cellStyle name="Normal 11 3 3 2 5 2" xfId="4720" xr:uid="{00000000-0005-0000-0000-000068120000}"/>
    <cellStyle name="Normal 11 3 3 2 5 3" xfId="4721" xr:uid="{00000000-0005-0000-0000-000069120000}"/>
    <cellStyle name="Normal 11 3 3 2 6" xfId="4722" xr:uid="{00000000-0005-0000-0000-00006A120000}"/>
    <cellStyle name="Normal 11 3 3 2 6 2" xfId="4723" xr:uid="{00000000-0005-0000-0000-00006B120000}"/>
    <cellStyle name="Normal 11 3 3 2 6 3" xfId="4724" xr:uid="{00000000-0005-0000-0000-00006C120000}"/>
    <cellStyle name="Normal 11 3 3 2 7" xfId="4725" xr:uid="{00000000-0005-0000-0000-00006D120000}"/>
    <cellStyle name="Normal 11 3 3 2 7 2" xfId="4726" xr:uid="{00000000-0005-0000-0000-00006E120000}"/>
    <cellStyle name="Normal 11 3 3 2 7 3" xfId="4727" xr:uid="{00000000-0005-0000-0000-00006F120000}"/>
    <cellStyle name="Normal 11 3 3 2 8" xfId="4728" xr:uid="{00000000-0005-0000-0000-000070120000}"/>
    <cellStyle name="Normal 11 3 3 2 8 2" xfId="4729" xr:uid="{00000000-0005-0000-0000-000071120000}"/>
    <cellStyle name="Normal 11 3 3 2 8 3" xfId="4730" xr:uid="{00000000-0005-0000-0000-000072120000}"/>
    <cellStyle name="Normal 11 3 3 2 9" xfId="4731" xr:uid="{00000000-0005-0000-0000-000073120000}"/>
    <cellStyle name="Normal 11 3 3 3" xfId="4732" xr:uid="{00000000-0005-0000-0000-000074120000}"/>
    <cellStyle name="Normal 11 3 3 3 10" xfId="4733" xr:uid="{00000000-0005-0000-0000-000075120000}"/>
    <cellStyle name="Normal 11 3 3 3 2" xfId="4734" xr:uid="{00000000-0005-0000-0000-000076120000}"/>
    <cellStyle name="Normal 11 3 3 3 2 2" xfId="4735" xr:uid="{00000000-0005-0000-0000-000077120000}"/>
    <cellStyle name="Normal 11 3 3 3 2 2 2" xfId="4736" xr:uid="{00000000-0005-0000-0000-000078120000}"/>
    <cellStyle name="Normal 11 3 3 3 2 2 3" xfId="4737" xr:uid="{00000000-0005-0000-0000-000079120000}"/>
    <cellStyle name="Normal 11 3 3 3 2 3" xfId="4738" xr:uid="{00000000-0005-0000-0000-00007A120000}"/>
    <cellStyle name="Normal 11 3 3 3 2 3 2" xfId="4739" xr:uid="{00000000-0005-0000-0000-00007B120000}"/>
    <cellStyle name="Normal 11 3 3 3 2 3 3" xfId="4740" xr:uid="{00000000-0005-0000-0000-00007C120000}"/>
    <cellStyle name="Normal 11 3 3 3 2 4" xfId="4741" xr:uid="{00000000-0005-0000-0000-00007D120000}"/>
    <cellStyle name="Normal 11 3 3 3 2 4 2" xfId="4742" xr:uid="{00000000-0005-0000-0000-00007E120000}"/>
    <cellStyle name="Normal 11 3 3 3 2 4 3" xfId="4743" xr:uid="{00000000-0005-0000-0000-00007F120000}"/>
    <cellStyle name="Normal 11 3 3 3 2 5" xfId="4744" xr:uid="{00000000-0005-0000-0000-000080120000}"/>
    <cellStyle name="Normal 11 3 3 3 2 5 2" xfId="4745" xr:uid="{00000000-0005-0000-0000-000081120000}"/>
    <cellStyle name="Normal 11 3 3 3 2 5 3" xfId="4746" xr:uid="{00000000-0005-0000-0000-000082120000}"/>
    <cellStyle name="Normal 11 3 3 3 2 6" xfId="4747" xr:uid="{00000000-0005-0000-0000-000083120000}"/>
    <cellStyle name="Normal 11 3 3 3 2 6 2" xfId="4748" xr:uid="{00000000-0005-0000-0000-000084120000}"/>
    <cellStyle name="Normal 11 3 3 3 2 6 3" xfId="4749" xr:uid="{00000000-0005-0000-0000-000085120000}"/>
    <cellStyle name="Normal 11 3 3 3 2 7" xfId="4750" xr:uid="{00000000-0005-0000-0000-000086120000}"/>
    <cellStyle name="Normal 11 3 3 3 2 7 2" xfId="4751" xr:uid="{00000000-0005-0000-0000-000087120000}"/>
    <cellStyle name="Normal 11 3 3 3 2 7 3" xfId="4752" xr:uid="{00000000-0005-0000-0000-000088120000}"/>
    <cellStyle name="Normal 11 3 3 3 2 8" xfId="4753" xr:uid="{00000000-0005-0000-0000-000089120000}"/>
    <cellStyle name="Normal 11 3 3 3 2 9" xfId="4754" xr:uid="{00000000-0005-0000-0000-00008A120000}"/>
    <cellStyle name="Normal 11 3 3 3 3" xfId="4755" xr:uid="{00000000-0005-0000-0000-00008B120000}"/>
    <cellStyle name="Normal 11 3 3 3 3 2" xfId="4756" xr:uid="{00000000-0005-0000-0000-00008C120000}"/>
    <cellStyle name="Normal 11 3 3 3 3 3" xfId="4757" xr:uid="{00000000-0005-0000-0000-00008D120000}"/>
    <cellStyle name="Normal 11 3 3 3 4" xfId="4758" xr:uid="{00000000-0005-0000-0000-00008E120000}"/>
    <cellStyle name="Normal 11 3 3 3 4 2" xfId="4759" xr:uid="{00000000-0005-0000-0000-00008F120000}"/>
    <cellStyle name="Normal 11 3 3 3 4 3" xfId="4760" xr:uid="{00000000-0005-0000-0000-000090120000}"/>
    <cellStyle name="Normal 11 3 3 3 5" xfId="4761" xr:uid="{00000000-0005-0000-0000-000091120000}"/>
    <cellStyle name="Normal 11 3 3 3 5 2" xfId="4762" xr:uid="{00000000-0005-0000-0000-000092120000}"/>
    <cellStyle name="Normal 11 3 3 3 5 3" xfId="4763" xr:uid="{00000000-0005-0000-0000-000093120000}"/>
    <cellStyle name="Normal 11 3 3 3 6" xfId="4764" xr:uid="{00000000-0005-0000-0000-000094120000}"/>
    <cellStyle name="Normal 11 3 3 3 6 2" xfId="4765" xr:uid="{00000000-0005-0000-0000-000095120000}"/>
    <cellStyle name="Normal 11 3 3 3 6 3" xfId="4766" xr:uid="{00000000-0005-0000-0000-000096120000}"/>
    <cellStyle name="Normal 11 3 3 3 7" xfId="4767" xr:uid="{00000000-0005-0000-0000-000097120000}"/>
    <cellStyle name="Normal 11 3 3 3 7 2" xfId="4768" xr:uid="{00000000-0005-0000-0000-000098120000}"/>
    <cellStyle name="Normal 11 3 3 3 7 3" xfId="4769" xr:uid="{00000000-0005-0000-0000-000099120000}"/>
    <cellStyle name="Normal 11 3 3 3 8" xfId="4770" xr:uid="{00000000-0005-0000-0000-00009A120000}"/>
    <cellStyle name="Normal 11 3 3 3 8 2" xfId="4771" xr:uid="{00000000-0005-0000-0000-00009B120000}"/>
    <cellStyle name="Normal 11 3 3 3 8 3" xfId="4772" xr:uid="{00000000-0005-0000-0000-00009C120000}"/>
    <cellStyle name="Normal 11 3 3 3 9" xfId="4773" xr:uid="{00000000-0005-0000-0000-00009D120000}"/>
    <cellStyle name="Normal 11 3 3 4" xfId="4774" xr:uid="{00000000-0005-0000-0000-00009E120000}"/>
    <cellStyle name="Normal 11 3 3 4 2" xfId="4775" xr:uid="{00000000-0005-0000-0000-00009F120000}"/>
    <cellStyle name="Normal 11 3 3 4 2 2" xfId="4776" xr:uid="{00000000-0005-0000-0000-0000A0120000}"/>
    <cellStyle name="Normal 11 3 3 4 2 3" xfId="4777" xr:uid="{00000000-0005-0000-0000-0000A1120000}"/>
    <cellStyle name="Normal 11 3 3 4 3" xfId="4778" xr:uid="{00000000-0005-0000-0000-0000A2120000}"/>
    <cellStyle name="Normal 11 3 3 4 3 2" xfId="4779" xr:uid="{00000000-0005-0000-0000-0000A3120000}"/>
    <cellStyle name="Normal 11 3 3 4 3 3" xfId="4780" xr:uid="{00000000-0005-0000-0000-0000A4120000}"/>
    <cellStyle name="Normal 11 3 3 4 4" xfId="4781" xr:uid="{00000000-0005-0000-0000-0000A5120000}"/>
    <cellStyle name="Normal 11 3 3 4 4 2" xfId="4782" xr:uid="{00000000-0005-0000-0000-0000A6120000}"/>
    <cellStyle name="Normal 11 3 3 4 4 3" xfId="4783" xr:uid="{00000000-0005-0000-0000-0000A7120000}"/>
    <cellStyle name="Normal 11 3 3 4 5" xfId="4784" xr:uid="{00000000-0005-0000-0000-0000A8120000}"/>
    <cellStyle name="Normal 11 3 3 4 5 2" xfId="4785" xr:uid="{00000000-0005-0000-0000-0000A9120000}"/>
    <cellStyle name="Normal 11 3 3 4 5 3" xfId="4786" xr:uid="{00000000-0005-0000-0000-0000AA120000}"/>
    <cellStyle name="Normal 11 3 3 4 6" xfId="4787" xr:uid="{00000000-0005-0000-0000-0000AB120000}"/>
    <cellStyle name="Normal 11 3 3 4 6 2" xfId="4788" xr:uid="{00000000-0005-0000-0000-0000AC120000}"/>
    <cellStyle name="Normal 11 3 3 4 6 3" xfId="4789" xr:uid="{00000000-0005-0000-0000-0000AD120000}"/>
    <cellStyle name="Normal 11 3 3 4 7" xfId="4790" xr:uid="{00000000-0005-0000-0000-0000AE120000}"/>
    <cellStyle name="Normal 11 3 3 4 7 2" xfId="4791" xr:uid="{00000000-0005-0000-0000-0000AF120000}"/>
    <cellStyle name="Normal 11 3 3 4 7 3" xfId="4792" xr:uid="{00000000-0005-0000-0000-0000B0120000}"/>
    <cellStyle name="Normal 11 3 3 4 8" xfId="4793" xr:uid="{00000000-0005-0000-0000-0000B1120000}"/>
    <cellStyle name="Normal 11 3 3 4 9" xfId="4794" xr:uid="{00000000-0005-0000-0000-0000B2120000}"/>
    <cellStyle name="Normal 11 3 3 5" xfId="4795" xr:uid="{00000000-0005-0000-0000-0000B3120000}"/>
    <cellStyle name="Normal 11 3 3 5 2" xfId="4796" xr:uid="{00000000-0005-0000-0000-0000B4120000}"/>
    <cellStyle name="Normal 11 3 3 5 3" xfId="4797" xr:uid="{00000000-0005-0000-0000-0000B5120000}"/>
    <cellStyle name="Normal 11 3 3 6" xfId="4798" xr:uid="{00000000-0005-0000-0000-0000B6120000}"/>
    <cellStyle name="Normal 11 3 3 6 2" xfId="4799" xr:uid="{00000000-0005-0000-0000-0000B7120000}"/>
    <cellStyle name="Normal 11 3 3 6 3" xfId="4800" xr:uid="{00000000-0005-0000-0000-0000B8120000}"/>
    <cellStyle name="Normal 11 3 3 7" xfId="4801" xr:uid="{00000000-0005-0000-0000-0000B9120000}"/>
    <cellStyle name="Normal 11 3 3 7 2" xfId="4802" xr:uid="{00000000-0005-0000-0000-0000BA120000}"/>
    <cellStyle name="Normal 11 3 3 7 3" xfId="4803" xr:uid="{00000000-0005-0000-0000-0000BB120000}"/>
    <cellStyle name="Normal 11 3 3 8" xfId="4804" xr:uid="{00000000-0005-0000-0000-0000BC120000}"/>
    <cellStyle name="Normal 11 3 3 8 2" xfId="4805" xr:uid="{00000000-0005-0000-0000-0000BD120000}"/>
    <cellStyle name="Normal 11 3 3 8 3" xfId="4806" xr:uid="{00000000-0005-0000-0000-0000BE120000}"/>
    <cellStyle name="Normal 11 3 3 9" xfId="4807" xr:uid="{00000000-0005-0000-0000-0000BF120000}"/>
    <cellStyle name="Normal 11 3 3 9 2" xfId="4808" xr:uid="{00000000-0005-0000-0000-0000C0120000}"/>
    <cellStyle name="Normal 11 3 3 9 3" xfId="4809" xr:uid="{00000000-0005-0000-0000-0000C1120000}"/>
    <cellStyle name="Normal 11 3 4" xfId="4810" xr:uid="{00000000-0005-0000-0000-0000C2120000}"/>
    <cellStyle name="Normal 11 3 4 10" xfId="4811" xr:uid="{00000000-0005-0000-0000-0000C3120000}"/>
    <cellStyle name="Normal 11 3 4 2" xfId="4812" xr:uid="{00000000-0005-0000-0000-0000C4120000}"/>
    <cellStyle name="Normal 11 3 4 2 2" xfId="4813" xr:uid="{00000000-0005-0000-0000-0000C5120000}"/>
    <cellStyle name="Normal 11 3 4 2 2 2" xfId="4814" xr:uid="{00000000-0005-0000-0000-0000C6120000}"/>
    <cellStyle name="Normal 11 3 4 2 2 3" xfId="4815" xr:uid="{00000000-0005-0000-0000-0000C7120000}"/>
    <cellStyle name="Normal 11 3 4 2 3" xfId="4816" xr:uid="{00000000-0005-0000-0000-0000C8120000}"/>
    <cellStyle name="Normal 11 3 4 2 3 2" xfId="4817" xr:uid="{00000000-0005-0000-0000-0000C9120000}"/>
    <cellStyle name="Normal 11 3 4 2 3 3" xfId="4818" xr:uid="{00000000-0005-0000-0000-0000CA120000}"/>
    <cellStyle name="Normal 11 3 4 2 4" xfId="4819" xr:uid="{00000000-0005-0000-0000-0000CB120000}"/>
    <cellStyle name="Normal 11 3 4 2 4 2" xfId="4820" xr:uid="{00000000-0005-0000-0000-0000CC120000}"/>
    <cellStyle name="Normal 11 3 4 2 4 3" xfId="4821" xr:uid="{00000000-0005-0000-0000-0000CD120000}"/>
    <cellStyle name="Normal 11 3 4 2 5" xfId="4822" xr:uid="{00000000-0005-0000-0000-0000CE120000}"/>
    <cellStyle name="Normal 11 3 4 2 5 2" xfId="4823" xr:uid="{00000000-0005-0000-0000-0000CF120000}"/>
    <cellStyle name="Normal 11 3 4 2 5 3" xfId="4824" xr:uid="{00000000-0005-0000-0000-0000D0120000}"/>
    <cellStyle name="Normal 11 3 4 2 6" xfId="4825" xr:uid="{00000000-0005-0000-0000-0000D1120000}"/>
    <cellStyle name="Normal 11 3 4 2 6 2" xfId="4826" xr:uid="{00000000-0005-0000-0000-0000D2120000}"/>
    <cellStyle name="Normal 11 3 4 2 6 3" xfId="4827" xr:uid="{00000000-0005-0000-0000-0000D3120000}"/>
    <cellStyle name="Normal 11 3 4 2 7" xfId="4828" xr:uid="{00000000-0005-0000-0000-0000D4120000}"/>
    <cellStyle name="Normal 11 3 4 2 7 2" xfId="4829" xr:uid="{00000000-0005-0000-0000-0000D5120000}"/>
    <cellStyle name="Normal 11 3 4 2 7 3" xfId="4830" xr:uid="{00000000-0005-0000-0000-0000D6120000}"/>
    <cellStyle name="Normal 11 3 4 2 8" xfId="4831" xr:uid="{00000000-0005-0000-0000-0000D7120000}"/>
    <cellStyle name="Normal 11 3 4 2 9" xfId="4832" xr:uid="{00000000-0005-0000-0000-0000D8120000}"/>
    <cellStyle name="Normal 11 3 4 3" xfId="4833" xr:uid="{00000000-0005-0000-0000-0000D9120000}"/>
    <cellStyle name="Normal 11 3 4 3 2" xfId="4834" xr:uid="{00000000-0005-0000-0000-0000DA120000}"/>
    <cellStyle name="Normal 11 3 4 3 3" xfId="4835" xr:uid="{00000000-0005-0000-0000-0000DB120000}"/>
    <cellStyle name="Normal 11 3 4 4" xfId="4836" xr:uid="{00000000-0005-0000-0000-0000DC120000}"/>
    <cellStyle name="Normal 11 3 4 4 2" xfId="4837" xr:uid="{00000000-0005-0000-0000-0000DD120000}"/>
    <cellStyle name="Normal 11 3 4 4 3" xfId="4838" xr:uid="{00000000-0005-0000-0000-0000DE120000}"/>
    <cellStyle name="Normal 11 3 4 5" xfId="4839" xr:uid="{00000000-0005-0000-0000-0000DF120000}"/>
    <cellStyle name="Normal 11 3 4 5 2" xfId="4840" xr:uid="{00000000-0005-0000-0000-0000E0120000}"/>
    <cellStyle name="Normal 11 3 4 5 3" xfId="4841" xr:uid="{00000000-0005-0000-0000-0000E1120000}"/>
    <cellStyle name="Normal 11 3 4 6" xfId="4842" xr:uid="{00000000-0005-0000-0000-0000E2120000}"/>
    <cellStyle name="Normal 11 3 4 6 2" xfId="4843" xr:uid="{00000000-0005-0000-0000-0000E3120000}"/>
    <cellStyle name="Normal 11 3 4 6 3" xfId="4844" xr:uid="{00000000-0005-0000-0000-0000E4120000}"/>
    <cellStyle name="Normal 11 3 4 7" xfId="4845" xr:uid="{00000000-0005-0000-0000-0000E5120000}"/>
    <cellStyle name="Normal 11 3 4 7 2" xfId="4846" xr:uid="{00000000-0005-0000-0000-0000E6120000}"/>
    <cellStyle name="Normal 11 3 4 7 3" xfId="4847" xr:uid="{00000000-0005-0000-0000-0000E7120000}"/>
    <cellStyle name="Normal 11 3 4 8" xfId="4848" xr:uid="{00000000-0005-0000-0000-0000E8120000}"/>
    <cellStyle name="Normal 11 3 4 8 2" xfId="4849" xr:uid="{00000000-0005-0000-0000-0000E9120000}"/>
    <cellStyle name="Normal 11 3 4 8 3" xfId="4850" xr:uid="{00000000-0005-0000-0000-0000EA120000}"/>
    <cellStyle name="Normal 11 3 4 9" xfId="4851" xr:uid="{00000000-0005-0000-0000-0000EB120000}"/>
    <cellStyle name="Normal 11 3 5" xfId="4852" xr:uid="{00000000-0005-0000-0000-0000EC120000}"/>
    <cellStyle name="Normal 11 3 5 10" xfId="4853" xr:uid="{00000000-0005-0000-0000-0000ED120000}"/>
    <cellStyle name="Normal 11 3 5 2" xfId="4854" xr:uid="{00000000-0005-0000-0000-0000EE120000}"/>
    <cellStyle name="Normal 11 3 5 2 2" xfId="4855" xr:uid="{00000000-0005-0000-0000-0000EF120000}"/>
    <cellStyle name="Normal 11 3 5 2 2 2" xfId="4856" xr:uid="{00000000-0005-0000-0000-0000F0120000}"/>
    <cellStyle name="Normal 11 3 5 2 2 3" xfId="4857" xr:uid="{00000000-0005-0000-0000-0000F1120000}"/>
    <cellStyle name="Normal 11 3 5 2 3" xfId="4858" xr:uid="{00000000-0005-0000-0000-0000F2120000}"/>
    <cellStyle name="Normal 11 3 5 2 3 2" xfId="4859" xr:uid="{00000000-0005-0000-0000-0000F3120000}"/>
    <cellStyle name="Normal 11 3 5 2 3 3" xfId="4860" xr:uid="{00000000-0005-0000-0000-0000F4120000}"/>
    <cellStyle name="Normal 11 3 5 2 4" xfId="4861" xr:uid="{00000000-0005-0000-0000-0000F5120000}"/>
    <cellStyle name="Normal 11 3 5 2 4 2" xfId="4862" xr:uid="{00000000-0005-0000-0000-0000F6120000}"/>
    <cellStyle name="Normal 11 3 5 2 4 3" xfId="4863" xr:uid="{00000000-0005-0000-0000-0000F7120000}"/>
    <cellStyle name="Normal 11 3 5 2 5" xfId="4864" xr:uid="{00000000-0005-0000-0000-0000F8120000}"/>
    <cellStyle name="Normal 11 3 5 2 5 2" xfId="4865" xr:uid="{00000000-0005-0000-0000-0000F9120000}"/>
    <cellStyle name="Normal 11 3 5 2 5 3" xfId="4866" xr:uid="{00000000-0005-0000-0000-0000FA120000}"/>
    <cellStyle name="Normal 11 3 5 2 6" xfId="4867" xr:uid="{00000000-0005-0000-0000-0000FB120000}"/>
    <cellStyle name="Normal 11 3 5 2 6 2" xfId="4868" xr:uid="{00000000-0005-0000-0000-0000FC120000}"/>
    <cellStyle name="Normal 11 3 5 2 6 3" xfId="4869" xr:uid="{00000000-0005-0000-0000-0000FD120000}"/>
    <cellStyle name="Normal 11 3 5 2 7" xfId="4870" xr:uid="{00000000-0005-0000-0000-0000FE120000}"/>
    <cellStyle name="Normal 11 3 5 2 7 2" xfId="4871" xr:uid="{00000000-0005-0000-0000-0000FF120000}"/>
    <cellStyle name="Normal 11 3 5 2 7 3" xfId="4872" xr:uid="{00000000-0005-0000-0000-000000130000}"/>
    <cellStyle name="Normal 11 3 5 2 8" xfId="4873" xr:uid="{00000000-0005-0000-0000-000001130000}"/>
    <cellStyle name="Normal 11 3 5 2 9" xfId="4874" xr:uid="{00000000-0005-0000-0000-000002130000}"/>
    <cellStyle name="Normal 11 3 5 3" xfId="4875" xr:uid="{00000000-0005-0000-0000-000003130000}"/>
    <cellStyle name="Normal 11 3 5 3 2" xfId="4876" xr:uid="{00000000-0005-0000-0000-000004130000}"/>
    <cellStyle name="Normal 11 3 5 3 3" xfId="4877" xr:uid="{00000000-0005-0000-0000-000005130000}"/>
    <cellStyle name="Normal 11 3 5 4" xfId="4878" xr:uid="{00000000-0005-0000-0000-000006130000}"/>
    <cellStyle name="Normal 11 3 5 4 2" xfId="4879" xr:uid="{00000000-0005-0000-0000-000007130000}"/>
    <cellStyle name="Normal 11 3 5 4 3" xfId="4880" xr:uid="{00000000-0005-0000-0000-000008130000}"/>
    <cellStyle name="Normal 11 3 5 5" xfId="4881" xr:uid="{00000000-0005-0000-0000-000009130000}"/>
    <cellStyle name="Normal 11 3 5 5 2" xfId="4882" xr:uid="{00000000-0005-0000-0000-00000A130000}"/>
    <cellStyle name="Normal 11 3 5 5 3" xfId="4883" xr:uid="{00000000-0005-0000-0000-00000B130000}"/>
    <cellStyle name="Normal 11 3 5 6" xfId="4884" xr:uid="{00000000-0005-0000-0000-00000C130000}"/>
    <cellStyle name="Normal 11 3 5 6 2" xfId="4885" xr:uid="{00000000-0005-0000-0000-00000D130000}"/>
    <cellStyle name="Normal 11 3 5 6 3" xfId="4886" xr:uid="{00000000-0005-0000-0000-00000E130000}"/>
    <cellStyle name="Normal 11 3 5 7" xfId="4887" xr:uid="{00000000-0005-0000-0000-00000F130000}"/>
    <cellStyle name="Normal 11 3 5 7 2" xfId="4888" xr:uid="{00000000-0005-0000-0000-000010130000}"/>
    <cellStyle name="Normal 11 3 5 7 3" xfId="4889" xr:uid="{00000000-0005-0000-0000-000011130000}"/>
    <cellStyle name="Normal 11 3 5 8" xfId="4890" xr:uid="{00000000-0005-0000-0000-000012130000}"/>
    <cellStyle name="Normal 11 3 5 8 2" xfId="4891" xr:uid="{00000000-0005-0000-0000-000013130000}"/>
    <cellStyle name="Normal 11 3 5 8 3" xfId="4892" xr:uid="{00000000-0005-0000-0000-000014130000}"/>
    <cellStyle name="Normal 11 3 5 9" xfId="4893" xr:uid="{00000000-0005-0000-0000-000015130000}"/>
    <cellStyle name="Normal 11 3 6" xfId="4894" xr:uid="{00000000-0005-0000-0000-000016130000}"/>
    <cellStyle name="Normal 11 3 6 2" xfId="4895" xr:uid="{00000000-0005-0000-0000-000017130000}"/>
    <cellStyle name="Normal 11 3 6 2 2" xfId="4896" xr:uid="{00000000-0005-0000-0000-000018130000}"/>
    <cellStyle name="Normal 11 3 6 2 3" xfId="4897" xr:uid="{00000000-0005-0000-0000-000019130000}"/>
    <cellStyle name="Normal 11 3 6 3" xfId="4898" xr:uid="{00000000-0005-0000-0000-00001A130000}"/>
    <cellStyle name="Normal 11 3 6 3 2" xfId="4899" xr:uid="{00000000-0005-0000-0000-00001B130000}"/>
    <cellStyle name="Normal 11 3 6 3 3" xfId="4900" xr:uid="{00000000-0005-0000-0000-00001C130000}"/>
    <cellStyle name="Normal 11 3 6 4" xfId="4901" xr:uid="{00000000-0005-0000-0000-00001D130000}"/>
    <cellStyle name="Normal 11 3 6 4 2" xfId="4902" xr:uid="{00000000-0005-0000-0000-00001E130000}"/>
    <cellStyle name="Normal 11 3 6 4 3" xfId="4903" xr:uid="{00000000-0005-0000-0000-00001F130000}"/>
    <cellStyle name="Normal 11 3 6 5" xfId="4904" xr:uid="{00000000-0005-0000-0000-000020130000}"/>
    <cellStyle name="Normal 11 3 6 5 2" xfId="4905" xr:uid="{00000000-0005-0000-0000-000021130000}"/>
    <cellStyle name="Normal 11 3 6 5 3" xfId="4906" xr:uid="{00000000-0005-0000-0000-000022130000}"/>
    <cellStyle name="Normal 11 3 6 6" xfId="4907" xr:uid="{00000000-0005-0000-0000-000023130000}"/>
    <cellStyle name="Normal 11 3 6 6 2" xfId="4908" xr:uid="{00000000-0005-0000-0000-000024130000}"/>
    <cellStyle name="Normal 11 3 6 6 3" xfId="4909" xr:uid="{00000000-0005-0000-0000-000025130000}"/>
    <cellStyle name="Normal 11 3 6 7" xfId="4910" xr:uid="{00000000-0005-0000-0000-000026130000}"/>
    <cellStyle name="Normal 11 3 6 7 2" xfId="4911" xr:uid="{00000000-0005-0000-0000-000027130000}"/>
    <cellStyle name="Normal 11 3 6 7 3" xfId="4912" xr:uid="{00000000-0005-0000-0000-000028130000}"/>
    <cellStyle name="Normal 11 3 6 8" xfId="4913" xr:uid="{00000000-0005-0000-0000-000029130000}"/>
    <cellStyle name="Normal 11 3 6 9" xfId="4914" xr:uid="{00000000-0005-0000-0000-00002A130000}"/>
    <cellStyle name="Normal 11 3 7" xfId="4915" xr:uid="{00000000-0005-0000-0000-00002B130000}"/>
    <cellStyle name="Normal 11 3 7 2" xfId="4916" xr:uid="{00000000-0005-0000-0000-00002C130000}"/>
    <cellStyle name="Normal 11 3 7 3" xfId="4917" xr:uid="{00000000-0005-0000-0000-00002D130000}"/>
    <cellStyle name="Normal 11 3 8" xfId="4918" xr:uid="{00000000-0005-0000-0000-00002E130000}"/>
    <cellStyle name="Normal 11 3 8 2" xfId="4919" xr:uid="{00000000-0005-0000-0000-00002F130000}"/>
    <cellStyle name="Normal 11 3 8 3" xfId="4920" xr:uid="{00000000-0005-0000-0000-000030130000}"/>
    <cellStyle name="Normal 11 3 9" xfId="4921" xr:uid="{00000000-0005-0000-0000-000031130000}"/>
    <cellStyle name="Normal 11 3 9 2" xfId="4922" xr:uid="{00000000-0005-0000-0000-000032130000}"/>
    <cellStyle name="Normal 11 3 9 3" xfId="4923" xr:uid="{00000000-0005-0000-0000-000033130000}"/>
    <cellStyle name="Normal 11 4" xfId="4924" xr:uid="{00000000-0005-0000-0000-000034130000}"/>
    <cellStyle name="Normal 11 4 10" xfId="4925" xr:uid="{00000000-0005-0000-0000-000035130000}"/>
    <cellStyle name="Normal 11 4 10 2" xfId="4926" xr:uid="{00000000-0005-0000-0000-000036130000}"/>
    <cellStyle name="Normal 11 4 10 3" xfId="4927" xr:uid="{00000000-0005-0000-0000-000037130000}"/>
    <cellStyle name="Normal 11 4 11" xfId="4928" xr:uid="{00000000-0005-0000-0000-000038130000}"/>
    <cellStyle name="Normal 11 4 11 2" xfId="4929" xr:uid="{00000000-0005-0000-0000-000039130000}"/>
    <cellStyle name="Normal 11 4 11 3" xfId="4930" xr:uid="{00000000-0005-0000-0000-00003A130000}"/>
    <cellStyle name="Normal 11 4 12" xfId="4931" xr:uid="{00000000-0005-0000-0000-00003B130000}"/>
    <cellStyle name="Normal 11 4 13" xfId="4932" xr:uid="{00000000-0005-0000-0000-00003C130000}"/>
    <cellStyle name="Normal 11 4 2" xfId="4933" xr:uid="{00000000-0005-0000-0000-00003D130000}"/>
    <cellStyle name="Normal 11 4 2 10" xfId="4934" xr:uid="{00000000-0005-0000-0000-00003E130000}"/>
    <cellStyle name="Normal 11 4 2 10 2" xfId="4935" xr:uid="{00000000-0005-0000-0000-00003F130000}"/>
    <cellStyle name="Normal 11 4 2 10 3" xfId="4936" xr:uid="{00000000-0005-0000-0000-000040130000}"/>
    <cellStyle name="Normal 11 4 2 11" xfId="4937" xr:uid="{00000000-0005-0000-0000-000041130000}"/>
    <cellStyle name="Normal 11 4 2 12" xfId="4938" xr:uid="{00000000-0005-0000-0000-000042130000}"/>
    <cellStyle name="Normal 11 4 2 2" xfId="4939" xr:uid="{00000000-0005-0000-0000-000043130000}"/>
    <cellStyle name="Normal 11 4 2 2 10" xfId="4940" xr:uid="{00000000-0005-0000-0000-000044130000}"/>
    <cellStyle name="Normal 11 4 2 2 2" xfId="4941" xr:uid="{00000000-0005-0000-0000-000045130000}"/>
    <cellStyle name="Normal 11 4 2 2 2 2" xfId="4942" xr:uid="{00000000-0005-0000-0000-000046130000}"/>
    <cellStyle name="Normal 11 4 2 2 2 2 2" xfId="4943" xr:uid="{00000000-0005-0000-0000-000047130000}"/>
    <cellStyle name="Normal 11 4 2 2 2 2 3" xfId="4944" xr:uid="{00000000-0005-0000-0000-000048130000}"/>
    <cellStyle name="Normal 11 4 2 2 2 3" xfId="4945" xr:uid="{00000000-0005-0000-0000-000049130000}"/>
    <cellStyle name="Normal 11 4 2 2 2 3 2" xfId="4946" xr:uid="{00000000-0005-0000-0000-00004A130000}"/>
    <cellStyle name="Normal 11 4 2 2 2 3 3" xfId="4947" xr:uid="{00000000-0005-0000-0000-00004B130000}"/>
    <cellStyle name="Normal 11 4 2 2 2 4" xfId="4948" xr:uid="{00000000-0005-0000-0000-00004C130000}"/>
    <cellStyle name="Normal 11 4 2 2 2 4 2" xfId="4949" xr:uid="{00000000-0005-0000-0000-00004D130000}"/>
    <cellStyle name="Normal 11 4 2 2 2 4 3" xfId="4950" xr:uid="{00000000-0005-0000-0000-00004E130000}"/>
    <cellStyle name="Normal 11 4 2 2 2 5" xfId="4951" xr:uid="{00000000-0005-0000-0000-00004F130000}"/>
    <cellStyle name="Normal 11 4 2 2 2 5 2" xfId="4952" xr:uid="{00000000-0005-0000-0000-000050130000}"/>
    <cellStyle name="Normal 11 4 2 2 2 5 3" xfId="4953" xr:uid="{00000000-0005-0000-0000-000051130000}"/>
    <cellStyle name="Normal 11 4 2 2 2 6" xfId="4954" xr:uid="{00000000-0005-0000-0000-000052130000}"/>
    <cellStyle name="Normal 11 4 2 2 2 6 2" xfId="4955" xr:uid="{00000000-0005-0000-0000-000053130000}"/>
    <cellStyle name="Normal 11 4 2 2 2 6 3" xfId="4956" xr:uid="{00000000-0005-0000-0000-000054130000}"/>
    <cellStyle name="Normal 11 4 2 2 2 7" xfId="4957" xr:uid="{00000000-0005-0000-0000-000055130000}"/>
    <cellStyle name="Normal 11 4 2 2 2 7 2" xfId="4958" xr:uid="{00000000-0005-0000-0000-000056130000}"/>
    <cellStyle name="Normal 11 4 2 2 2 7 3" xfId="4959" xr:uid="{00000000-0005-0000-0000-000057130000}"/>
    <cellStyle name="Normal 11 4 2 2 2 8" xfId="4960" xr:uid="{00000000-0005-0000-0000-000058130000}"/>
    <cellStyle name="Normal 11 4 2 2 2 9" xfId="4961" xr:uid="{00000000-0005-0000-0000-000059130000}"/>
    <cellStyle name="Normal 11 4 2 2 3" xfId="4962" xr:uid="{00000000-0005-0000-0000-00005A130000}"/>
    <cellStyle name="Normal 11 4 2 2 3 2" xfId="4963" xr:uid="{00000000-0005-0000-0000-00005B130000}"/>
    <cellStyle name="Normal 11 4 2 2 3 3" xfId="4964" xr:uid="{00000000-0005-0000-0000-00005C130000}"/>
    <cellStyle name="Normal 11 4 2 2 4" xfId="4965" xr:uid="{00000000-0005-0000-0000-00005D130000}"/>
    <cellStyle name="Normal 11 4 2 2 4 2" xfId="4966" xr:uid="{00000000-0005-0000-0000-00005E130000}"/>
    <cellStyle name="Normal 11 4 2 2 4 3" xfId="4967" xr:uid="{00000000-0005-0000-0000-00005F130000}"/>
    <cellStyle name="Normal 11 4 2 2 5" xfId="4968" xr:uid="{00000000-0005-0000-0000-000060130000}"/>
    <cellStyle name="Normal 11 4 2 2 5 2" xfId="4969" xr:uid="{00000000-0005-0000-0000-000061130000}"/>
    <cellStyle name="Normal 11 4 2 2 5 3" xfId="4970" xr:uid="{00000000-0005-0000-0000-000062130000}"/>
    <cellStyle name="Normal 11 4 2 2 6" xfId="4971" xr:uid="{00000000-0005-0000-0000-000063130000}"/>
    <cellStyle name="Normal 11 4 2 2 6 2" xfId="4972" xr:uid="{00000000-0005-0000-0000-000064130000}"/>
    <cellStyle name="Normal 11 4 2 2 6 3" xfId="4973" xr:uid="{00000000-0005-0000-0000-000065130000}"/>
    <cellStyle name="Normal 11 4 2 2 7" xfId="4974" xr:uid="{00000000-0005-0000-0000-000066130000}"/>
    <cellStyle name="Normal 11 4 2 2 7 2" xfId="4975" xr:uid="{00000000-0005-0000-0000-000067130000}"/>
    <cellStyle name="Normal 11 4 2 2 7 3" xfId="4976" xr:uid="{00000000-0005-0000-0000-000068130000}"/>
    <cellStyle name="Normal 11 4 2 2 8" xfId="4977" xr:uid="{00000000-0005-0000-0000-000069130000}"/>
    <cellStyle name="Normal 11 4 2 2 8 2" xfId="4978" xr:uid="{00000000-0005-0000-0000-00006A130000}"/>
    <cellStyle name="Normal 11 4 2 2 8 3" xfId="4979" xr:uid="{00000000-0005-0000-0000-00006B130000}"/>
    <cellStyle name="Normal 11 4 2 2 9" xfId="4980" xr:uid="{00000000-0005-0000-0000-00006C130000}"/>
    <cellStyle name="Normal 11 4 2 3" xfId="4981" xr:uid="{00000000-0005-0000-0000-00006D130000}"/>
    <cellStyle name="Normal 11 4 2 3 10" xfId="4982" xr:uid="{00000000-0005-0000-0000-00006E130000}"/>
    <cellStyle name="Normal 11 4 2 3 2" xfId="4983" xr:uid="{00000000-0005-0000-0000-00006F130000}"/>
    <cellStyle name="Normal 11 4 2 3 2 2" xfId="4984" xr:uid="{00000000-0005-0000-0000-000070130000}"/>
    <cellStyle name="Normal 11 4 2 3 2 2 2" xfId="4985" xr:uid="{00000000-0005-0000-0000-000071130000}"/>
    <cellStyle name="Normal 11 4 2 3 2 2 3" xfId="4986" xr:uid="{00000000-0005-0000-0000-000072130000}"/>
    <cellStyle name="Normal 11 4 2 3 2 3" xfId="4987" xr:uid="{00000000-0005-0000-0000-000073130000}"/>
    <cellStyle name="Normal 11 4 2 3 2 3 2" xfId="4988" xr:uid="{00000000-0005-0000-0000-000074130000}"/>
    <cellStyle name="Normal 11 4 2 3 2 3 3" xfId="4989" xr:uid="{00000000-0005-0000-0000-000075130000}"/>
    <cellStyle name="Normal 11 4 2 3 2 4" xfId="4990" xr:uid="{00000000-0005-0000-0000-000076130000}"/>
    <cellStyle name="Normal 11 4 2 3 2 4 2" xfId="4991" xr:uid="{00000000-0005-0000-0000-000077130000}"/>
    <cellStyle name="Normal 11 4 2 3 2 4 3" xfId="4992" xr:uid="{00000000-0005-0000-0000-000078130000}"/>
    <cellStyle name="Normal 11 4 2 3 2 5" xfId="4993" xr:uid="{00000000-0005-0000-0000-000079130000}"/>
    <cellStyle name="Normal 11 4 2 3 2 5 2" xfId="4994" xr:uid="{00000000-0005-0000-0000-00007A130000}"/>
    <cellStyle name="Normal 11 4 2 3 2 5 3" xfId="4995" xr:uid="{00000000-0005-0000-0000-00007B130000}"/>
    <cellStyle name="Normal 11 4 2 3 2 6" xfId="4996" xr:uid="{00000000-0005-0000-0000-00007C130000}"/>
    <cellStyle name="Normal 11 4 2 3 2 6 2" xfId="4997" xr:uid="{00000000-0005-0000-0000-00007D130000}"/>
    <cellStyle name="Normal 11 4 2 3 2 6 3" xfId="4998" xr:uid="{00000000-0005-0000-0000-00007E130000}"/>
    <cellStyle name="Normal 11 4 2 3 2 7" xfId="4999" xr:uid="{00000000-0005-0000-0000-00007F130000}"/>
    <cellStyle name="Normal 11 4 2 3 2 7 2" xfId="5000" xr:uid="{00000000-0005-0000-0000-000080130000}"/>
    <cellStyle name="Normal 11 4 2 3 2 7 3" xfId="5001" xr:uid="{00000000-0005-0000-0000-000081130000}"/>
    <cellStyle name="Normal 11 4 2 3 2 8" xfId="5002" xr:uid="{00000000-0005-0000-0000-000082130000}"/>
    <cellStyle name="Normal 11 4 2 3 2 9" xfId="5003" xr:uid="{00000000-0005-0000-0000-000083130000}"/>
    <cellStyle name="Normal 11 4 2 3 3" xfId="5004" xr:uid="{00000000-0005-0000-0000-000084130000}"/>
    <cellStyle name="Normal 11 4 2 3 3 2" xfId="5005" xr:uid="{00000000-0005-0000-0000-000085130000}"/>
    <cellStyle name="Normal 11 4 2 3 3 3" xfId="5006" xr:uid="{00000000-0005-0000-0000-000086130000}"/>
    <cellStyle name="Normal 11 4 2 3 4" xfId="5007" xr:uid="{00000000-0005-0000-0000-000087130000}"/>
    <cellStyle name="Normal 11 4 2 3 4 2" xfId="5008" xr:uid="{00000000-0005-0000-0000-000088130000}"/>
    <cellStyle name="Normal 11 4 2 3 4 3" xfId="5009" xr:uid="{00000000-0005-0000-0000-000089130000}"/>
    <cellStyle name="Normal 11 4 2 3 5" xfId="5010" xr:uid="{00000000-0005-0000-0000-00008A130000}"/>
    <cellStyle name="Normal 11 4 2 3 5 2" xfId="5011" xr:uid="{00000000-0005-0000-0000-00008B130000}"/>
    <cellStyle name="Normal 11 4 2 3 5 3" xfId="5012" xr:uid="{00000000-0005-0000-0000-00008C130000}"/>
    <cellStyle name="Normal 11 4 2 3 6" xfId="5013" xr:uid="{00000000-0005-0000-0000-00008D130000}"/>
    <cellStyle name="Normal 11 4 2 3 6 2" xfId="5014" xr:uid="{00000000-0005-0000-0000-00008E130000}"/>
    <cellStyle name="Normal 11 4 2 3 6 3" xfId="5015" xr:uid="{00000000-0005-0000-0000-00008F130000}"/>
    <cellStyle name="Normal 11 4 2 3 7" xfId="5016" xr:uid="{00000000-0005-0000-0000-000090130000}"/>
    <cellStyle name="Normal 11 4 2 3 7 2" xfId="5017" xr:uid="{00000000-0005-0000-0000-000091130000}"/>
    <cellStyle name="Normal 11 4 2 3 7 3" xfId="5018" xr:uid="{00000000-0005-0000-0000-000092130000}"/>
    <cellStyle name="Normal 11 4 2 3 8" xfId="5019" xr:uid="{00000000-0005-0000-0000-000093130000}"/>
    <cellStyle name="Normal 11 4 2 3 8 2" xfId="5020" xr:uid="{00000000-0005-0000-0000-000094130000}"/>
    <cellStyle name="Normal 11 4 2 3 8 3" xfId="5021" xr:uid="{00000000-0005-0000-0000-000095130000}"/>
    <cellStyle name="Normal 11 4 2 3 9" xfId="5022" xr:uid="{00000000-0005-0000-0000-000096130000}"/>
    <cellStyle name="Normal 11 4 2 4" xfId="5023" xr:uid="{00000000-0005-0000-0000-000097130000}"/>
    <cellStyle name="Normal 11 4 2 4 2" xfId="5024" xr:uid="{00000000-0005-0000-0000-000098130000}"/>
    <cellStyle name="Normal 11 4 2 4 2 2" xfId="5025" xr:uid="{00000000-0005-0000-0000-000099130000}"/>
    <cellStyle name="Normal 11 4 2 4 2 3" xfId="5026" xr:uid="{00000000-0005-0000-0000-00009A130000}"/>
    <cellStyle name="Normal 11 4 2 4 3" xfId="5027" xr:uid="{00000000-0005-0000-0000-00009B130000}"/>
    <cellStyle name="Normal 11 4 2 4 3 2" xfId="5028" xr:uid="{00000000-0005-0000-0000-00009C130000}"/>
    <cellStyle name="Normal 11 4 2 4 3 3" xfId="5029" xr:uid="{00000000-0005-0000-0000-00009D130000}"/>
    <cellStyle name="Normal 11 4 2 4 4" xfId="5030" xr:uid="{00000000-0005-0000-0000-00009E130000}"/>
    <cellStyle name="Normal 11 4 2 4 4 2" xfId="5031" xr:uid="{00000000-0005-0000-0000-00009F130000}"/>
    <cellStyle name="Normal 11 4 2 4 4 3" xfId="5032" xr:uid="{00000000-0005-0000-0000-0000A0130000}"/>
    <cellStyle name="Normal 11 4 2 4 5" xfId="5033" xr:uid="{00000000-0005-0000-0000-0000A1130000}"/>
    <cellStyle name="Normal 11 4 2 4 5 2" xfId="5034" xr:uid="{00000000-0005-0000-0000-0000A2130000}"/>
    <cellStyle name="Normal 11 4 2 4 5 3" xfId="5035" xr:uid="{00000000-0005-0000-0000-0000A3130000}"/>
    <cellStyle name="Normal 11 4 2 4 6" xfId="5036" xr:uid="{00000000-0005-0000-0000-0000A4130000}"/>
    <cellStyle name="Normal 11 4 2 4 6 2" xfId="5037" xr:uid="{00000000-0005-0000-0000-0000A5130000}"/>
    <cellStyle name="Normal 11 4 2 4 6 3" xfId="5038" xr:uid="{00000000-0005-0000-0000-0000A6130000}"/>
    <cellStyle name="Normal 11 4 2 4 7" xfId="5039" xr:uid="{00000000-0005-0000-0000-0000A7130000}"/>
    <cellStyle name="Normal 11 4 2 4 7 2" xfId="5040" xr:uid="{00000000-0005-0000-0000-0000A8130000}"/>
    <cellStyle name="Normal 11 4 2 4 7 3" xfId="5041" xr:uid="{00000000-0005-0000-0000-0000A9130000}"/>
    <cellStyle name="Normal 11 4 2 4 8" xfId="5042" xr:uid="{00000000-0005-0000-0000-0000AA130000}"/>
    <cellStyle name="Normal 11 4 2 4 9" xfId="5043" xr:uid="{00000000-0005-0000-0000-0000AB130000}"/>
    <cellStyle name="Normal 11 4 2 5" xfId="5044" xr:uid="{00000000-0005-0000-0000-0000AC130000}"/>
    <cellStyle name="Normal 11 4 2 5 2" xfId="5045" xr:uid="{00000000-0005-0000-0000-0000AD130000}"/>
    <cellStyle name="Normal 11 4 2 5 3" xfId="5046" xr:uid="{00000000-0005-0000-0000-0000AE130000}"/>
    <cellStyle name="Normal 11 4 2 6" xfId="5047" xr:uid="{00000000-0005-0000-0000-0000AF130000}"/>
    <cellStyle name="Normal 11 4 2 6 2" xfId="5048" xr:uid="{00000000-0005-0000-0000-0000B0130000}"/>
    <cellStyle name="Normal 11 4 2 6 3" xfId="5049" xr:uid="{00000000-0005-0000-0000-0000B1130000}"/>
    <cellStyle name="Normal 11 4 2 7" xfId="5050" xr:uid="{00000000-0005-0000-0000-0000B2130000}"/>
    <cellStyle name="Normal 11 4 2 7 2" xfId="5051" xr:uid="{00000000-0005-0000-0000-0000B3130000}"/>
    <cellStyle name="Normal 11 4 2 7 3" xfId="5052" xr:uid="{00000000-0005-0000-0000-0000B4130000}"/>
    <cellStyle name="Normal 11 4 2 8" xfId="5053" xr:uid="{00000000-0005-0000-0000-0000B5130000}"/>
    <cellStyle name="Normal 11 4 2 8 2" xfId="5054" xr:uid="{00000000-0005-0000-0000-0000B6130000}"/>
    <cellStyle name="Normal 11 4 2 8 3" xfId="5055" xr:uid="{00000000-0005-0000-0000-0000B7130000}"/>
    <cellStyle name="Normal 11 4 2 9" xfId="5056" xr:uid="{00000000-0005-0000-0000-0000B8130000}"/>
    <cellStyle name="Normal 11 4 2 9 2" xfId="5057" xr:uid="{00000000-0005-0000-0000-0000B9130000}"/>
    <cellStyle name="Normal 11 4 2 9 3" xfId="5058" xr:uid="{00000000-0005-0000-0000-0000BA130000}"/>
    <cellStyle name="Normal 11 4 3" xfId="5059" xr:uid="{00000000-0005-0000-0000-0000BB130000}"/>
    <cellStyle name="Normal 11 4 3 10" xfId="5060" xr:uid="{00000000-0005-0000-0000-0000BC130000}"/>
    <cellStyle name="Normal 11 4 3 2" xfId="5061" xr:uid="{00000000-0005-0000-0000-0000BD130000}"/>
    <cellStyle name="Normal 11 4 3 2 2" xfId="5062" xr:uid="{00000000-0005-0000-0000-0000BE130000}"/>
    <cellStyle name="Normal 11 4 3 2 2 2" xfId="5063" xr:uid="{00000000-0005-0000-0000-0000BF130000}"/>
    <cellStyle name="Normal 11 4 3 2 2 3" xfId="5064" xr:uid="{00000000-0005-0000-0000-0000C0130000}"/>
    <cellStyle name="Normal 11 4 3 2 3" xfId="5065" xr:uid="{00000000-0005-0000-0000-0000C1130000}"/>
    <cellStyle name="Normal 11 4 3 2 3 2" xfId="5066" xr:uid="{00000000-0005-0000-0000-0000C2130000}"/>
    <cellStyle name="Normal 11 4 3 2 3 3" xfId="5067" xr:uid="{00000000-0005-0000-0000-0000C3130000}"/>
    <cellStyle name="Normal 11 4 3 2 4" xfId="5068" xr:uid="{00000000-0005-0000-0000-0000C4130000}"/>
    <cellStyle name="Normal 11 4 3 2 4 2" xfId="5069" xr:uid="{00000000-0005-0000-0000-0000C5130000}"/>
    <cellStyle name="Normal 11 4 3 2 4 3" xfId="5070" xr:uid="{00000000-0005-0000-0000-0000C6130000}"/>
    <cellStyle name="Normal 11 4 3 2 5" xfId="5071" xr:uid="{00000000-0005-0000-0000-0000C7130000}"/>
    <cellStyle name="Normal 11 4 3 2 5 2" xfId="5072" xr:uid="{00000000-0005-0000-0000-0000C8130000}"/>
    <cellStyle name="Normal 11 4 3 2 5 3" xfId="5073" xr:uid="{00000000-0005-0000-0000-0000C9130000}"/>
    <cellStyle name="Normal 11 4 3 2 6" xfId="5074" xr:uid="{00000000-0005-0000-0000-0000CA130000}"/>
    <cellStyle name="Normal 11 4 3 2 6 2" xfId="5075" xr:uid="{00000000-0005-0000-0000-0000CB130000}"/>
    <cellStyle name="Normal 11 4 3 2 6 3" xfId="5076" xr:uid="{00000000-0005-0000-0000-0000CC130000}"/>
    <cellStyle name="Normal 11 4 3 2 7" xfId="5077" xr:uid="{00000000-0005-0000-0000-0000CD130000}"/>
    <cellStyle name="Normal 11 4 3 2 7 2" xfId="5078" xr:uid="{00000000-0005-0000-0000-0000CE130000}"/>
    <cellStyle name="Normal 11 4 3 2 7 3" xfId="5079" xr:uid="{00000000-0005-0000-0000-0000CF130000}"/>
    <cellStyle name="Normal 11 4 3 2 8" xfId="5080" xr:uid="{00000000-0005-0000-0000-0000D0130000}"/>
    <cellStyle name="Normal 11 4 3 2 9" xfId="5081" xr:uid="{00000000-0005-0000-0000-0000D1130000}"/>
    <cellStyle name="Normal 11 4 3 3" xfId="5082" xr:uid="{00000000-0005-0000-0000-0000D2130000}"/>
    <cellStyle name="Normal 11 4 3 3 2" xfId="5083" xr:uid="{00000000-0005-0000-0000-0000D3130000}"/>
    <cellStyle name="Normal 11 4 3 3 3" xfId="5084" xr:uid="{00000000-0005-0000-0000-0000D4130000}"/>
    <cellStyle name="Normal 11 4 3 4" xfId="5085" xr:uid="{00000000-0005-0000-0000-0000D5130000}"/>
    <cellStyle name="Normal 11 4 3 4 2" xfId="5086" xr:uid="{00000000-0005-0000-0000-0000D6130000}"/>
    <cellStyle name="Normal 11 4 3 4 3" xfId="5087" xr:uid="{00000000-0005-0000-0000-0000D7130000}"/>
    <cellStyle name="Normal 11 4 3 5" xfId="5088" xr:uid="{00000000-0005-0000-0000-0000D8130000}"/>
    <cellStyle name="Normal 11 4 3 5 2" xfId="5089" xr:uid="{00000000-0005-0000-0000-0000D9130000}"/>
    <cellStyle name="Normal 11 4 3 5 3" xfId="5090" xr:uid="{00000000-0005-0000-0000-0000DA130000}"/>
    <cellStyle name="Normal 11 4 3 6" xfId="5091" xr:uid="{00000000-0005-0000-0000-0000DB130000}"/>
    <cellStyle name="Normal 11 4 3 6 2" xfId="5092" xr:uid="{00000000-0005-0000-0000-0000DC130000}"/>
    <cellStyle name="Normal 11 4 3 6 3" xfId="5093" xr:uid="{00000000-0005-0000-0000-0000DD130000}"/>
    <cellStyle name="Normal 11 4 3 7" xfId="5094" xr:uid="{00000000-0005-0000-0000-0000DE130000}"/>
    <cellStyle name="Normal 11 4 3 7 2" xfId="5095" xr:uid="{00000000-0005-0000-0000-0000DF130000}"/>
    <cellStyle name="Normal 11 4 3 7 3" xfId="5096" xr:uid="{00000000-0005-0000-0000-0000E0130000}"/>
    <cellStyle name="Normal 11 4 3 8" xfId="5097" xr:uid="{00000000-0005-0000-0000-0000E1130000}"/>
    <cellStyle name="Normal 11 4 3 8 2" xfId="5098" xr:uid="{00000000-0005-0000-0000-0000E2130000}"/>
    <cellStyle name="Normal 11 4 3 8 3" xfId="5099" xr:uid="{00000000-0005-0000-0000-0000E3130000}"/>
    <cellStyle name="Normal 11 4 3 9" xfId="5100" xr:uid="{00000000-0005-0000-0000-0000E4130000}"/>
    <cellStyle name="Normal 11 4 4" xfId="5101" xr:uid="{00000000-0005-0000-0000-0000E5130000}"/>
    <cellStyle name="Normal 11 4 4 10" xfId="5102" xr:uid="{00000000-0005-0000-0000-0000E6130000}"/>
    <cellStyle name="Normal 11 4 4 2" xfId="5103" xr:uid="{00000000-0005-0000-0000-0000E7130000}"/>
    <cellStyle name="Normal 11 4 4 2 2" xfId="5104" xr:uid="{00000000-0005-0000-0000-0000E8130000}"/>
    <cellStyle name="Normal 11 4 4 2 2 2" xfId="5105" xr:uid="{00000000-0005-0000-0000-0000E9130000}"/>
    <cellStyle name="Normal 11 4 4 2 2 3" xfId="5106" xr:uid="{00000000-0005-0000-0000-0000EA130000}"/>
    <cellStyle name="Normal 11 4 4 2 3" xfId="5107" xr:uid="{00000000-0005-0000-0000-0000EB130000}"/>
    <cellStyle name="Normal 11 4 4 2 3 2" xfId="5108" xr:uid="{00000000-0005-0000-0000-0000EC130000}"/>
    <cellStyle name="Normal 11 4 4 2 3 3" xfId="5109" xr:uid="{00000000-0005-0000-0000-0000ED130000}"/>
    <cellStyle name="Normal 11 4 4 2 4" xfId="5110" xr:uid="{00000000-0005-0000-0000-0000EE130000}"/>
    <cellStyle name="Normal 11 4 4 2 4 2" xfId="5111" xr:uid="{00000000-0005-0000-0000-0000EF130000}"/>
    <cellStyle name="Normal 11 4 4 2 4 3" xfId="5112" xr:uid="{00000000-0005-0000-0000-0000F0130000}"/>
    <cellStyle name="Normal 11 4 4 2 5" xfId="5113" xr:uid="{00000000-0005-0000-0000-0000F1130000}"/>
    <cellStyle name="Normal 11 4 4 2 5 2" xfId="5114" xr:uid="{00000000-0005-0000-0000-0000F2130000}"/>
    <cellStyle name="Normal 11 4 4 2 5 3" xfId="5115" xr:uid="{00000000-0005-0000-0000-0000F3130000}"/>
    <cellStyle name="Normal 11 4 4 2 6" xfId="5116" xr:uid="{00000000-0005-0000-0000-0000F4130000}"/>
    <cellStyle name="Normal 11 4 4 2 6 2" xfId="5117" xr:uid="{00000000-0005-0000-0000-0000F5130000}"/>
    <cellStyle name="Normal 11 4 4 2 6 3" xfId="5118" xr:uid="{00000000-0005-0000-0000-0000F6130000}"/>
    <cellStyle name="Normal 11 4 4 2 7" xfId="5119" xr:uid="{00000000-0005-0000-0000-0000F7130000}"/>
    <cellStyle name="Normal 11 4 4 2 7 2" xfId="5120" xr:uid="{00000000-0005-0000-0000-0000F8130000}"/>
    <cellStyle name="Normal 11 4 4 2 7 3" xfId="5121" xr:uid="{00000000-0005-0000-0000-0000F9130000}"/>
    <cellStyle name="Normal 11 4 4 2 8" xfId="5122" xr:uid="{00000000-0005-0000-0000-0000FA130000}"/>
    <cellStyle name="Normal 11 4 4 2 9" xfId="5123" xr:uid="{00000000-0005-0000-0000-0000FB130000}"/>
    <cellStyle name="Normal 11 4 4 3" xfId="5124" xr:uid="{00000000-0005-0000-0000-0000FC130000}"/>
    <cellStyle name="Normal 11 4 4 3 2" xfId="5125" xr:uid="{00000000-0005-0000-0000-0000FD130000}"/>
    <cellStyle name="Normal 11 4 4 3 3" xfId="5126" xr:uid="{00000000-0005-0000-0000-0000FE130000}"/>
    <cellStyle name="Normal 11 4 4 4" xfId="5127" xr:uid="{00000000-0005-0000-0000-0000FF130000}"/>
    <cellStyle name="Normal 11 4 4 4 2" xfId="5128" xr:uid="{00000000-0005-0000-0000-000000140000}"/>
    <cellStyle name="Normal 11 4 4 4 3" xfId="5129" xr:uid="{00000000-0005-0000-0000-000001140000}"/>
    <cellStyle name="Normal 11 4 4 5" xfId="5130" xr:uid="{00000000-0005-0000-0000-000002140000}"/>
    <cellStyle name="Normal 11 4 4 5 2" xfId="5131" xr:uid="{00000000-0005-0000-0000-000003140000}"/>
    <cellStyle name="Normal 11 4 4 5 3" xfId="5132" xr:uid="{00000000-0005-0000-0000-000004140000}"/>
    <cellStyle name="Normal 11 4 4 6" xfId="5133" xr:uid="{00000000-0005-0000-0000-000005140000}"/>
    <cellStyle name="Normal 11 4 4 6 2" xfId="5134" xr:uid="{00000000-0005-0000-0000-000006140000}"/>
    <cellStyle name="Normal 11 4 4 6 3" xfId="5135" xr:uid="{00000000-0005-0000-0000-000007140000}"/>
    <cellStyle name="Normal 11 4 4 7" xfId="5136" xr:uid="{00000000-0005-0000-0000-000008140000}"/>
    <cellStyle name="Normal 11 4 4 7 2" xfId="5137" xr:uid="{00000000-0005-0000-0000-000009140000}"/>
    <cellStyle name="Normal 11 4 4 7 3" xfId="5138" xr:uid="{00000000-0005-0000-0000-00000A140000}"/>
    <cellStyle name="Normal 11 4 4 8" xfId="5139" xr:uid="{00000000-0005-0000-0000-00000B140000}"/>
    <cellStyle name="Normal 11 4 4 8 2" xfId="5140" xr:uid="{00000000-0005-0000-0000-00000C140000}"/>
    <cellStyle name="Normal 11 4 4 8 3" xfId="5141" xr:uid="{00000000-0005-0000-0000-00000D140000}"/>
    <cellStyle name="Normal 11 4 4 9" xfId="5142" xr:uid="{00000000-0005-0000-0000-00000E140000}"/>
    <cellStyle name="Normal 11 4 5" xfId="5143" xr:uid="{00000000-0005-0000-0000-00000F140000}"/>
    <cellStyle name="Normal 11 4 5 2" xfId="5144" xr:uid="{00000000-0005-0000-0000-000010140000}"/>
    <cellStyle name="Normal 11 4 5 2 2" xfId="5145" xr:uid="{00000000-0005-0000-0000-000011140000}"/>
    <cellStyle name="Normal 11 4 5 2 3" xfId="5146" xr:uid="{00000000-0005-0000-0000-000012140000}"/>
    <cellStyle name="Normal 11 4 5 3" xfId="5147" xr:uid="{00000000-0005-0000-0000-000013140000}"/>
    <cellStyle name="Normal 11 4 5 3 2" xfId="5148" xr:uid="{00000000-0005-0000-0000-000014140000}"/>
    <cellStyle name="Normal 11 4 5 3 3" xfId="5149" xr:uid="{00000000-0005-0000-0000-000015140000}"/>
    <cellStyle name="Normal 11 4 5 4" xfId="5150" xr:uid="{00000000-0005-0000-0000-000016140000}"/>
    <cellStyle name="Normal 11 4 5 4 2" xfId="5151" xr:uid="{00000000-0005-0000-0000-000017140000}"/>
    <cellStyle name="Normal 11 4 5 4 3" xfId="5152" xr:uid="{00000000-0005-0000-0000-000018140000}"/>
    <cellStyle name="Normal 11 4 5 5" xfId="5153" xr:uid="{00000000-0005-0000-0000-000019140000}"/>
    <cellStyle name="Normal 11 4 5 5 2" xfId="5154" xr:uid="{00000000-0005-0000-0000-00001A140000}"/>
    <cellStyle name="Normal 11 4 5 5 3" xfId="5155" xr:uid="{00000000-0005-0000-0000-00001B140000}"/>
    <cellStyle name="Normal 11 4 5 6" xfId="5156" xr:uid="{00000000-0005-0000-0000-00001C140000}"/>
    <cellStyle name="Normal 11 4 5 6 2" xfId="5157" xr:uid="{00000000-0005-0000-0000-00001D140000}"/>
    <cellStyle name="Normal 11 4 5 6 3" xfId="5158" xr:uid="{00000000-0005-0000-0000-00001E140000}"/>
    <cellStyle name="Normal 11 4 5 7" xfId="5159" xr:uid="{00000000-0005-0000-0000-00001F140000}"/>
    <cellStyle name="Normal 11 4 5 7 2" xfId="5160" xr:uid="{00000000-0005-0000-0000-000020140000}"/>
    <cellStyle name="Normal 11 4 5 7 3" xfId="5161" xr:uid="{00000000-0005-0000-0000-000021140000}"/>
    <cellStyle name="Normal 11 4 5 8" xfId="5162" xr:uid="{00000000-0005-0000-0000-000022140000}"/>
    <cellStyle name="Normal 11 4 5 9" xfId="5163" xr:uid="{00000000-0005-0000-0000-000023140000}"/>
    <cellStyle name="Normal 11 4 6" xfId="5164" xr:uid="{00000000-0005-0000-0000-000024140000}"/>
    <cellStyle name="Normal 11 4 6 2" xfId="5165" xr:uid="{00000000-0005-0000-0000-000025140000}"/>
    <cellStyle name="Normal 11 4 6 3" xfId="5166" xr:uid="{00000000-0005-0000-0000-000026140000}"/>
    <cellStyle name="Normal 11 4 7" xfId="5167" xr:uid="{00000000-0005-0000-0000-000027140000}"/>
    <cellStyle name="Normal 11 4 7 2" xfId="5168" xr:uid="{00000000-0005-0000-0000-000028140000}"/>
    <cellStyle name="Normal 11 4 7 3" xfId="5169" xr:uid="{00000000-0005-0000-0000-000029140000}"/>
    <cellStyle name="Normal 11 4 8" xfId="5170" xr:uid="{00000000-0005-0000-0000-00002A140000}"/>
    <cellStyle name="Normal 11 4 8 2" xfId="5171" xr:uid="{00000000-0005-0000-0000-00002B140000}"/>
    <cellStyle name="Normal 11 4 8 3" xfId="5172" xr:uid="{00000000-0005-0000-0000-00002C140000}"/>
    <cellStyle name="Normal 11 4 9" xfId="5173" xr:uid="{00000000-0005-0000-0000-00002D140000}"/>
    <cellStyle name="Normal 11 4 9 2" xfId="5174" xr:uid="{00000000-0005-0000-0000-00002E140000}"/>
    <cellStyle name="Normal 11 4 9 3" xfId="5175" xr:uid="{00000000-0005-0000-0000-00002F140000}"/>
    <cellStyle name="Normal 11 5" xfId="5176" xr:uid="{00000000-0005-0000-0000-000030140000}"/>
    <cellStyle name="Normal 11 5 10" xfId="5177" xr:uid="{00000000-0005-0000-0000-000031140000}"/>
    <cellStyle name="Normal 11 5 10 2" xfId="5178" xr:uid="{00000000-0005-0000-0000-000032140000}"/>
    <cellStyle name="Normal 11 5 10 3" xfId="5179" xr:uid="{00000000-0005-0000-0000-000033140000}"/>
    <cellStyle name="Normal 11 5 11" xfId="5180" xr:uid="{00000000-0005-0000-0000-000034140000}"/>
    <cellStyle name="Normal 11 5 12" xfId="5181" xr:uid="{00000000-0005-0000-0000-000035140000}"/>
    <cellStyle name="Normal 11 5 2" xfId="5182" xr:uid="{00000000-0005-0000-0000-000036140000}"/>
    <cellStyle name="Normal 11 5 2 10" xfId="5183" xr:uid="{00000000-0005-0000-0000-000037140000}"/>
    <cellStyle name="Normal 11 5 2 2" xfId="5184" xr:uid="{00000000-0005-0000-0000-000038140000}"/>
    <cellStyle name="Normal 11 5 2 2 2" xfId="5185" xr:uid="{00000000-0005-0000-0000-000039140000}"/>
    <cellStyle name="Normal 11 5 2 2 2 2" xfId="5186" xr:uid="{00000000-0005-0000-0000-00003A140000}"/>
    <cellStyle name="Normal 11 5 2 2 2 3" xfId="5187" xr:uid="{00000000-0005-0000-0000-00003B140000}"/>
    <cellStyle name="Normal 11 5 2 2 3" xfId="5188" xr:uid="{00000000-0005-0000-0000-00003C140000}"/>
    <cellStyle name="Normal 11 5 2 2 3 2" xfId="5189" xr:uid="{00000000-0005-0000-0000-00003D140000}"/>
    <cellStyle name="Normal 11 5 2 2 3 3" xfId="5190" xr:uid="{00000000-0005-0000-0000-00003E140000}"/>
    <cellStyle name="Normal 11 5 2 2 4" xfId="5191" xr:uid="{00000000-0005-0000-0000-00003F140000}"/>
    <cellStyle name="Normal 11 5 2 2 4 2" xfId="5192" xr:uid="{00000000-0005-0000-0000-000040140000}"/>
    <cellStyle name="Normal 11 5 2 2 4 3" xfId="5193" xr:uid="{00000000-0005-0000-0000-000041140000}"/>
    <cellStyle name="Normal 11 5 2 2 5" xfId="5194" xr:uid="{00000000-0005-0000-0000-000042140000}"/>
    <cellStyle name="Normal 11 5 2 2 5 2" xfId="5195" xr:uid="{00000000-0005-0000-0000-000043140000}"/>
    <cellStyle name="Normal 11 5 2 2 5 3" xfId="5196" xr:uid="{00000000-0005-0000-0000-000044140000}"/>
    <cellStyle name="Normal 11 5 2 2 6" xfId="5197" xr:uid="{00000000-0005-0000-0000-000045140000}"/>
    <cellStyle name="Normal 11 5 2 2 6 2" xfId="5198" xr:uid="{00000000-0005-0000-0000-000046140000}"/>
    <cellStyle name="Normal 11 5 2 2 6 3" xfId="5199" xr:uid="{00000000-0005-0000-0000-000047140000}"/>
    <cellStyle name="Normal 11 5 2 2 7" xfId="5200" xr:uid="{00000000-0005-0000-0000-000048140000}"/>
    <cellStyle name="Normal 11 5 2 2 7 2" xfId="5201" xr:uid="{00000000-0005-0000-0000-000049140000}"/>
    <cellStyle name="Normal 11 5 2 2 7 3" xfId="5202" xr:uid="{00000000-0005-0000-0000-00004A140000}"/>
    <cellStyle name="Normal 11 5 2 2 8" xfId="5203" xr:uid="{00000000-0005-0000-0000-00004B140000}"/>
    <cellStyle name="Normal 11 5 2 2 9" xfId="5204" xr:uid="{00000000-0005-0000-0000-00004C140000}"/>
    <cellStyle name="Normal 11 5 2 3" xfId="5205" xr:uid="{00000000-0005-0000-0000-00004D140000}"/>
    <cellStyle name="Normal 11 5 2 3 2" xfId="5206" xr:uid="{00000000-0005-0000-0000-00004E140000}"/>
    <cellStyle name="Normal 11 5 2 3 3" xfId="5207" xr:uid="{00000000-0005-0000-0000-00004F140000}"/>
    <cellStyle name="Normal 11 5 2 4" xfId="5208" xr:uid="{00000000-0005-0000-0000-000050140000}"/>
    <cellStyle name="Normal 11 5 2 4 2" xfId="5209" xr:uid="{00000000-0005-0000-0000-000051140000}"/>
    <cellStyle name="Normal 11 5 2 4 3" xfId="5210" xr:uid="{00000000-0005-0000-0000-000052140000}"/>
    <cellStyle name="Normal 11 5 2 5" xfId="5211" xr:uid="{00000000-0005-0000-0000-000053140000}"/>
    <cellStyle name="Normal 11 5 2 5 2" xfId="5212" xr:uid="{00000000-0005-0000-0000-000054140000}"/>
    <cellStyle name="Normal 11 5 2 5 3" xfId="5213" xr:uid="{00000000-0005-0000-0000-000055140000}"/>
    <cellStyle name="Normal 11 5 2 6" xfId="5214" xr:uid="{00000000-0005-0000-0000-000056140000}"/>
    <cellStyle name="Normal 11 5 2 6 2" xfId="5215" xr:uid="{00000000-0005-0000-0000-000057140000}"/>
    <cellStyle name="Normal 11 5 2 6 3" xfId="5216" xr:uid="{00000000-0005-0000-0000-000058140000}"/>
    <cellStyle name="Normal 11 5 2 7" xfId="5217" xr:uid="{00000000-0005-0000-0000-000059140000}"/>
    <cellStyle name="Normal 11 5 2 7 2" xfId="5218" xr:uid="{00000000-0005-0000-0000-00005A140000}"/>
    <cellStyle name="Normal 11 5 2 7 3" xfId="5219" xr:uid="{00000000-0005-0000-0000-00005B140000}"/>
    <cellStyle name="Normal 11 5 2 8" xfId="5220" xr:uid="{00000000-0005-0000-0000-00005C140000}"/>
    <cellStyle name="Normal 11 5 2 8 2" xfId="5221" xr:uid="{00000000-0005-0000-0000-00005D140000}"/>
    <cellStyle name="Normal 11 5 2 8 3" xfId="5222" xr:uid="{00000000-0005-0000-0000-00005E140000}"/>
    <cellStyle name="Normal 11 5 2 9" xfId="5223" xr:uid="{00000000-0005-0000-0000-00005F140000}"/>
    <cellStyle name="Normal 11 5 3" xfId="5224" xr:uid="{00000000-0005-0000-0000-000060140000}"/>
    <cellStyle name="Normal 11 5 3 10" xfId="5225" xr:uid="{00000000-0005-0000-0000-000061140000}"/>
    <cellStyle name="Normal 11 5 3 2" xfId="5226" xr:uid="{00000000-0005-0000-0000-000062140000}"/>
    <cellStyle name="Normal 11 5 3 2 2" xfId="5227" xr:uid="{00000000-0005-0000-0000-000063140000}"/>
    <cellStyle name="Normal 11 5 3 2 2 2" xfId="5228" xr:uid="{00000000-0005-0000-0000-000064140000}"/>
    <cellStyle name="Normal 11 5 3 2 2 3" xfId="5229" xr:uid="{00000000-0005-0000-0000-000065140000}"/>
    <cellStyle name="Normal 11 5 3 2 3" xfId="5230" xr:uid="{00000000-0005-0000-0000-000066140000}"/>
    <cellStyle name="Normal 11 5 3 2 3 2" xfId="5231" xr:uid="{00000000-0005-0000-0000-000067140000}"/>
    <cellStyle name="Normal 11 5 3 2 3 3" xfId="5232" xr:uid="{00000000-0005-0000-0000-000068140000}"/>
    <cellStyle name="Normal 11 5 3 2 4" xfId="5233" xr:uid="{00000000-0005-0000-0000-000069140000}"/>
    <cellStyle name="Normal 11 5 3 2 4 2" xfId="5234" xr:uid="{00000000-0005-0000-0000-00006A140000}"/>
    <cellStyle name="Normal 11 5 3 2 4 3" xfId="5235" xr:uid="{00000000-0005-0000-0000-00006B140000}"/>
    <cellStyle name="Normal 11 5 3 2 5" xfId="5236" xr:uid="{00000000-0005-0000-0000-00006C140000}"/>
    <cellStyle name="Normal 11 5 3 2 5 2" xfId="5237" xr:uid="{00000000-0005-0000-0000-00006D140000}"/>
    <cellStyle name="Normal 11 5 3 2 5 3" xfId="5238" xr:uid="{00000000-0005-0000-0000-00006E140000}"/>
    <cellStyle name="Normal 11 5 3 2 6" xfId="5239" xr:uid="{00000000-0005-0000-0000-00006F140000}"/>
    <cellStyle name="Normal 11 5 3 2 6 2" xfId="5240" xr:uid="{00000000-0005-0000-0000-000070140000}"/>
    <cellStyle name="Normal 11 5 3 2 6 3" xfId="5241" xr:uid="{00000000-0005-0000-0000-000071140000}"/>
    <cellStyle name="Normal 11 5 3 2 7" xfId="5242" xr:uid="{00000000-0005-0000-0000-000072140000}"/>
    <cellStyle name="Normal 11 5 3 2 7 2" xfId="5243" xr:uid="{00000000-0005-0000-0000-000073140000}"/>
    <cellStyle name="Normal 11 5 3 2 7 3" xfId="5244" xr:uid="{00000000-0005-0000-0000-000074140000}"/>
    <cellStyle name="Normal 11 5 3 2 8" xfId="5245" xr:uid="{00000000-0005-0000-0000-000075140000}"/>
    <cellStyle name="Normal 11 5 3 2 9" xfId="5246" xr:uid="{00000000-0005-0000-0000-000076140000}"/>
    <cellStyle name="Normal 11 5 3 3" xfId="5247" xr:uid="{00000000-0005-0000-0000-000077140000}"/>
    <cellStyle name="Normal 11 5 3 3 2" xfId="5248" xr:uid="{00000000-0005-0000-0000-000078140000}"/>
    <cellStyle name="Normal 11 5 3 3 3" xfId="5249" xr:uid="{00000000-0005-0000-0000-000079140000}"/>
    <cellStyle name="Normal 11 5 3 4" xfId="5250" xr:uid="{00000000-0005-0000-0000-00007A140000}"/>
    <cellStyle name="Normal 11 5 3 4 2" xfId="5251" xr:uid="{00000000-0005-0000-0000-00007B140000}"/>
    <cellStyle name="Normal 11 5 3 4 3" xfId="5252" xr:uid="{00000000-0005-0000-0000-00007C140000}"/>
    <cellStyle name="Normal 11 5 3 5" xfId="5253" xr:uid="{00000000-0005-0000-0000-00007D140000}"/>
    <cellStyle name="Normal 11 5 3 5 2" xfId="5254" xr:uid="{00000000-0005-0000-0000-00007E140000}"/>
    <cellStyle name="Normal 11 5 3 5 3" xfId="5255" xr:uid="{00000000-0005-0000-0000-00007F140000}"/>
    <cellStyle name="Normal 11 5 3 6" xfId="5256" xr:uid="{00000000-0005-0000-0000-000080140000}"/>
    <cellStyle name="Normal 11 5 3 6 2" xfId="5257" xr:uid="{00000000-0005-0000-0000-000081140000}"/>
    <cellStyle name="Normal 11 5 3 6 3" xfId="5258" xr:uid="{00000000-0005-0000-0000-000082140000}"/>
    <cellStyle name="Normal 11 5 3 7" xfId="5259" xr:uid="{00000000-0005-0000-0000-000083140000}"/>
    <cellStyle name="Normal 11 5 3 7 2" xfId="5260" xr:uid="{00000000-0005-0000-0000-000084140000}"/>
    <cellStyle name="Normal 11 5 3 7 3" xfId="5261" xr:uid="{00000000-0005-0000-0000-000085140000}"/>
    <cellStyle name="Normal 11 5 3 8" xfId="5262" xr:uid="{00000000-0005-0000-0000-000086140000}"/>
    <cellStyle name="Normal 11 5 3 8 2" xfId="5263" xr:uid="{00000000-0005-0000-0000-000087140000}"/>
    <cellStyle name="Normal 11 5 3 8 3" xfId="5264" xr:uid="{00000000-0005-0000-0000-000088140000}"/>
    <cellStyle name="Normal 11 5 3 9" xfId="5265" xr:uid="{00000000-0005-0000-0000-000089140000}"/>
    <cellStyle name="Normal 11 5 4" xfId="5266" xr:uid="{00000000-0005-0000-0000-00008A140000}"/>
    <cellStyle name="Normal 11 5 4 2" xfId="5267" xr:uid="{00000000-0005-0000-0000-00008B140000}"/>
    <cellStyle name="Normal 11 5 4 2 2" xfId="5268" xr:uid="{00000000-0005-0000-0000-00008C140000}"/>
    <cellStyle name="Normal 11 5 4 2 3" xfId="5269" xr:uid="{00000000-0005-0000-0000-00008D140000}"/>
    <cellStyle name="Normal 11 5 4 3" xfId="5270" xr:uid="{00000000-0005-0000-0000-00008E140000}"/>
    <cellStyle name="Normal 11 5 4 3 2" xfId="5271" xr:uid="{00000000-0005-0000-0000-00008F140000}"/>
    <cellStyle name="Normal 11 5 4 3 3" xfId="5272" xr:uid="{00000000-0005-0000-0000-000090140000}"/>
    <cellStyle name="Normal 11 5 4 4" xfId="5273" xr:uid="{00000000-0005-0000-0000-000091140000}"/>
    <cellStyle name="Normal 11 5 4 4 2" xfId="5274" xr:uid="{00000000-0005-0000-0000-000092140000}"/>
    <cellStyle name="Normal 11 5 4 4 3" xfId="5275" xr:uid="{00000000-0005-0000-0000-000093140000}"/>
    <cellStyle name="Normal 11 5 4 5" xfId="5276" xr:uid="{00000000-0005-0000-0000-000094140000}"/>
    <cellStyle name="Normal 11 5 4 5 2" xfId="5277" xr:uid="{00000000-0005-0000-0000-000095140000}"/>
    <cellStyle name="Normal 11 5 4 5 3" xfId="5278" xr:uid="{00000000-0005-0000-0000-000096140000}"/>
    <cellStyle name="Normal 11 5 4 6" xfId="5279" xr:uid="{00000000-0005-0000-0000-000097140000}"/>
    <cellStyle name="Normal 11 5 4 6 2" xfId="5280" xr:uid="{00000000-0005-0000-0000-000098140000}"/>
    <cellStyle name="Normal 11 5 4 6 3" xfId="5281" xr:uid="{00000000-0005-0000-0000-000099140000}"/>
    <cellStyle name="Normal 11 5 4 7" xfId="5282" xr:uid="{00000000-0005-0000-0000-00009A140000}"/>
    <cellStyle name="Normal 11 5 4 7 2" xfId="5283" xr:uid="{00000000-0005-0000-0000-00009B140000}"/>
    <cellStyle name="Normal 11 5 4 7 3" xfId="5284" xr:uid="{00000000-0005-0000-0000-00009C140000}"/>
    <cellStyle name="Normal 11 5 4 8" xfId="5285" xr:uid="{00000000-0005-0000-0000-00009D140000}"/>
    <cellStyle name="Normal 11 5 4 9" xfId="5286" xr:uid="{00000000-0005-0000-0000-00009E140000}"/>
    <cellStyle name="Normal 11 5 5" xfId="5287" xr:uid="{00000000-0005-0000-0000-00009F140000}"/>
    <cellStyle name="Normal 11 5 5 2" xfId="5288" xr:uid="{00000000-0005-0000-0000-0000A0140000}"/>
    <cellStyle name="Normal 11 5 5 3" xfId="5289" xr:uid="{00000000-0005-0000-0000-0000A1140000}"/>
    <cellStyle name="Normal 11 5 6" xfId="5290" xr:uid="{00000000-0005-0000-0000-0000A2140000}"/>
    <cellStyle name="Normal 11 5 6 2" xfId="5291" xr:uid="{00000000-0005-0000-0000-0000A3140000}"/>
    <cellStyle name="Normal 11 5 6 3" xfId="5292" xr:uid="{00000000-0005-0000-0000-0000A4140000}"/>
    <cellStyle name="Normal 11 5 7" xfId="5293" xr:uid="{00000000-0005-0000-0000-0000A5140000}"/>
    <cellStyle name="Normal 11 5 7 2" xfId="5294" xr:uid="{00000000-0005-0000-0000-0000A6140000}"/>
    <cellStyle name="Normal 11 5 7 3" xfId="5295" xr:uid="{00000000-0005-0000-0000-0000A7140000}"/>
    <cellStyle name="Normal 11 5 8" xfId="5296" xr:uid="{00000000-0005-0000-0000-0000A8140000}"/>
    <cellStyle name="Normal 11 5 8 2" xfId="5297" xr:uid="{00000000-0005-0000-0000-0000A9140000}"/>
    <cellStyle name="Normal 11 5 8 3" xfId="5298" xr:uid="{00000000-0005-0000-0000-0000AA140000}"/>
    <cellStyle name="Normal 11 5 9" xfId="5299" xr:uid="{00000000-0005-0000-0000-0000AB140000}"/>
    <cellStyle name="Normal 11 5 9 2" xfId="5300" xr:uid="{00000000-0005-0000-0000-0000AC140000}"/>
    <cellStyle name="Normal 11 5 9 3" xfId="5301" xr:uid="{00000000-0005-0000-0000-0000AD140000}"/>
    <cellStyle name="Normal 11 6" xfId="5302" xr:uid="{00000000-0005-0000-0000-0000AE140000}"/>
    <cellStyle name="Normal 11 6 10" xfId="5303" xr:uid="{00000000-0005-0000-0000-0000AF140000}"/>
    <cellStyle name="Normal 11 6 2" xfId="5304" xr:uid="{00000000-0005-0000-0000-0000B0140000}"/>
    <cellStyle name="Normal 11 6 2 2" xfId="5305" xr:uid="{00000000-0005-0000-0000-0000B1140000}"/>
    <cellStyle name="Normal 11 6 2 2 2" xfId="5306" xr:uid="{00000000-0005-0000-0000-0000B2140000}"/>
    <cellStyle name="Normal 11 6 2 2 3" xfId="5307" xr:uid="{00000000-0005-0000-0000-0000B3140000}"/>
    <cellStyle name="Normal 11 6 2 3" xfId="5308" xr:uid="{00000000-0005-0000-0000-0000B4140000}"/>
    <cellStyle name="Normal 11 6 2 3 2" xfId="5309" xr:uid="{00000000-0005-0000-0000-0000B5140000}"/>
    <cellStyle name="Normal 11 6 2 3 3" xfId="5310" xr:uid="{00000000-0005-0000-0000-0000B6140000}"/>
    <cellStyle name="Normal 11 6 2 4" xfId="5311" xr:uid="{00000000-0005-0000-0000-0000B7140000}"/>
    <cellStyle name="Normal 11 6 2 4 2" xfId="5312" xr:uid="{00000000-0005-0000-0000-0000B8140000}"/>
    <cellStyle name="Normal 11 6 2 4 3" xfId="5313" xr:uid="{00000000-0005-0000-0000-0000B9140000}"/>
    <cellStyle name="Normal 11 6 2 5" xfId="5314" xr:uid="{00000000-0005-0000-0000-0000BA140000}"/>
    <cellStyle name="Normal 11 6 2 5 2" xfId="5315" xr:uid="{00000000-0005-0000-0000-0000BB140000}"/>
    <cellStyle name="Normal 11 6 2 5 3" xfId="5316" xr:uid="{00000000-0005-0000-0000-0000BC140000}"/>
    <cellStyle name="Normal 11 6 2 6" xfId="5317" xr:uid="{00000000-0005-0000-0000-0000BD140000}"/>
    <cellStyle name="Normal 11 6 2 6 2" xfId="5318" xr:uid="{00000000-0005-0000-0000-0000BE140000}"/>
    <cellStyle name="Normal 11 6 2 6 3" xfId="5319" xr:uid="{00000000-0005-0000-0000-0000BF140000}"/>
    <cellStyle name="Normal 11 6 2 7" xfId="5320" xr:uid="{00000000-0005-0000-0000-0000C0140000}"/>
    <cellStyle name="Normal 11 6 2 7 2" xfId="5321" xr:uid="{00000000-0005-0000-0000-0000C1140000}"/>
    <cellStyle name="Normal 11 6 2 7 3" xfId="5322" xr:uid="{00000000-0005-0000-0000-0000C2140000}"/>
    <cellStyle name="Normal 11 6 2 8" xfId="5323" xr:uid="{00000000-0005-0000-0000-0000C3140000}"/>
    <cellStyle name="Normal 11 6 2 9" xfId="5324" xr:uid="{00000000-0005-0000-0000-0000C4140000}"/>
    <cellStyle name="Normal 11 6 3" xfId="5325" xr:uid="{00000000-0005-0000-0000-0000C5140000}"/>
    <cellStyle name="Normal 11 6 3 2" xfId="5326" xr:uid="{00000000-0005-0000-0000-0000C6140000}"/>
    <cellStyle name="Normal 11 6 3 3" xfId="5327" xr:uid="{00000000-0005-0000-0000-0000C7140000}"/>
    <cellStyle name="Normal 11 6 4" xfId="5328" xr:uid="{00000000-0005-0000-0000-0000C8140000}"/>
    <cellStyle name="Normal 11 6 4 2" xfId="5329" xr:uid="{00000000-0005-0000-0000-0000C9140000}"/>
    <cellStyle name="Normal 11 6 4 3" xfId="5330" xr:uid="{00000000-0005-0000-0000-0000CA140000}"/>
    <cellStyle name="Normal 11 6 5" xfId="5331" xr:uid="{00000000-0005-0000-0000-0000CB140000}"/>
    <cellStyle name="Normal 11 6 5 2" xfId="5332" xr:uid="{00000000-0005-0000-0000-0000CC140000}"/>
    <cellStyle name="Normal 11 6 5 3" xfId="5333" xr:uid="{00000000-0005-0000-0000-0000CD140000}"/>
    <cellStyle name="Normal 11 6 6" xfId="5334" xr:uid="{00000000-0005-0000-0000-0000CE140000}"/>
    <cellStyle name="Normal 11 6 6 2" xfId="5335" xr:uid="{00000000-0005-0000-0000-0000CF140000}"/>
    <cellStyle name="Normal 11 6 6 3" xfId="5336" xr:uid="{00000000-0005-0000-0000-0000D0140000}"/>
    <cellStyle name="Normal 11 6 7" xfId="5337" xr:uid="{00000000-0005-0000-0000-0000D1140000}"/>
    <cellStyle name="Normal 11 6 7 2" xfId="5338" xr:uid="{00000000-0005-0000-0000-0000D2140000}"/>
    <cellStyle name="Normal 11 6 7 3" xfId="5339" xr:uid="{00000000-0005-0000-0000-0000D3140000}"/>
    <cellStyle name="Normal 11 6 8" xfId="5340" xr:uid="{00000000-0005-0000-0000-0000D4140000}"/>
    <cellStyle name="Normal 11 6 8 2" xfId="5341" xr:uid="{00000000-0005-0000-0000-0000D5140000}"/>
    <cellStyle name="Normal 11 6 8 3" xfId="5342" xr:uid="{00000000-0005-0000-0000-0000D6140000}"/>
    <cellStyle name="Normal 11 6 9" xfId="5343" xr:uid="{00000000-0005-0000-0000-0000D7140000}"/>
    <cellStyle name="Normal 11 7" xfId="5344" xr:uid="{00000000-0005-0000-0000-0000D8140000}"/>
    <cellStyle name="Normal 11 7 10" xfId="5345" xr:uid="{00000000-0005-0000-0000-0000D9140000}"/>
    <cellStyle name="Normal 11 7 2" xfId="5346" xr:uid="{00000000-0005-0000-0000-0000DA140000}"/>
    <cellStyle name="Normal 11 7 2 2" xfId="5347" xr:uid="{00000000-0005-0000-0000-0000DB140000}"/>
    <cellStyle name="Normal 11 7 2 2 2" xfId="5348" xr:uid="{00000000-0005-0000-0000-0000DC140000}"/>
    <cellStyle name="Normal 11 7 2 2 3" xfId="5349" xr:uid="{00000000-0005-0000-0000-0000DD140000}"/>
    <cellStyle name="Normal 11 7 2 3" xfId="5350" xr:uid="{00000000-0005-0000-0000-0000DE140000}"/>
    <cellStyle name="Normal 11 7 2 3 2" xfId="5351" xr:uid="{00000000-0005-0000-0000-0000DF140000}"/>
    <cellStyle name="Normal 11 7 2 3 3" xfId="5352" xr:uid="{00000000-0005-0000-0000-0000E0140000}"/>
    <cellStyle name="Normal 11 7 2 4" xfId="5353" xr:uid="{00000000-0005-0000-0000-0000E1140000}"/>
    <cellStyle name="Normal 11 7 2 4 2" xfId="5354" xr:uid="{00000000-0005-0000-0000-0000E2140000}"/>
    <cellStyle name="Normal 11 7 2 4 3" xfId="5355" xr:uid="{00000000-0005-0000-0000-0000E3140000}"/>
    <cellStyle name="Normal 11 7 2 5" xfId="5356" xr:uid="{00000000-0005-0000-0000-0000E4140000}"/>
    <cellStyle name="Normal 11 7 2 5 2" xfId="5357" xr:uid="{00000000-0005-0000-0000-0000E5140000}"/>
    <cellStyle name="Normal 11 7 2 5 3" xfId="5358" xr:uid="{00000000-0005-0000-0000-0000E6140000}"/>
    <cellStyle name="Normal 11 7 2 6" xfId="5359" xr:uid="{00000000-0005-0000-0000-0000E7140000}"/>
    <cellStyle name="Normal 11 7 2 6 2" xfId="5360" xr:uid="{00000000-0005-0000-0000-0000E8140000}"/>
    <cellStyle name="Normal 11 7 2 6 3" xfId="5361" xr:uid="{00000000-0005-0000-0000-0000E9140000}"/>
    <cellStyle name="Normal 11 7 2 7" xfId="5362" xr:uid="{00000000-0005-0000-0000-0000EA140000}"/>
    <cellStyle name="Normal 11 7 2 7 2" xfId="5363" xr:uid="{00000000-0005-0000-0000-0000EB140000}"/>
    <cellStyle name="Normal 11 7 2 7 3" xfId="5364" xr:uid="{00000000-0005-0000-0000-0000EC140000}"/>
    <cellStyle name="Normal 11 7 2 8" xfId="5365" xr:uid="{00000000-0005-0000-0000-0000ED140000}"/>
    <cellStyle name="Normal 11 7 2 9" xfId="5366" xr:uid="{00000000-0005-0000-0000-0000EE140000}"/>
    <cellStyle name="Normal 11 7 3" xfId="5367" xr:uid="{00000000-0005-0000-0000-0000EF140000}"/>
    <cellStyle name="Normal 11 7 3 2" xfId="5368" xr:uid="{00000000-0005-0000-0000-0000F0140000}"/>
    <cellStyle name="Normal 11 7 3 3" xfId="5369" xr:uid="{00000000-0005-0000-0000-0000F1140000}"/>
    <cellStyle name="Normal 11 7 4" xfId="5370" xr:uid="{00000000-0005-0000-0000-0000F2140000}"/>
    <cellStyle name="Normal 11 7 4 2" xfId="5371" xr:uid="{00000000-0005-0000-0000-0000F3140000}"/>
    <cellStyle name="Normal 11 7 4 3" xfId="5372" xr:uid="{00000000-0005-0000-0000-0000F4140000}"/>
    <cellStyle name="Normal 11 7 5" xfId="5373" xr:uid="{00000000-0005-0000-0000-0000F5140000}"/>
    <cellStyle name="Normal 11 7 5 2" xfId="5374" xr:uid="{00000000-0005-0000-0000-0000F6140000}"/>
    <cellStyle name="Normal 11 7 5 3" xfId="5375" xr:uid="{00000000-0005-0000-0000-0000F7140000}"/>
    <cellStyle name="Normal 11 7 6" xfId="5376" xr:uid="{00000000-0005-0000-0000-0000F8140000}"/>
    <cellStyle name="Normal 11 7 6 2" xfId="5377" xr:uid="{00000000-0005-0000-0000-0000F9140000}"/>
    <cellStyle name="Normal 11 7 6 3" xfId="5378" xr:uid="{00000000-0005-0000-0000-0000FA140000}"/>
    <cellStyle name="Normal 11 7 7" xfId="5379" xr:uid="{00000000-0005-0000-0000-0000FB140000}"/>
    <cellStyle name="Normal 11 7 7 2" xfId="5380" xr:uid="{00000000-0005-0000-0000-0000FC140000}"/>
    <cellStyle name="Normal 11 7 7 3" xfId="5381" xr:uid="{00000000-0005-0000-0000-0000FD140000}"/>
    <cellStyle name="Normal 11 7 8" xfId="5382" xr:uid="{00000000-0005-0000-0000-0000FE140000}"/>
    <cellStyle name="Normal 11 7 8 2" xfId="5383" xr:uid="{00000000-0005-0000-0000-0000FF140000}"/>
    <cellStyle name="Normal 11 7 8 3" xfId="5384" xr:uid="{00000000-0005-0000-0000-000000150000}"/>
    <cellStyle name="Normal 11 7 9" xfId="5385" xr:uid="{00000000-0005-0000-0000-000001150000}"/>
    <cellStyle name="Normal 11 8" xfId="5386" xr:uid="{00000000-0005-0000-0000-000002150000}"/>
    <cellStyle name="Normal 11 8 2" xfId="5387" xr:uid="{00000000-0005-0000-0000-000003150000}"/>
    <cellStyle name="Normal 11 8 2 2" xfId="5388" xr:uid="{00000000-0005-0000-0000-000004150000}"/>
    <cellStyle name="Normal 11 8 2 3" xfId="5389" xr:uid="{00000000-0005-0000-0000-000005150000}"/>
    <cellStyle name="Normal 11 8 3" xfId="5390" xr:uid="{00000000-0005-0000-0000-000006150000}"/>
    <cellStyle name="Normal 11 8 3 2" xfId="5391" xr:uid="{00000000-0005-0000-0000-000007150000}"/>
    <cellStyle name="Normal 11 8 3 3" xfId="5392" xr:uid="{00000000-0005-0000-0000-000008150000}"/>
    <cellStyle name="Normal 11 8 4" xfId="5393" xr:uid="{00000000-0005-0000-0000-000009150000}"/>
    <cellStyle name="Normal 11 8 4 2" xfId="5394" xr:uid="{00000000-0005-0000-0000-00000A150000}"/>
    <cellStyle name="Normal 11 8 4 3" xfId="5395" xr:uid="{00000000-0005-0000-0000-00000B150000}"/>
    <cellStyle name="Normal 11 8 5" xfId="5396" xr:uid="{00000000-0005-0000-0000-00000C150000}"/>
    <cellStyle name="Normal 11 8 5 2" xfId="5397" xr:uid="{00000000-0005-0000-0000-00000D150000}"/>
    <cellStyle name="Normal 11 8 5 3" xfId="5398" xr:uid="{00000000-0005-0000-0000-00000E150000}"/>
    <cellStyle name="Normal 11 8 6" xfId="5399" xr:uid="{00000000-0005-0000-0000-00000F150000}"/>
    <cellStyle name="Normal 11 8 6 2" xfId="5400" xr:uid="{00000000-0005-0000-0000-000010150000}"/>
    <cellStyle name="Normal 11 8 6 3" xfId="5401" xr:uid="{00000000-0005-0000-0000-000011150000}"/>
    <cellStyle name="Normal 11 8 7" xfId="5402" xr:uid="{00000000-0005-0000-0000-000012150000}"/>
    <cellStyle name="Normal 11 8 7 2" xfId="5403" xr:uid="{00000000-0005-0000-0000-000013150000}"/>
    <cellStyle name="Normal 11 8 7 3" xfId="5404" xr:uid="{00000000-0005-0000-0000-000014150000}"/>
    <cellStyle name="Normal 11 8 8" xfId="5405" xr:uid="{00000000-0005-0000-0000-000015150000}"/>
    <cellStyle name="Normal 11 8 9" xfId="5406" xr:uid="{00000000-0005-0000-0000-000016150000}"/>
    <cellStyle name="Normal 11 9" xfId="5407" xr:uid="{00000000-0005-0000-0000-000017150000}"/>
    <cellStyle name="Normal 11 9 2" xfId="5408" xr:uid="{00000000-0005-0000-0000-000018150000}"/>
    <cellStyle name="Normal 11 9 3" xfId="5409" xr:uid="{00000000-0005-0000-0000-000019150000}"/>
    <cellStyle name="Normal 12" xfId="5410" xr:uid="{00000000-0005-0000-0000-00001A150000}"/>
    <cellStyle name="Normal 12 10" xfId="5411" xr:uid="{00000000-0005-0000-0000-00001B150000}"/>
    <cellStyle name="Normal 12 10 2" xfId="5412" xr:uid="{00000000-0005-0000-0000-00001C150000}"/>
    <cellStyle name="Normal 12 10 3" xfId="5413" xr:uid="{00000000-0005-0000-0000-00001D150000}"/>
    <cellStyle name="Normal 12 11" xfId="5414" xr:uid="{00000000-0005-0000-0000-00001E150000}"/>
    <cellStyle name="Normal 12 11 2" xfId="5415" xr:uid="{00000000-0005-0000-0000-00001F150000}"/>
    <cellStyle name="Normal 12 11 3" xfId="5416" xr:uid="{00000000-0005-0000-0000-000020150000}"/>
    <cellStyle name="Normal 12 12" xfId="5417" xr:uid="{00000000-0005-0000-0000-000021150000}"/>
    <cellStyle name="Normal 12 12 2" xfId="5418" xr:uid="{00000000-0005-0000-0000-000022150000}"/>
    <cellStyle name="Normal 12 12 3" xfId="5419" xr:uid="{00000000-0005-0000-0000-000023150000}"/>
    <cellStyle name="Normal 12 13" xfId="5420" xr:uid="{00000000-0005-0000-0000-000024150000}"/>
    <cellStyle name="Normal 12 13 2" xfId="5421" xr:uid="{00000000-0005-0000-0000-000025150000}"/>
    <cellStyle name="Normal 12 13 3" xfId="5422" xr:uid="{00000000-0005-0000-0000-000026150000}"/>
    <cellStyle name="Normal 12 14" xfId="5423" xr:uid="{00000000-0005-0000-0000-000027150000}"/>
    <cellStyle name="Normal 12 14 2" xfId="5424" xr:uid="{00000000-0005-0000-0000-000028150000}"/>
    <cellStyle name="Normal 12 14 3" xfId="5425" xr:uid="{00000000-0005-0000-0000-000029150000}"/>
    <cellStyle name="Normal 12 15" xfId="5426" xr:uid="{00000000-0005-0000-0000-00002A150000}"/>
    <cellStyle name="Normal 12 16" xfId="5427" xr:uid="{00000000-0005-0000-0000-00002B150000}"/>
    <cellStyle name="Normal 12 2" xfId="5428" xr:uid="{00000000-0005-0000-0000-00002C150000}"/>
    <cellStyle name="Normal 12 2 10" xfId="5429" xr:uid="{00000000-0005-0000-0000-00002D150000}"/>
    <cellStyle name="Normal 12 2 10 2" xfId="5430" xr:uid="{00000000-0005-0000-0000-00002E150000}"/>
    <cellStyle name="Normal 12 2 10 3" xfId="5431" xr:uid="{00000000-0005-0000-0000-00002F150000}"/>
    <cellStyle name="Normal 12 2 11" xfId="5432" xr:uid="{00000000-0005-0000-0000-000030150000}"/>
    <cellStyle name="Normal 12 2 11 2" xfId="5433" xr:uid="{00000000-0005-0000-0000-000031150000}"/>
    <cellStyle name="Normal 12 2 11 3" xfId="5434" xr:uid="{00000000-0005-0000-0000-000032150000}"/>
    <cellStyle name="Normal 12 2 12" xfId="5435" xr:uid="{00000000-0005-0000-0000-000033150000}"/>
    <cellStyle name="Normal 12 2 12 2" xfId="5436" xr:uid="{00000000-0005-0000-0000-000034150000}"/>
    <cellStyle name="Normal 12 2 12 3" xfId="5437" xr:uid="{00000000-0005-0000-0000-000035150000}"/>
    <cellStyle name="Normal 12 2 13" xfId="5438" xr:uid="{00000000-0005-0000-0000-000036150000}"/>
    <cellStyle name="Normal 12 2 13 2" xfId="5439" xr:uid="{00000000-0005-0000-0000-000037150000}"/>
    <cellStyle name="Normal 12 2 13 3" xfId="5440" xr:uid="{00000000-0005-0000-0000-000038150000}"/>
    <cellStyle name="Normal 12 2 14" xfId="5441" xr:uid="{00000000-0005-0000-0000-000039150000}"/>
    <cellStyle name="Normal 12 2 15" xfId="5442" xr:uid="{00000000-0005-0000-0000-00003A150000}"/>
    <cellStyle name="Normal 12 2 2" xfId="5443" xr:uid="{00000000-0005-0000-0000-00003B150000}"/>
    <cellStyle name="Normal 12 2 2 10" xfId="5444" xr:uid="{00000000-0005-0000-0000-00003C150000}"/>
    <cellStyle name="Normal 12 2 2 10 2" xfId="5445" xr:uid="{00000000-0005-0000-0000-00003D150000}"/>
    <cellStyle name="Normal 12 2 2 10 3" xfId="5446" xr:uid="{00000000-0005-0000-0000-00003E150000}"/>
    <cellStyle name="Normal 12 2 2 11" xfId="5447" xr:uid="{00000000-0005-0000-0000-00003F150000}"/>
    <cellStyle name="Normal 12 2 2 11 2" xfId="5448" xr:uid="{00000000-0005-0000-0000-000040150000}"/>
    <cellStyle name="Normal 12 2 2 11 3" xfId="5449" xr:uid="{00000000-0005-0000-0000-000041150000}"/>
    <cellStyle name="Normal 12 2 2 12" xfId="5450" xr:uid="{00000000-0005-0000-0000-000042150000}"/>
    <cellStyle name="Normal 12 2 2 12 2" xfId="5451" xr:uid="{00000000-0005-0000-0000-000043150000}"/>
    <cellStyle name="Normal 12 2 2 12 3" xfId="5452" xr:uid="{00000000-0005-0000-0000-000044150000}"/>
    <cellStyle name="Normal 12 2 2 13" xfId="5453" xr:uid="{00000000-0005-0000-0000-000045150000}"/>
    <cellStyle name="Normal 12 2 2 14" xfId="5454" xr:uid="{00000000-0005-0000-0000-000046150000}"/>
    <cellStyle name="Normal 12 2 2 2" xfId="5455" xr:uid="{00000000-0005-0000-0000-000047150000}"/>
    <cellStyle name="Normal 12 2 2 2 10" xfId="5456" xr:uid="{00000000-0005-0000-0000-000048150000}"/>
    <cellStyle name="Normal 12 2 2 2 10 2" xfId="5457" xr:uid="{00000000-0005-0000-0000-000049150000}"/>
    <cellStyle name="Normal 12 2 2 2 10 3" xfId="5458" xr:uid="{00000000-0005-0000-0000-00004A150000}"/>
    <cellStyle name="Normal 12 2 2 2 11" xfId="5459" xr:uid="{00000000-0005-0000-0000-00004B150000}"/>
    <cellStyle name="Normal 12 2 2 2 11 2" xfId="5460" xr:uid="{00000000-0005-0000-0000-00004C150000}"/>
    <cellStyle name="Normal 12 2 2 2 11 3" xfId="5461" xr:uid="{00000000-0005-0000-0000-00004D150000}"/>
    <cellStyle name="Normal 12 2 2 2 12" xfId="5462" xr:uid="{00000000-0005-0000-0000-00004E150000}"/>
    <cellStyle name="Normal 12 2 2 2 13" xfId="5463" xr:uid="{00000000-0005-0000-0000-00004F150000}"/>
    <cellStyle name="Normal 12 2 2 2 2" xfId="5464" xr:uid="{00000000-0005-0000-0000-000050150000}"/>
    <cellStyle name="Normal 12 2 2 2 2 10" xfId="5465" xr:uid="{00000000-0005-0000-0000-000051150000}"/>
    <cellStyle name="Normal 12 2 2 2 2 10 2" xfId="5466" xr:uid="{00000000-0005-0000-0000-000052150000}"/>
    <cellStyle name="Normal 12 2 2 2 2 10 3" xfId="5467" xr:uid="{00000000-0005-0000-0000-000053150000}"/>
    <cellStyle name="Normal 12 2 2 2 2 11" xfId="5468" xr:uid="{00000000-0005-0000-0000-000054150000}"/>
    <cellStyle name="Normal 12 2 2 2 2 12" xfId="5469" xr:uid="{00000000-0005-0000-0000-000055150000}"/>
    <cellStyle name="Normal 12 2 2 2 2 2" xfId="5470" xr:uid="{00000000-0005-0000-0000-000056150000}"/>
    <cellStyle name="Normal 12 2 2 2 2 2 10" xfId="5471" xr:uid="{00000000-0005-0000-0000-000057150000}"/>
    <cellStyle name="Normal 12 2 2 2 2 2 2" xfId="5472" xr:uid="{00000000-0005-0000-0000-000058150000}"/>
    <cellStyle name="Normal 12 2 2 2 2 2 2 2" xfId="5473" xr:uid="{00000000-0005-0000-0000-000059150000}"/>
    <cellStyle name="Normal 12 2 2 2 2 2 2 2 2" xfId="5474" xr:uid="{00000000-0005-0000-0000-00005A150000}"/>
    <cellStyle name="Normal 12 2 2 2 2 2 2 2 3" xfId="5475" xr:uid="{00000000-0005-0000-0000-00005B150000}"/>
    <cellStyle name="Normal 12 2 2 2 2 2 2 3" xfId="5476" xr:uid="{00000000-0005-0000-0000-00005C150000}"/>
    <cellStyle name="Normal 12 2 2 2 2 2 2 3 2" xfId="5477" xr:uid="{00000000-0005-0000-0000-00005D150000}"/>
    <cellStyle name="Normal 12 2 2 2 2 2 2 3 3" xfId="5478" xr:uid="{00000000-0005-0000-0000-00005E150000}"/>
    <cellStyle name="Normal 12 2 2 2 2 2 2 4" xfId="5479" xr:uid="{00000000-0005-0000-0000-00005F150000}"/>
    <cellStyle name="Normal 12 2 2 2 2 2 2 4 2" xfId="5480" xr:uid="{00000000-0005-0000-0000-000060150000}"/>
    <cellStyle name="Normal 12 2 2 2 2 2 2 4 3" xfId="5481" xr:uid="{00000000-0005-0000-0000-000061150000}"/>
    <cellStyle name="Normal 12 2 2 2 2 2 2 5" xfId="5482" xr:uid="{00000000-0005-0000-0000-000062150000}"/>
    <cellStyle name="Normal 12 2 2 2 2 2 2 5 2" xfId="5483" xr:uid="{00000000-0005-0000-0000-000063150000}"/>
    <cellStyle name="Normal 12 2 2 2 2 2 2 5 3" xfId="5484" xr:uid="{00000000-0005-0000-0000-000064150000}"/>
    <cellStyle name="Normal 12 2 2 2 2 2 2 6" xfId="5485" xr:uid="{00000000-0005-0000-0000-000065150000}"/>
    <cellStyle name="Normal 12 2 2 2 2 2 2 6 2" xfId="5486" xr:uid="{00000000-0005-0000-0000-000066150000}"/>
    <cellStyle name="Normal 12 2 2 2 2 2 2 6 3" xfId="5487" xr:uid="{00000000-0005-0000-0000-000067150000}"/>
    <cellStyle name="Normal 12 2 2 2 2 2 2 7" xfId="5488" xr:uid="{00000000-0005-0000-0000-000068150000}"/>
    <cellStyle name="Normal 12 2 2 2 2 2 2 7 2" xfId="5489" xr:uid="{00000000-0005-0000-0000-000069150000}"/>
    <cellStyle name="Normal 12 2 2 2 2 2 2 7 3" xfId="5490" xr:uid="{00000000-0005-0000-0000-00006A150000}"/>
    <cellStyle name="Normal 12 2 2 2 2 2 2 8" xfId="5491" xr:uid="{00000000-0005-0000-0000-00006B150000}"/>
    <cellStyle name="Normal 12 2 2 2 2 2 2 9" xfId="5492" xr:uid="{00000000-0005-0000-0000-00006C150000}"/>
    <cellStyle name="Normal 12 2 2 2 2 2 3" xfId="5493" xr:uid="{00000000-0005-0000-0000-00006D150000}"/>
    <cellStyle name="Normal 12 2 2 2 2 2 3 2" xfId="5494" xr:uid="{00000000-0005-0000-0000-00006E150000}"/>
    <cellStyle name="Normal 12 2 2 2 2 2 3 3" xfId="5495" xr:uid="{00000000-0005-0000-0000-00006F150000}"/>
    <cellStyle name="Normal 12 2 2 2 2 2 4" xfId="5496" xr:uid="{00000000-0005-0000-0000-000070150000}"/>
    <cellStyle name="Normal 12 2 2 2 2 2 4 2" xfId="5497" xr:uid="{00000000-0005-0000-0000-000071150000}"/>
    <cellStyle name="Normal 12 2 2 2 2 2 4 3" xfId="5498" xr:uid="{00000000-0005-0000-0000-000072150000}"/>
    <cellStyle name="Normal 12 2 2 2 2 2 5" xfId="5499" xr:uid="{00000000-0005-0000-0000-000073150000}"/>
    <cellStyle name="Normal 12 2 2 2 2 2 5 2" xfId="5500" xr:uid="{00000000-0005-0000-0000-000074150000}"/>
    <cellStyle name="Normal 12 2 2 2 2 2 5 3" xfId="5501" xr:uid="{00000000-0005-0000-0000-000075150000}"/>
    <cellStyle name="Normal 12 2 2 2 2 2 6" xfId="5502" xr:uid="{00000000-0005-0000-0000-000076150000}"/>
    <cellStyle name="Normal 12 2 2 2 2 2 6 2" xfId="5503" xr:uid="{00000000-0005-0000-0000-000077150000}"/>
    <cellStyle name="Normal 12 2 2 2 2 2 6 3" xfId="5504" xr:uid="{00000000-0005-0000-0000-000078150000}"/>
    <cellStyle name="Normal 12 2 2 2 2 2 7" xfId="5505" xr:uid="{00000000-0005-0000-0000-000079150000}"/>
    <cellStyle name="Normal 12 2 2 2 2 2 7 2" xfId="5506" xr:uid="{00000000-0005-0000-0000-00007A150000}"/>
    <cellStyle name="Normal 12 2 2 2 2 2 7 3" xfId="5507" xr:uid="{00000000-0005-0000-0000-00007B150000}"/>
    <cellStyle name="Normal 12 2 2 2 2 2 8" xfId="5508" xr:uid="{00000000-0005-0000-0000-00007C150000}"/>
    <cellStyle name="Normal 12 2 2 2 2 2 8 2" xfId="5509" xr:uid="{00000000-0005-0000-0000-00007D150000}"/>
    <cellStyle name="Normal 12 2 2 2 2 2 8 3" xfId="5510" xr:uid="{00000000-0005-0000-0000-00007E150000}"/>
    <cellStyle name="Normal 12 2 2 2 2 2 9" xfId="5511" xr:uid="{00000000-0005-0000-0000-00007F150000}"/>
    <cellStyle name="Normal 12 2 2 2 2 3" xfId="5512" xr:uid="{00000000-0005-0000-0000-000080150000}"/>
    <cellStyle name="Normal 12 2 2 2 2 3 10" xfId="5513" xr:uid="{00000000-0005-0000-0000-000081150000}"/>
    <cellStyle name="Normal 12 2 2 2 2 3 2" xfId="5514" xr:uid="{00000000-0005-0000-0000-000082150000}"/>
    <cellStyle name="Normal 12 2 2 2 2 3 2 2" xfId="5515" xr:uid="{00000000-0005-0000-0000-000083150000}"/>
    <cellStyle name="Normal 12 2 2 2 2 3 2 2 2" xfId="5516" xr:uid="{00000000-0005-0000-0000-000084150000}"/>
    <cellStyle name="Normal 12 2 2 2 2 3 2 2 3" xfId="5517" xr:uid="{00000000-0005-0000-0000-000085150000}"/>
    <cellStyle name="Normal 12 2 2 2 2 3 2 3" xfId="5518" xr:uid="{00000000-0005-0000-0000-000086150000}"/>
    <cellStyle name="Normal 12 2 2 2 2 3 2 3 2" xfId="5519" xr:uid="{00000000-0005-0000-0000-000087150000}"/>
    <cellStyle name="Normal 12 2 2 2 2 3 2 3 3" xfId="5520" xr:uid="{00000000-0005-0000-0000-000088150000}"/>
    <cellStyle name="Normal 12 2 2 2 2 3 2 4" xfId="5521" xr:uid="{00000000-0005-0000-0000-000089150000}"/>
    <cellStyle name="Normal 12 2 2 2 2 3 2 4 2" xfId="5522" xr:uid="{00000000-0005-0000-0000-00008A150000}"/>
    <cellStyle name="Normal 12 2 2 2 2 3 2 4 3" xfId="5523" xr:uid="{00000000-0005-0000-0000-00008B150000}"/>
    <cellStyle name="Normal 12 2 2 2 2 3 2 5" xfId="5524" xr:uid="{00000000-0005-0000-0000-00008C150000}"/>
    <cellStyle name="Normal 12 2 2 2 2 3 2 5 2" xfId="5525" xr:uid="{00000000-0005-0000-0000-00008D150000}"/>
    <cellStyle name="Normal 12 2 2 2 2 3 2 5 3" xfId="5526" xr:uid="{00000000-0005-0000-0000-00008E150000}"/>
    <cellStyle name="Normal 12 2 2 2 2 3 2 6" xfId="5527" xr:uid="{00000000-0005-0000-0000-00008F150000}"/>
    <cellStyle name="Normal 12 2 2 2 2 3 2 6 2" xfId="5528" xr:uid="{00000000-0005-0000-0000-000090150000}"/>
    <cellStyle name="Normal 12 2 2 2 2 3 2 6 3" xfId="5529" xr:uid="{00000000-0005-0000-0000-000091150000}"/>
    <cellStyle name="Normal 12 2 2 2 2 3 2 7" xfId="5530" xr:uid="{00000000-0005-0000-0000-000092150000}"/>
    <cellStyle name="Normal 12 2 2 2 2 3 2 7 2" xfId="5531" xr:uid="{00000000-0005-0000-0000-000093150000}"/>
    <cellStyle name="Normal 12 2 2 2 2 3 2 7 3" xfId="5532" xr:uid="{00000000-0005-0000-0000-000094150000}"/>
    <cellStyle name="Normal 12 2 2 2 2 3 2 8" xfId="5533" xr:uid="{00000000-0005-0000-0000-000095150000}"/>
    <cellStyle name="Normal 12 2 2 2 2 3 2 9" xfId="5534" xr:uid="{00000000-0005-0000-0000-000096150000}"/>
    <cellStyle name="Normal 12 2 2 2 2 3 3" xfId="5535" xr:uid="{00000000-0005-0000-0000-000097150000}"/>
    <cellStyle name="Normal 12 2 2 2 2 3 3 2" xfId="5536" xr:uid="{00000000-0005-0000-0000-000098150000}"/>
    <cellStyle name="Normal 12 2 2 2 2 3 3 3" xfId="5537" xr:uid="{00000000-0005-0000-0000-000099150000}"/>
    <cellStyle name="Normal 12 2 2 2 2 3 4" xfId="5538" xr:uid="{00000000-0005-0000-0000-00009A150000}"/>
    <cellStyle name="Normal 12 2 2 2 2 3 4 2" xfId="5539" xr:uid="{00000000-0005-0000-0000-00009B150000}"/>
    <cellStyle name="Normal 12 2 2 2 2 3 4 3" xfId="5540" xr:uid="{00000000-0005-0000-0000-00009C150000}"/>
    <cellStyle name="Normal 12 2 2 2 2 3 5" xfId="5541" xr:uid="{00000000-0005-0000-0000-00009D150000}"/>
    <cellStyle name="Normal 12 2 2 2 2 3 5 2" xfId="5542" xr:uid="{00000000-0005-0000-0000-00009E150000}"/>
    <cellStyle name="Normal 12 2 2 2 2 3 5 3" xfId="5543" xr:uid="{00000000-0005-0000-0000-00009F150000}"/>
    <cellStyle name="Normal 12 2 2 2 2 3 6" xfId="5544" xr:uid="{00000000-0005-0000-0000-0000A0150000}"/>
    <cellStyle name="Normal 12 2 2 2 2 3 6 2" xfId="5545" xr:uid="{00000000-0005-0000-0000-0000A1150000}"/>
    <cellStyle name="Normal 12 2 2 2 2 3 6 3" xfId="5546" xr:uid="{00000000-0005-0000-0000-0000A2150000}"/>
    <cellStyle name="Normal 12 2 2 2 2 3 7" xfId="5547" xr:uid="{00000000-0005-0000-0000-0000A3150000}"/>
    <cellStyle name="Normal 12 2 2 2 2 3 7 2" xfId="5548" xr:uid="{00000000-0005-0000-0000-0000A4150000}"/>
    <cellStyle name="Normal 12 2 2 2 2 3 7 3" xfId="5549" xr:uid="{00000000-0005-0000-0000-0000A5150000}"/>
    <cellStyle name="Normal 12 2 2 2 2 3 8" xfId="5550" xr:uid="{00000000-0005-0000-0000-0000A6150000}"/>
    <cellStyle name="Normal 12 2 2 2 2 3 8 2" xfId="5551" xr:uid="{00000000-0005-0000-0000-0000A7150000}"/>
    <cellStyle name="Normal 12 2 2 2 2 3 8 3" xfId="5552" xr:uid="{00000000-0005-0000-0000-0000A8150000}"/>
    <cellStyle name="Normal 12 2 2 2 2 3 9" xfId="5553" xr:uid="{00000000-0005-0000-0000-0000A9150000}"/>
    <cellStyle name="Normal 12 2 2 2 2 4" xfId="5554" xr:uid="{00000000-0005-0000-0000-0000AA150000}"/>
    <cellStyle name="Normal 12 2 2 2 2 4 2" xfId="5555" xr:uid="{00000000-0005-0000-0000-0000AB150000}"/>
    <cellStyle name="Normal 12 2 2 2 2 4 2 2" xfId="5556" xr:uid="{00000000-0005-0000-0000-0000AC150000}"/>
    <cellStyle name="Normal 12 2 2 2 2 4 2 3" xfId="5557" xr:uid="{00000000-0005-0000-0000-0000AD150000}"/>
    <cellStyle name="Normal 12 2 2 2 2 4 3" xfId="5558" xr:uid="{00000000-0005-0000-0000-0000AE150000}"/>
    <cellStyle name="Normal 12 2 2 2 2 4 3 2" xfId="5559" xr:uid="{00000000-0005-0000-0000-0000AF150000}"/>
    <cellStyle name="Normal 12 2 2 2 2 4 3 3" xfId="5560" xr:uid="{00000000-0005-0000-0000-0000B0150000}"/>
    <cellStyle name="Normal 12 2 2 2 2 4 4" xfId="5561" xr:uid="{00000000-0005-0000-0000-0000B1150000}"/>
    <cellStyle name="Normal 12 2 2 2 2 4 4 2" xfId="5562" xr:uid="{00000000-0005-0000-0000-0000B2150000}"/>
    <cellStyle name="Normal 12 2 2 2 2 4 4 3" xfId="5563" xr:uid="{00000000-0005-0000-0000-0000B3150000}"/>
    <cellStyle name="Normal 12 2 2 2 2 4 5" xfId="5564" xr:uid="{00000000-0005-0000-0000-0000B4150000}"/>
    <cellStyle name="Normal 12 2 2 2 2 4 5 2" xfId="5565" xr:uid="{00000000-0005-0000-0000-0000B5150000}"/>
    <cellStyle name="Normal 12 2 2 2 2 4 5 3" xfId="5566" xr:uid="{00000000-0005-0000-0000-0000B6150000}"/>
    <cellStyle name="Normal 12 2 2 2 2 4 6" xfId="5567" xr:uid="{00000000-0005-0000-0000-0000B7150000}"/>
    <cellStyle name="Normal 12 2 2 2 2 4 6 2" xfId="5568" xr:uid="{00000000-0005-0000-0000-0000B8150000}"/>
    <cellStyle name="Normal 12 2 2 2 2 4 6 3" xfId="5569" xr:uid="{00000000-0005-0000-0000-0000B9150000}"/>
    <cellStyle name="Normal 12 2 2 2 2 4 7" xfId="5570" xr:uid="{00000000-0005-0000-0000-0000BA150000}"/>
    <cellStyle name="Normal 12 2 2 2 2 4 7 2" xfId="5571" xr:uid="{00000000-0005-0000-0000-0000BB150000}"/>
    <cellStyle name="Normal 12 2 2 2 2 4 7 3" xfId="5572" xr:uid="{00000000-0005-0000-0000-0000BC150000}"/>
    <cellStyle name="Normal 12 2 2 2 2 4 8" xfId="5573" xr:uid="{00000000-0005-0000-0000-0000BD150000}"/>
    <cellStyle name="Normal 12 2 2 2 2 4 9" xfId="5574" xr:uid="{00000000-0005-0000-0000-0000BE150000}"/>
    <cellStyle name="Normal 12 2 2 2 2 5" xfId="5575" xr:uid="{00000000-0005-0000-0000-0000BF150000}"/>
    <cellStyle name="Normal 12 2 2 2 2 5 2" xfId="5576" xr:uid="{00000000-0005-0000-0000-0000C0150000}"/>
    <cellStyle name="Normal 12 2 2 2 2 5 3" xfId="5577" xr:uid="{00000000-0005-0000-0000-0000C1150000}"/>
    <cellStyle name="Normal 12 2 2 2 2 6" xfId="5578" xr:uid="{00000000-0005-0000-0000-0000C2150000}"/>
    <cellStyle name="Normal 12 2 2 2 2 6 2" xfId="5579" xr:uid="{00000000-0005-0000-0000-0000C3150000}"/>
    <cellStyle name="Normal 12 2 2 2 2 6 3" xfId="5580" xr:uid="{00000000-0005-0000-0000-0000C4150000}"/>
    <cellStyle name="Normal 12 2 2 2 2 7" xfId="5581" xr:uid="{00000000-0005-0000-0000-0000C5150000}"/>
    <cellStyle name="Normal 12 2 2 2 2 7 2" xfId="5582" xr:uid="{00000000-0005-0000-0000-0000C6150000}"/>
    <cellStyle name="Normal 12 2 2 2 2 7 3" xfId="5583" xr:uid="{00000000-0005-0000-0000-0000C7150000}"/>
    <cellStyle name="Normal 12 2 2 2 2 8" xfId="5584" xr:uid="{00000000-0005-0000-0000-0000C8150000}"/>
    <cellStyle name="Normal 12 2 2 2 2 8 2" xfId="5585" xr:uid="{00000000-0005-0000-0000-0000C9150000}"/>
    <cellStyle name="Normal 12 2 2 2 2 8 3" xfId="5586" xr:uid="{00000000-0005-0000-0000-0000CA150000}"/>
    <cellStyle name="Normal 12 2 2 2 2 9" xfId="5587" xr:uid="{00000000-0005-0000-0000-0000CB150000}"/>
    <cellStyle name="Normal 12 2 2 2 2 9 2" xfId="5588" xr:uid="{00000000-0005-0000-0000-0000CC150000}"/>
    <cellStyle name="Normal 12 2 2 2 2 9 3" xfId="5589" xr:uid="{00000000-0005-0000-0000-0000CD150000}"/>
    <cellStyle name="Normal 12 2 2 2 3" xfId="5590" xr:uid="{00000000-0005-0000-0000-0000CE150000}"/>
    <cellStyle name="Normal 12 2 2 2 3 10" xfId="5591" xr:uid="{00000000-0005-0000-0000-0000CF150000}"/>
    <cellStyle name="Normal 12 2 2 2 3 2" xfId="5592" xr:uid="{00000000-0005-0000-0000-0000D0150000}"/>
    <cellStyle name="Normal 12 2 2 2 3 2 2" xfId="5593" xr:uid="{00000000-0005-0000-0000-0000D1150000}"/>
    <cellStyle name="Normal 12 2 2 2 3 2 2 2" xfId="5594" xr:uid="{00000000-0005-0000-0000-0000D2150000}"/>
    <cellStyle name="Normal 12 2 2 2 3 2 2 3" xfId="5595" xr:uid="{00000000-0005-0000-0000-0000D3150000}"/>
    <cellStyle name="Normal 12 2 2 2 3 2 3" xfId="5596" xr:uid="{00000000-0005-0000-0000-0000D4150000}"/>
    <cellStyle name="Normal 12 2 2 2 3 2 3 2" xfId="5597" xr:uid="{00000000-0005-0000-0000-0000D5150000}"/>
    <cellStyle name="Normal 12 2 2 2 3 2 3 3" xfId="5598" xr:uid="{00000000-0005-0000-0000-0000D6150000}"/>
    <cellStyle name="Normal 12 2 2 2 3 2 4" xfId="5599" xr:uid="{00000000-0005-0000-0000-0000D7150000}"/>
    <cellStyle name="Normal 12 2 2 2 3 2 4 2" xfId="5600" xr:uid="{00000000-0005-0000-0000-0000D8150000}"/>
    <cellStyle name="Normal 12 2 2 2 3 2 4 3" xfId="5601" xr:uid="{00000000-0005-0000-0000-0000D9150000}"/>
    <cellStyle name="Normal 12 2 2 2 3 2 5" xfId="5602" xr:uid="{00000000-0005-0000-0000-0000DA150000}"/>
    <cellStyle name="Normal 12 2 2 2 3 2 5 2" xfId="5603" xr:uid="{00000000-0005-0000-0000-0000DB150000}"/>
    <cellStyle name="Normal 12 2 2 2 3 2 5 3" xfId="5604" xr:uid="{00000000-0005-0000-0000-0000DC150000}"/>
    <cellStyle name="Normal 12 2 2 2 3 2 6" xfId="5605" xr:uid="{00000000-0005-0000-0000-0000DD150000}"/>
    <cellStyle name="Normal 12 2 2 2 3 2 6 2" xfId="5606" xr:uid="{00000000-0005-0000-0000-0000DE150000}"/>
    <cellStyle name="Normal 12 2 2 2 3 2 6 3" xfId="5607" xr:uid="{00000000-0005-0000-0000-0000DF150000}"/>
    <cellStyle name="Normal 12 2 2 2 3 2 7" xfId="5608" xr:uid="{00000000-0005-0000-0000-0000E0150000}"/>
    <cellStyle name="Normal 12 2 2 2 3 2 7 2" xfId="5609" xr:uid="{00000000-0005-0000-0000-0000E1150000}"/>
    <cellStyle name="Normal 12 2 2 2 3 2 7 3" xfId="5610" xr:uid="{00000000-0005-0000-0000-0000E2150000}"/>
    <cellStyle name="Normal 12 2 2 2 3 2 8" xfId="5611" xr:uid="{00000000-0005-0000-0000-0000E3150000}"/>
    <cellStyle name="Normal 12 2 2 2 3 2 9" xfId="5612" xr:uid="{00000000-0005-0000-0000-0000E4150000}"/>
    <cellStyle name="Normal 12 2 2 2 3 3" xfId="5613" xr:uid="{00000000-0005-0000-0000-0000E5150000}"/>
    <cellStyle name="Normal 12 2 2 2 3 3 2" xfId="5614" xr:uid="{00000000-0005-0000-0000-0000E6150000}"/>
    <cellStyle name="Normal 12 2 2 2 3 3 3" xfId="5615" xr:uid="{00000000-0005-0000-0000-0000E7150000}"/>
    <cellStyle name="Normal 12 2 2 2 3 4" xfId="5616" xr:uid="{00000000-0005-0000-0000-0000E8150000}"/>
    <cellStyle name="Normal 12 2 2 2 3 4 2" xfId="5617" xr:uid="{00000000-0005-0000-0000-0000E9150000}"/>
    <cellStyle name="Normal 12 2 2 2 3 4 3" xfId="5618" xr:uid="{00000000-0005-0000-0000-0000EA150000}"/>
    <cellStyle name="Normal 12 2 2 2 3 5" xfId="5619" xr:uid="{00000000-0005-0000-0000-0000EB150000}"/>
    <cellStyle name="Normal 12 2 2 2 3 5 2" xfId="5620" xr:uid="{00000000-0005-0000-0000-0000EC150000}"/>
    <cellStyle name="Normal 12 2 2 2 3 5 3" xfId="5621" xr:uid="{00000000-0005-0000-0000-0000ED150000}"/>
    <cellStyle name="Normal 12 2 2 2 3 6" xfId="5622" xr:uid="{00000000-0005-0000-0000-0000EE150000}"/>
    <cellStyle name="Normal 12 2 2 2 3 6 2" xfId="5623" xr:uid="{00000000-0005-0000-0000-0000EF150000}"/>
    <cellStyle name="Normal 12 2 2 2 3 6 3" xfId="5624" xr:uid="{00000000-0005-0000-0000-0000F0150000}"/>
    <cellStyle name="Normal 12 2 2 2 3 7" xfId="5625" xr:uid="{00000000-0005-0000-0000-0000F1150000}"/>
    <cellStyle name="Normal 12 2 2 2 3 7 2" xfId="5626" xr:uid="{00000000-0005-0000-0000-0000F2150000}"/>
    <cellStyle name="Normal 12 2 2 2 3 7 3" xfId="5627" xr:uid="{00000000-0005-0000-0000-0000F3150000}"/>
    <cellStyle name="Normal 12 2 2 2 3 8" xfId="5628" xr:uid="{00000000-0005-0000-0000-0000F4150000}"/>
    <cellStyle name="Normal 12 2 2 2 3 8 2" xfId="5629" xr:uid="{00000000-0005-0000-0000-0000F5150000}"/>
    <cellStyle name="Normal 12 2 2 2 3 8 3" xfId="5630" xr:uid="{00000000-0005-0000-0000-0000F6150000}"/>
    <cellStyle name="Normal 12 2 2 2 3 9" xfId="5631" xr:uid="{00000000-0005-0000-0000-0000F7150000}"/>
    <cellStyle name="Normal 12 2 2 2 4" xfId="5632" xr:uid="{00000000-0005-0000-0000-0000F8150000}"/>
    <cellStyle name="Normal 12 2 2 2 4 10" xfId="5633" xr:uid="{00000000-0005-0000-0000-0000F9150000}"/>
    <cellStyle name="Normal 12 2 2 2 4 2" xfId="5634" xr:uid="{00000000-0005-0000-0000-0000FA150000}"/>
    <cellStyle name="Normal 12 2 2 2 4 2 2" xfId="5635" xr:uid="{00000000-0005-0000-0000-0000FB150000}"/>
    <cellStyle name="Normal 12 2 2 2 4 2 2 2" xfId="5636" xr:uid="{00000000-0005-0000-0000-0000FC150000}"/>
    <cellStyle name="Normal 12 2 2 2 4 2 2 3" xfId="5637" xr:uid="{00000000-0005-0000-0000-0000FD150000}"/>
    <cellStyle name="Normal 12 2 2 2 4 2 3" xfId="5638" xr:uid="{00000000-0005-0000-0000-0000FE150000}"/>
    <cellStyle name="Normal 12 2 2 2 4 2 3 2" xfId="5639" xr:uid="{00000000-0005-0000-0000-0000FF150000}"/>
    <cellStyle name="Normal 12 2 2 2 4 2 3 3" xfId="5640" xr:uid="{00000000-0005-0000-0000-000000160000}"/>
    <cellStyle name="Normal 12 2 2 2 4 2 4" xfId="5641" xr:uid="{00000000-0005-0000-0000-000001160000}"/>
    <cellStyle name="Normal 12 2 2 2 4 2 4 2" xfId="5642" xr:uid="{00000000-0005-0000-0000-000002160000}"/>
    <cellStyle name="Normal 12 2 2 2 4 2 4 3" xfId="5643" xr:uid="{00000000-0005-0000-0000-000003160000}"/>
    <cellStyle name="Normal 12 2 2 2 4 2 5" xfId="5644" xr:uid="{00000000-0005-0000-0000-000004160000}"/>
    <cellStyle name="Normal 12 2 2 2 4 2 5 2" xfId="5645" xr:uid="{00000000-0005-0000-0000-000005160000}"/>
    <cellStyle name="Normal 12 2 2 2 4 2 5 3" xfId="5646" xr:uid="{00000000-0005-0000-0000-000006160000}"/>
    <cellStyle name="Normal 12 2 2 2 4 2 6" xfId="5647" xr:uid="{00000000-0005-0000-0000-000007160000}"/>
    <cellStyle name="Normal 12 2 2 2 4 2 6 2" xfId="5648" xr:uid="{00000000-0005-0000-0000-000008160000}"/>
    <cellStyle name="Normal 12 2 2 2 4 2 6 3" xfId="5649" xr:uid="{00000000-0005-0000-0000-000009160000}"/>
    <cellStyle name="Normal 12 2 2 2 4 2 7" xfId="5650" xr:uid="{00000000-0005-0000-0000-00000A160000}"/>
    <cellStyle name="Normal 12 2 2 2 4 2 7 2" xfId="5651" xr:uid="{00000000-0005-0000-0000-00000B160000}"/>
    <cellStyle name="Normal 12 2 2 2 4 2 7 3" xfId="5652" xr:uid="{00000000-0005-0000-0000-00000C160000}"/>
    <cellStyle name="Normal 12 2 2 2 4 2 8" xfId="5653" xr:uid="{00000000-0005-0000-0000-00000D160000}"/>
    <cellStyle name="Normal 12 2 2 2 4 2 9" xfId="5654" xr:uid="{00000000-0005-0000-0000-00000E160000}"/>
    <cellStyle name="Normal 12 2 2 2 4 3" xfId="5655" xr:uid="{00000000-0005-0000-0000-00000F160000}"/>
    <cellStyle name="Normal 12 2 2 2 4 3 2" xfId="5656" xr:uid="{00000000-0005-0000-0000-000010160000}"/>
    <cellStyle name="Normal 12 2 2 2 4 3 3" xfId="5657" xr:uid="{00000000-0005-0000-0000-000011160000}"/>
    <cellStyle name="Normal 12 2 2 2 4 4" xfId="5658" xr:uid="{00000000-0005-0000-0000-000012160000}"/>
    <cellStyle name="Normal 12 2 2 2 4 4 2" xfId="5659" xr:uid="{00000000-0005-0000-0000-000013160000}"/>
    <cellStyle name="Normal 12 2 2 2 4 4 3" xfId="5660" xr:uid="{00000000-0005-0000-0000-000014160000}"/>
    <cellStyle name="Normal 12 2 2 2 4 5" xfId="5661" xr:uid="{00000000-0005-0000-0000-000015160000}"/>
    <cellStyle name="Normal 12 2 2 2 4 5 2" xfId="5662" xr:uid="{00000000-0005-0000-0000-000016160000}"/>
    <cellStyle name="Normal 12 2 2 2 4 5 3" xfId="5663" xr:uid="{00000000-0005-0000-0000-000017160000}"/>
    <cellStyle name="Normal 12 2 2 2 4 6" xfId="5664" xr:uid="{00000000-0005-0000-0000-000018160000}"/>
    <cellStyle name="Normal 12 2 2 2 4 6 2" xfId="5665" xr:uid="{00000000-0005-0000-0000-000019160000}"/>
    <cellStyle name="Normal 12 2 2 2 4 6 3" xfId="5666" xr:uid="{00000000-0005-0000-0000-00001A160000}"/>
    <cellStyle name="Normal 12 2 2 2 4 7" xfId="5667" xr:uid="{00000000-0005-0000-0000-00001B160000}"/>
    <cellStyle name="Normal 12 2 2 2 4 7 2" xfId="5668" xr:uid="{00000000-0005-0000-0000-00001C160000}"/>
    <cellStyle name="Normal 12 2 2 2 4 7 3" xfId="5669" xr:uid="{00000000-0005-0000-0000-00001D160000}"/>
    <cellStyle name="Normal 12 2 2 2 4 8" xfId="5670" xr:uid="{00000000-0005-0000-0000-00001E160000}"/>
    <cellStyle name="Normal 12 2 2 2 4 8 2" xfId="5671" xr:uid="{00000000-0005-0000-0000-00001F160000}"/>
    <cellStyle name="Normal 12 2 2 2 4 8 3" xfId="5672" xr:uid="{00000000-0005-0000-0000-000020160000}"/>
    <cellStyle name="Normal 12 2 2 2 4 9" xfId="5673" xr:uid="{00000000-0005-0000-0000-000021160000}"/>
    <cellStyle name="Normal 12 2 2 2 5" xfId="5674" xr:uid="{00000000-0005-0000-0000-000022160000}"/>
    <cellStyle name="Normal 12 2 2 2 5 2" xfId="5675" xr:uid="{00000000-0005-0000-0000-000023160000}"/>
    <cellStyle name="Normal 12 2 2 2 5 2 2" xfId="5676" xr:uid="{00000000-0005-0000-0000-000024160000}"/>
    <cellStyle name="Normal 12 2 2 2 5 2 3" xfId="5677" xr:uid="{00000000-0005-0000-0000-000025160000}"/>
    <cellStyle name="Normal 12 2 2 2 5 3" xfId="5678" xr:uid="{00000000-0005-0000-0000-000026160000}"/>
    <cellStyle name="Normal 12 2 2 2 5 3 2" xfId="5679" xr:uid="{00000000-0005-0000-0000-000027160000}"/>
    <cellStyle name="Normal 12 2 2 2 5 3 3" xfId="5680" xr:uid="{00000000-0005-0000-0000-000028160000}"/>
    <cellStyle name="Normal 12 2 2 2 5 4" xfId="5681" xr:uid="{00000000-0005-0000-0000-000029160000}"/>
    <cellStyle name="Normal 12 2 2 2 5 4 2" xfId="5682" xr:uid="{00000000-0005-0000-0000-00002A160000}"/>
    <cellStyle name="Normal 12 2 2 2 5 4 3" xfId="5683" xr:uid="{00000000-0005-0000-0000-00002B160000}"/>
    <cellStyle name="Normal 12 2 2 2 5 5" xfId="5684" xr:uid="{00000000-0005-0000-0000-00002C160000}"/>
    <cellStyle name="Normal 12 2 2 2 5 5 2" xfId="5685" xr:uid="{00000000-0005-0000-0000-00002D160000}"/>
    <cellStyle name="Normal 12 2 2 2 5 5 3" xfId="5686" xr:uid="{00000000-0005-0000-0000-00002E160000}"/>
    <cellStyle name="Normal 12 2 2 2 5 6" xfId="5687" xr:uid="{00000000-0005-0000-0000-00002F160000}"/>
    <cellStyle name="Normal 12 2 2 2 5 6 2" xfId="5688" xr:uid="{00000000-0005-0000-0000-000030160000}"/>
    <cellStyle name="Normal 12 2 2 2 5 6 3" xfId="5689" xr:uid="{00000000-0005-0000-0000-000031160000}"/>
    <cellStyle name="Normal 12 2 2 2 5 7" xfId="5690" xr:uid="{00000000-0005-0000-0000-000032160000}"/>
    <cellStyle name="Normal 12 2 2 2 5 7 2" xfId="5691" xr:uid="{00000000-0005-0000-0000-000033160000}"/>
    <cellStyle name="Normal 12 2 2 2 5 7 3" xfId="5692" xr:uid="{00000000-0005-0000-0000-000034160000}"/>
    <cellStyle name="Normal 12 2 2 2 5 8" xfId="5693" xr:uid="{00000000-0005-0000-0000-000035160000}"/>
    <cellStyle name="Normal 12 2 2 2 5 9" xfId="5694" xr:uid="{00000000-0005-0000-0000-000036160000}"/>
    <cellStyle name="Normal 12 2 2 2 6" xfId="5695" xr:uid="{00000000-0005-0000-0000-000037160000}"/>
    <cellStyle name="Normal 12 2 2 2 6 2" xfId="5696" xr:uid="{00000000-0005-0000-0000-000038160000}"/>
    <cellStyle name="Normal 12 2 2 2 6 3" xfId="5697" xr:uid="{00000000-0005-0000-0000-000039160000}"/>
    <cellStyle name="Normal 12 2 2 2 7" xfId="5698" xr:uid="{00000000-0005-0000-0000-00003A160000}"/>
    <cellStyle name="Normal 12 2 2 2 7 2" xfId="5699" xr:uid="{00000000-0005-0000-0000-00003B160000}"/>
    <cellStyle name="Normal 12 2 2 2 7 3" xfId="5700" xr:uid="{00000000-0005-0000-0000-00003C160000}"/>
    <cellStyle name="Normal 12 2 2 2 8" xfId="5701" xr:uid="{00000000-0005-0000-0000-00003D160000}"/>
    <cellStyle name="Normal 12 2 2 2 8 2" xfId="5702" xr:uid="{00000000-0005-0000-0000-00003E160000}"/>
    <cellStyle name="Normal 12 2 2 2 8 3" xfId="5703" xr:uid="{00000000-0005-0000-0000-00003F160000}"/>
    <cellStyle name="Normal 12 2 2 2 9" xfId="5704" xr:uid="{00000000-0005-0000-0000-000040160000}"/>
    <cellStyle name="Normal 12 2 2 2 9 2" xfId="5705" xr:uid="{00000000-0005-0000-0000-000041160000}"/>
    <cellStyle name="Normal 12 2 2 2 9 3" xfId="5706" xr:uid="{00000000-0005-0000-0000-000042160000}"/>
    <cellStyle name="Normal 12 2 2 3" xfId="5707" xr:uid="{00000000-0005-0000-0000-000043160000}"/>
    <cellStyle name="Normal 12 2 2 3 10" xfId="5708" xr:uid="{00000000-0005-0000-0000-000044160000}"/>
    <cellStyle name="Normal 12 2 2 3 10 2" xfId="5709" xr:uid="{00000000-0005-0000-0000-000045160000}"/>
    <cellStyle name="Normal 12 2 2 3 10 3" xfId="5710" xr:uid="{00000000-0005-0000-0000-000046160000}"/>
    <cellStyle name="Normal 12 2 2 3 11" xfId="5711" xr:uid="{00000000-0005-0000-0000-000047160000}"/>
    <cellStyle name="Normal 12 2 2 3 12" xfId="5712" xr:uid="{00000000-0005-0000-0000-000048160000}"/>
    <cellStyle name="Normal 12 2 2 3 2" xfId="5713" xr:uid="{00000000-0005-0000-0000-000049160000}"/>
    <cellStyle name="Normal 12 2 2 3 2 10" xfId="5714" xr:uid="{00000000-0005-0000-0000-00004A160000}"/>
    <cellStyle name="Normal 12 2 2 3 2 2" xfId="5715" xr:uid="{00000000-0005-0000-0000-00004B160000}"/>
    <cellStyle name="Normal 12 2 2 3 2 2 2" xfId="5716" xr:uid="{00000000-0005-0000-0000-00004C160000}"/>
    <cellStyle name="Normal 12 2 2 3 2 2 2 2" xfId="5717" xr:uid="{00000000-0005-0000-0000-00004D160000}"/>
    <cellStyle name="Normal 12 2 2 3 2 2 2 3" xfId="5718" xr:uid="{00000000-0005-0000-0000-00004E160000}"/>
    <cellStyle name="Normal 12 2 2 3 2 2 3" xfId="5719" xr:uid="{00000000-0005-0000-0000-00004F160000}"/>
    <cellStyle name="Normal 12 2 2 3 2 2 3 2" xfId="5720" xr:uid="{00000000-0005-0000-0000-000050160000}"/>
    <cellStyle name="Normal 12 2 2 3 2 2 3 3" xfId="5721" xr:uid="{00000000-0005-0000-0000-000051160000}"/>
    <cellStyle name="Normal 12 2 2 3 2 2 4" xfId="5722" xr:uid="{00000000-0005-0000-0000-000052160000}"/>
    <cellStyle name="Normal 12 2 2 3 2 2 4 2" xfId="5723" xr:uid="{00000000-0005-0000-0000-000053160000}"/>
    <cellStyle name="Normal 12 2 2 3 2 2 4 3" xfId="5724" xr:uid="{00000000-0005-0000-0000-000054160000}"/>
    <cellStyle name="Normal 12 2 2 3 2 2 5" xfId="5725" xr:uid="{00000000-0005-0000-0000-000055160000}"/>
    <cellStyle name="Normal 12 2 2 3 2 2 5 2" xfId="5726" xr:uid="{00000000-0005-0000-0000-000056160000}"/>
    <cellStyle name="Normal 12 2 2 3 2 2 5 3" xfId="5727" xr:uid="{00000000-0005-0000-0000-000057160000}"/>
    <cellStyle name="Normal 12 2 2 3 2 2 6" xfId="5728" xr:uid="{00000000-0005-0000-0000-000058160000}"/>
    <cellStyle name="Normal 12 2 2 3 2 2 6 2" xfId="5729" xr:uid="{00000000-0005-0000-0000-000059160000}"/>
    <cellStyle name="Normal 12 2 2 3 2 2 6 3" xfId="5730" xr:uid="{00000000-0005-0000-0000-00005A160000}"/>
    <cellStyle name="Normal 12 2 2 3 2 2 7" xfId="5731" xr:uid="{00000000-0005-0000-0000-00005B160000}"/>
    <cellStyle name="Normal 12 2 2 3 2 2 7 2" xfId="5732" xr:uid="{00000000-0005-0000-0000-00005C160000}"/>
    <cellStyle name="Normal 12 2 2 3 2 2 7 3" xfId="5733" xr:uid="{00000000-0005-0000-0000-00005D160000}"/>
    <cellStyle name="Normal 12 2 2 3 2 2 8" xfId="5734" xr:uid="{00000000-0005-0000-0000-00005E160000}"/>
    <cellStyle name="Normal 12 2 2 3 2 2 9" xfId="5735" xr:uid="{00000000-0005-0000-0000-00005F160000}"/>
    <cellStyle name="Normal 12 2 2 3 2 3" xfId="5736" xr:uid="{00000000-0005-0000-0000-000060160000}"/>
    <cellStyle name="Normal 12 2 2 3 2 3 2" xfId="5737" xr:uid="{00000000-0005-0000-0000-000061160000}"/>
    <cellStyle name="Normal 12 2 2 3 2 3 3" xfId="5738" xr:uid="{00000000-0005-0000-0000-000062160000}"/>
    <cellStyle name="Normal 12 2 2 3 2 4" xfId="5739" xr:uid="{00000000-0005-0000-0000-000063160000}"/>
    <cellStyle name="Normal 12 2 2 3 2 4 2" xfId="5740" xr:uid="{00000000-0005-0000-0000-000064160000}"/>
    <cellStyle name="Normal 12 2 2 3 2 4 3" xfId="5741" xr:uid="{00000000-0005-0000-0000-000065160000}"/>
    <cellStyle name="Normal 12 2 2 3 2 5" xfId="5742" xr:uid="{00000000-0005-0000-0000-000066160000}"/>
    <cellStyle name="Normal 12 2 2 3 2 5 2" xfId="5743" xr:uid="{00000000-0005-0000-0000-000067160000}"/>
    <cellStyle name="Normal 12 2 2 3 2 5 3" xfId="5744" xr:uid="{00000000-0005-0000-0000-000068160000}"/>
    <cellStyle name="Normal 12 2 2 3 2 6" xfId="5745" xr:uid="{00000000-0005-0000-0000-000069160000}"/>
    <cellStyle name="Normal 12 2 2 3 2 6 2" xfId="5746" xr:uid="{00000000-0005-0000-0000-00006A160000}"/>
    <cellStyle name="Normal 12 2 2 3 2 6 3" xfId="5747" xr:uid="{00000000-0005-0000-0000-00006B160000}"/>
    <cellStyle name="Normal 12 2 2 3 2 7" xfId="5748" xr:uid="{00000000-0005-0000-0000-00006C160000}"/>
    <cellStyle name="Normal 12 2 2 3 2 7 2" xfId="5749" xr:uid="{00000000-0005-0000-0000-00006D160000}"/>
    <cellStyle name="Normal 12 2 2 3 2 7 3" xfId="5750" xr:uid="{00000000-0005-0000-0000-00006E160000}"/>
    <cellStyle name="Normal 12 2 2 3 2 8" xfId="5751" xr:uid="{00000000-0005-0000-0000-00006F160000}"/>
    <cellStyle name="Normal 12 2 2 3 2 8 2" xfId="5752" xr:uid="{00000000-0005-0000-0000-000070160000}"/>
    <cellStyle name="Normal 12 2 2 3 2 8 3" xfId="5753" xr:uid="{00000000-0005-0000-0000-000071160000}"/>
    <cellStyle name="Normal 12 2 2 3 2 9" xfId="5754" xr:uid="{00000000-0005-0000-0000-000072160000}"/>
    <cellStyle name="Normal 12 2 2 3 3" xfId="5755" xr:uid="{00000000-0005-0000-0000-000073160000}"/>
    <cellStyle name="Normal 12 2 2 3 3 10" xfId="5756" xr:uid="{00000000-0005-0000-0000-000074160000}"/>
    <cellStyle name="Normal 12 2 2 3 3 2" xfId="5757" xr:uid="{00000000-0005-0000-0000-000075160000}"/>
    <cellStyle name="Normal 12 2 2 3 3 2 2" xfId="5758" xr:uid="{00000000-0005-0000-0000-000076160000}"/>
    <cellStyle name="Normal 12 2 2 3 3 2 2 2" xfId="5759" xr:uid="{00000000-0005-0000-0000-000077160000}"/>
    <cellStyle name="Normal 12 2 2 3 3 2 2 3" xfId="5760" xr:uid="{00000000-0005-0000-0000-000078160000}"/>
    <cellStyle name="Normal 12 2 2 3 3 2 3" xfId="5761" xr:uid="{00000000-0005-0000-0000-000079160000}"/>
    <cellStyle name="Normal 12 2 2 3 3 2 3 2" xfId="5762" xr:uid="{00000000-0005-0000-0000-00007A160000}"/>
    <cellStyle name="Normal 12 2 2 3 3 2 3 3" xfId="5763" xr:uid="{00000000-0005-0000-0000-00007B160000}"/>
    <cellStyle name="Normal 12 2 2 3 3 2 4" xfId="5764" xr:uid="{00000000-0005-0000-0000-00007C160000}"/>
    <cellStyle name="Normal 12 2 2 3 3 2 4 2" xfId="5765" xr:uid="{00000000-0005-0000-0000-00007D160000}"/>
    <cellStyle name="Normal 12 2 2 3 3 2 4 3" xfId="5766" xr:uid="{00000000-0005-0000-0000-00007E160000}"/>
    <cellStyle name="Normal 12 2 2 3 3 2 5" xfId="5767" xr:uid="{00000000-0005-0000-0000-00007F160000}"/>
    <cellStyle name="Normal 12 2 2 3 3 2 5 2" xfId="5768" xr:uid="{00000000-0005-0000-0000-000080160000}"/>
    <cellStyle name="Normal 12 2 2 3 3 2 5 3" xfId="5769" xr:uid="{00000000-0005-0000-0000-000081160000}"/>
    <cellStyle name="Normal 12 2 2 3 3 2 6" xfId="5770" xr:uid="{00000000-0005-0000-0000-000082160000}"/>
    <cellStyle name="Normal 12 2 2 3 3 2 6 2" xfId="5771" xr:uid="{00000000-0005-0000-0000-000083160000}"/>
    <cellStyle name="Normal 12 2 2 3 3 2 6 3" xfId="5772" xr:uid="{00000000-0005-0000-0000-000084160000}"/>
    <cellStyle name="Normal 12 2 2 3 3 2 7" xfId="5773" xr:uid="{00000000-0005-0000-0000-000085160000}"/>
    <cellStyle name="Normal 12 2 2 3 3 2 7 2" xfId="5774" xr:uid="{00000000-0005-0000-0000-000086160000}"/>
    <cellStyle name="Normal 12 2 2 3 3 2 7 3" xfId="5775" xr:uid="{00000000-0005-0000-0000-000087160000}"/>
    <cellStyle name="Normal 12 2 2 3 3 2 8" xfId="5776" xr:uid="{00000000-0005-0000-0000-000088160000}"/>
    <cellStyle name="Normal 12 2 2 3 3 2 9" xfId="5777" xr:uid="{00000000-0005-0000-0000-000089160000}"/>
    <cellStyle name="Normal 12 2 2 3 3 3" xfId="5778" xr:uid="{00000000-0005-0000-0000-00008A160000}"/>
    <cellStyle name="Normal 12 2 2 3 3 3 2" xfId="5779" xr:uid="{00000000-0005-0000-0000-00008B160000}"/>
    <cellStyle name="Normal 12 2 2 3 3 3 3" xfId="5780" xr:uid="{00000000-0005-0000-0000-00008C160000}"/>
    <cellStyle name="Normal 12 2 2 3 3 4" xfId="5781" xr:uid="{00000000-0005-0000-0000-00008D160000}"/>
    <cellStyle name="Normal 12 2 2 3 3 4 2" xfId="5782" xr:uid="{00000000-0005-0000-0000-00008E160000}"/>
    <cellStyle name="Normal 12 2 2 3 3 4 3" xfId="5783" xr:uid="{00000000-0005-0000-0000-00008F160000}"/>
    <cellStyle name="Normal 12 2 2 3 3 5" xfId="5784" xr:uid="{00000000-0005-0000-0000-000090160000}"/>
    <cellStyle name="Normal 12 2 2 3 3 5 2" xfId="5785" xr:uid="{00000000-0005-0000-0000-000091160000}"/>
    <cellStyle name="Normal 12 2 2 3 3 5 3" xfId="5786" xr:uid="{00000000-0005-0000-0000-000092160000}"/>
    <cellStyle name="Normal 12 2 2 3 3 6" xfId="5787" xr:uid="{00000000-0005-0000-0000-000093160000}"/>
    <cellStyle name="Normal 12 2 2 3 3 6 2" xfId="5788" xr:uid="{00000000-0005-0000-0000-000094160000}"/>
    <cellStyle name="Normal 12 2 2 3 3 6 3" xfId="5789" xr:uid="{00000000-0005-0000-0000-000095160000}"/>
    <cellStyle name="Normal 12 2 2 3 3 7" xfId="5790" xr:uid="{00000000-0005-0000-0000-000096160000}"/>
    <cellStyle name="Normal 12 2 2 3 3 7 2" xfId="5791" xr:uid="{00000000-0005-0000-0000-000097160000}"/>
    <cellStyle name="Normal 12 2 2 3 3 7 3" xfId="5792" xr:uid="{00000000-0005-0000-0000-000098160000}"/>
    <cellStyle name="Normal 12 2 2 3 3 8" xfId="5793" xr:uid="{00000000-0005-0000-0000-000099160000}"/>
    <cellStyle name="Normal 12 2 2 3 3 8 2" xfId="5794" xr:uid="{00000000-0005-0000-0000-00009A160000}"/>
    <cellStyle name="Normal 12 2 2 3 3 8 3" xfId="5795" xr:uid="{00000000-0005-0000-0000-00009B160000}"/>
    <cellStyle name="Normal 12 2 2 3 3 9" xfId="5796" xr:uid="{00000000-0005-0000-0000-00009C160000}"/>
    <cellStyle name="Normal 12 2 2 3 4" xfId="5797" xr:uid="{00000000-0005-0000-0000-00009D160000}"/>
    <cellStyle name="Normal 12 2 2 3 4 2" xfId="5798" xr:uid="{00000000-0005-0000-0000-00009E160000}"/>
    <cellStyle name="Normal 12 2 2 3 4 2 2" xfId="5799" xr:uid="{00000000-0005-0000-0000-00009F160000}"/>
    <cellStyle name="Normal 12 2 2 3 4 2 3" xfId="5800" xr:uid="{00000000-0005-0000-0000-0000A0160000}"/>
    <cellStyle name="Normal 12 2 2 3 4 3" xfId="5801" xr:uid="{00000000-0005-0000-0000-0000A1160000}"/>
    <cellStyle name="Normal 12 2 2 3 4 3 2" xfId="5802" xr:uid="{00000000-0005-0000-0000-0000A2160000}"/>
    <cellStyle name="Normal 12 2 2 3 4 3 3" xfId="5803" xr:uid="{00000000-0005-0000-0000-0000A3160000}"/>
    <cellStyle name="Normal 12 2 2 3 4 4" xfId="5804" xr:uid="{00000000-0005-0000-0000-0000A4160000}"/>
    <cellStyle name="Normal 12 2 2 3 4 4 2" xfId="5805" xr:uid="{00000000-0005-0000-0000-0000A5160000}"/>
    <cellStyle name="Normal 12 2 2 3 4 4 3" xfId="5806" xr:uid="{00000000-0005-0000-0000-0000A6160000}"/>
    <cellStyle name="Normal 12 2 2 3 4 5" xfId="5807" xr:uid="{00000000-0005-0000-0000-0000A7160000}"/>
    <cellStyle name="Normal 12 2 2 3 4 5 2" xfId="5808" xr:uid="{00000000-0005-0000-0000-0000A8160000}"/>
    <cellStyle name="Normal 12 2 2 3 4 5 3" xfId="5809" xr:uid="{00000000-0005-0000-0000-0000A9160000}"/>
    <cellStyle name="Normal 12 2 2 3 4 6" xfId="5810" xr:uid="{00000000-0005-0000-0000-0000AA160000}"/>
    <cellStyle name="Normal 12 2 2 3 4 6 2" xfId="5811" xr:uid="{00000000-0005-0000-0000-0000AB160000}"/>
    <cellStyle name="Normal 12 2 2 3 4 6 3" xfId="5812" xr:uid="{00000000-0005-0000-0000-0000AC160000}"/>
    <cellStyle name="Normal 12 2 2 3 4 7" xfId="5813" xr:uid="{00000000-0005-0000-0000-0000AD160000}"/>
    <cellStyle name="Normal 12 2 2 3 4 7 2" xfId="5814" xr:uid="{00000000-0005-0000-0000-0000AE160000}"/>
    <cellStyle name="Normal 12 2 2 3 4 7 3" xfId="5815" xr:uid="{00000000-0005-0000-0000-0000AF160000}"/>
    <cellStyle name="Normal 12 2 2 3 4 8" xfId="5816" xr:uid="{00000000-0005-0000-0000-0000B0160000}"/>
    <cellStyle name="Normal 12 2 2 3 4 9" xfId="5817" xr:uid="{00000000-0005-0000-0000-0000B1160000}"/>
    <cellStyle name="Normal 12 2 2 3 5" xfId="5818" xr:uid="{00000000-0005-0000-0000-0000B2160000}"/>
    <cellStyle name="Normal 12 2 2 3 5 2" xfId="5819" xr:uid="{00000000-0005-0000-0000-0000B3160000}"/>
    <cellStyle name="Normal 12 2 2 3 5 3" xfId="5820" xr:uid="{00000000-0005-0000-0000-0000B4160000}"/>
    <cellStyle name="Normal 12 2 2 3 6" xfId="5821" xr:uid="{00000000-0005-0000-0000-0000B5160000}"/>
    <cellStyle name="Normal 12 2 2 3 6 2" xfId="5822" xr:uid="{00000000-0005-0000-0000-0000B6160000}"/>
    <cellStyle name="Normal 12 2 2 3 6 3" xfId="5823" xr:uid="{00000000-0005-0000-0000-0000B7160000}"/>
    <cellStyle name="Normal 12 2 2 3 7" xfId="5824" xr:uid="{00000000-0005-0000-0000-0000B8160000}"/>
    <cellStyle name="Normal 12 2 2 3 7 2" xfId="5825" xr:uid="{00000000-0005-0000-0000-0000B9160000}"/>
    <cellStyle name="Normal 12 2 2 3 7 3" xfId="5826" xr:uid="{00000000-0005-0000-0000-0000BA160000}"/>
    <cellStyle name="Normal 12 2 2 3 8" xfId="5827" xr:uid="{00000000-0005-0000-0000-0000BB160000}"/>
    <cellStyle name="Normal 12 2 2 3 8 2" xfId="5828" xr:uid="{00000000-0005-0000-0000-0000BC160000}"/>
    <cellStyle name="Normal 12 2 2 3 8 3" xfId="5829" xr:uid="{00000000-0005-0000-0000-0000BD160000}"/>
    <cellStyle name="Normal 12 2 2 3 9" xfId="5830" xr:uid="{00000000-0005-0000-0000-0000BE160000}"/>
    <cellStyle name="Normal 12 2 2 3 9 2" xfId="5831" xr:uid="{00000000-0005-0000-0000-0000BF160000}"/>
    <cellStyle name="Normal 12 2 2 3 9 3" xfId="5832" xr:uid="{00000000-0005-0000-0000-0000C0160000}"/>
    <cellStyle name="Normal 12 2 2 4" xfId="5833" xr:uid="{00000000-0005-0000-0000-0000C1160000}"/>
    <cellStyle name="Normal 12 2 2 4 10" xfId="5834" xr:uid="{00000000-0005-0000-0000-0000C2160000}"/>
    <cellStyle name="Normal 12 2 2 4 2" xfId="5835" xr:uid="{00000000-0005-0000-0000-0000C3160000}"/>
    <cellStyle name="Normal 12 2 2 4 2 2" xfId="5836" xr:uid="{00000000-0005-0000-0000-0000C4160000}"/>
    <cellStyle name="Normal 12 2 2 4 2 2 2" xfId="5837" xr:uid="{00000000-0005-0000-0000-0000C5160000}"/>
    <cellStyle name="Normal 12 2 2 4 2 2 3" xfId="5838" xr:uid="{00000000-0005-0000-0000-0000C6160000}"/>
    <cellStyle name="Normal 12 2 2 4 2 3" xfId="5839" xr:uid="{00000000-0005-0000-0000-0000C7160000}"/>
    <cellStyle name="Normal 12 2 2 4 2 3 2" xfId="5840" xr:uid="{00000000-0005-0000-0000-0000C8160000}"/>
    <cellStyle name="Normal 12 2 2 4 2 3 3" xfId="5841" xr:uid="{00000000-0005-0000-0000-0000C9160000}"/>
    <cellStyle name="Normal 12 2 2 4 2 4" xfId="5842" xr:uid="{00000000-0005-0000-0000-0000CA160000}"/>
    <cellStyle name="Normal 12 2 2 4 2 4 2" xfId="5843" xr:uid="{00000000-0005-0000-0000-0000CB160000}"/>
    <cellStyle name="Normal 12 2 2 4 2 4 3" xfId="5844" xr:uid="{00000000-0005-0000-0000-0000CC160000}"/>
    <cellStyle name="Normal 12 2 2 4 2 5" xfId="5845" xr:uid="{00000000-0005-0000-0000-0000CD160000}"/>
    <cellStyle name="Normal 12 2 2 4 2 5 2" xfId="5846" xr:uid="{00000000-0005-0000-0000-0000CE160000}"/>
    <cellStyle name="Normal 12 2 2 4 2 5 3" xfId="5847" xr:uid="{00000000-0005-0000-0000-0000CF160000}"/>
    <cellStyle name="Normal 12 2 2 4 2 6" xfId="5848" xr:uid="{00000000-0005-0000-0000-0000D0160000}"/>
    <cellStyle name="Normal 12 2 2 4 2 6 2" xfId="5849" xr:uid="{00000000-0005-0000-0000-0000D1160000}"/>
    <cellStyle name="Normal 12 2 2 4 2 6 3" xfId="5850" xr:uid="{00000000-0005-0000-0000-0000D2160000}"/>
    <cellStyle name="Normal 12 2 2 4 2 7" xfId="5851" xr:uid="{00000000-0005-0000-0000-0000D3160000}"/>
    <cellStyle name="Normal 12 2 2 4 2 7 2" xfId="5852" xr:uid="{00000000-0005-0000-0000-0000D4160000}"/>
    <cellStyle name="Normal 12 2 2 4 2 7 3" xfId="5853" xr:uid="{00000000-0005-0000-0000-0000D5160000}"/>
    <cellStyle name="Normal 12 2 2 4 2 8" xfId="5854" xr:uid="{00000000-0005-0000-0000-0000D6160000}"/>
    <cellStyle name="Normal 12 2 2 4 2 9" xfId="5855" xr:uid="{00000000-0005-0000-0000-0000D7160000}"/>
    <cellStyle name="Normal 12 2 2 4 3" xfId="5856" xr:uid="{00000000-0005-0000-0000-0000D8160000}"/>
    <cellStyle name="Normal 12 2 2 4 3 2" xfId="5857" xr:uid="{00000000-0005-0000-0000-0000D9160000}"/>
    <cellStyle name="Normal 12 2 2 4 3 3" xfId="5858" xr:uid="{00000000-0005-0000-0000-0000DA160000}"/>
    <cellStyle name="Normal 12 2 2 4 4" xfId="5859" xr:uid="{00000000-0005-0000-0000-0000DB160000}"/>
    <cellStyle name="Normal 12 2 2 4 4 2" xfId="5860" xr:uid="{00000000-0005-0000-0000-0000DC160000}"/>
    <cellStyle name="Normal 12 2 2 4 4 3" xfId="5861" xr:uid="{00000000-0005-0000-0000-0000DD160000}"/>
    <cellStyle name="Normal 12 2 2 4 5" xfId="5862" xr:uid="{00000000-0005-0000-0000-0000DE160000}"/>
    <cellStyle name="Normal 12 2 2 4 5 2" xfId="5863" xr:uid="{00000000-0005-0000-0000-0000DF160000}"/>
    <cellStyle name="Normal 12 2 2 4 5 3" xfId="5864" xr:uid="{00000000-0005-0000-0000-0000E0160000}"/>
    <cellStyle name="Normal 12 2 2 4 6" xfId="5865" xr:uid="{00000000-0005-0000-0000-0000E1160000}"/>
    <cellStyle name="Normal 12 2 2 4 6 2" xfId="5866" xr:uid="{00000000-0005-0000-0000-0000E2160000}"/>
    <cellStyle name="Normal 12 2 2 4 6 3" xfId="5867" xr:uid="{00000000-0005-0000-0000-0000E3160000}"/>
    <cellStyle name="Normal 12 2 2 4 7" xfId="5868" xr:uid="{00000000-0005-0000-0000-0000E4160000}"/>
    <cellStyle name="Normal 12 2 2 4 7 2" xfId="5869" xr:uid="{00000000-0005-0000-0000-0000E5160000}"/>
    <cellStyle name="Normal 12 2 2 4 7 3" xfId="5870" xr:uid="{00000000-0005-0000-0000-0000E6160000}"/>
    <cellStyle name="Normal 12 2 2 4 8" xfId="5871" xr:uid="{00000000-0005-0000-0000-0000E7160000}"/>
    <cellStyle name="Normal 12 2 2 4 8 2" xfId="5872" xr:uid="{00000000-0005-0000-0000-0000E8160000}"/>
    <cellStyle name="Normal 12 2 2 4 8 3" xfId="5873" xr:uid="{00000000-0005-0000-0000-0000E9160000}"/>
    <cellStyle name="Normal 12 2 2 4 9" xfId="5874" xr:uid="{00000000-0005-0000-0000-0000EA160000}"/>
    <cellStyle name="Normal 12 2 2 5" xfId="5875" xr:uid="{00000000-0005-0000-0000-0000EB160000}"/>
    <cellStyle name="Normal 12 2 2 5 10" xfId="5876" xr:uid="{00000000-0005-0000-0000-0000EC160000}"/>
    <cellStyle name="Normal 12 2 2 5 2" xfId="5877" xr:uid="{00000000-0005-0000-0000-0000ED160000}"/>
    <cellStyle name="Normal 12 2 2 5 2 2" xfId="5878" xr:uid="{00000000-0005-0000-0000-0000EE160000}"/>
    <cellStyle name="Normal 12 2 2 5 2 2 2" xfId="5879" xr:uid="{00000000-0005-0000-0000-0000EF160000}"/>
    <cellStyle name="Normal 12 2 2 5 2 2 3" xfId="5880" xr:uid="{00000000-0005-0000-0000-0000F0160000}"/>
    <cellStyle name="Normal 12 2 2 5 2 3" xfId="5881" xr:uid="{00000000-0005-0000-0000-0000F1160000}"/>
    <cellStyle name="Normal 12 2 2 5 2 3 2" xfId="5882" xr:uid="{00000000-0005-0000-0000-0000F2160000}"/>
    <cellStyle name="Normal 12 2 2 5 2 3 3" xfId="5883" xr:uid="{00000000-0005-0000-0000-0000F3160000}"/>
    <cellStyle name="Normal 12 2 2 5 2 4" xfId="5884" xr:uid="{00000000-0005-0000-0000-0000F4160000}"/>
    <cellStyle name="Normal 12 2 2 5 2 4 2" xfId="5885" xr:uid="{00000000-0005-0000-0000-0000F5160000}"/>
    <cellStyle name="Normal 12 2 2 5 2 4 3" xfId="5886" xr:uid="{00000000-0005-0000-0000-0000F6160000}"/>
    <cellStyle name="Normal 12 2 2 5 2 5" xfId="5887" xr:uid="{00000000-0005-0000-0000-0000F7160000}"/>
    <cellStyle name="Normal 12 2 2 5 2 5 2" xfId="5888" xr:uid="{00000000-0005-0000-0000-0000F8160000}"/>
    <cellStyle name="Normal 12 2 2 5 2 5 3" xfId="5889" xr:uid="{00000000-0005-0000-0000-0000F9160000}"/>
    <cellStyle name="Normal 12 2 2 5 2 6" xfId="5890" xr:uid="{00000000-0005-0000-0000-0000FA160000}"/>
    <cellStyle name="Normal 12 2 2 5 2 6 2" xfId="5891" xr:uid="{00000000-0005-0000-0000-0000FB160000}"/>
    <cellStyle name="Normal 12 2 2 5 2 6 3" xfId="5892" xr:uid="{00000000-0005-0000-0000-0000FC160000}"/>
    <cellStyle name="Normal 12 2 2 5 2 7" xfId="5893" xr:uid="{00000000-0005-0000-0000-0000FD160000}"/>
    <cellStyle name="Normal 12 2 2 5 2 7 2" xfId="5894" xr:uid="{00000000-0005-0000-0000-0000FE160000}"/>
    <cellStyle name="Normal 12 2 2 5 2 7 3" xfId="5895" xr:uid="{00000000-0005-0000-0000-0000FF160000}"/>
    <cellStyle name="Normal 12 2 2 5 2 8" xfId="5896" xr:uid="{00000000-0005-0000-0000-000000170000}"/>
    <cellStyle name="Normal 12 2 2 5 2 9" xfId="5897" xr:uid="{00000000-0005-0000-0000-000001170000}"/>
    <cellStyle name="Normal 12 2 2 5 3" xfId="5898" xr:uid="{00000000-0005-0000-0000-000002170000}"/>
    <cellStyle name="Normal 12 2 2 5 3 2" xfId="5899" xr:uid="{00000000-0005-0000-0000-000003170000}"/>
    <cellStyle name="Normal 12 2 2 5 3 3" xfId="5900" xr:uid="{00000000-0005-0000-0000-000004170000}"/>
    <cellStyle name="Normal 12 2 2 5 4" xfId="5901" xr:uid="{00000000-0005-0000-0000-000005170000}"/>
    <cellStyle name="Normal 12 2 2 5 4 2" xfId="5902" xr:uid="{00000000-0005-0000-0000-000006170000}"/>
    <cellStyle name="Normal 12 2 2 5 4 3" xfId="5903" xr:uid="{00000000-0005-0000-0000-000007170000}"/>
    <cellStyle name="Normal 12 2 2 5 5" xfId="5904" xr:uid="{00000000-0005-0000-0000-000008170000}"/>
    <cellStyle name="Normal 12 2 2 5 5 2" xfId="5905" xr:uid="{00000000-0005-0000-0000-000009170000}"/>
    <cellStyle name="Normal 12 2 2 5 5 3" xfId="5906" xr:uid="{00000000-0005-0000-0000-00000A170000}"/>
    <cellStyle name="Normal 12 2 2 5 6" xfId="5907" xr:uid="{00000000-0005-0000-0000-00000B170000}"/>
    <cellStyle name="Normal 12 2 2 5 6 2" xfId="5908" xr:uid="{00000000-0005-0000-0000-00000C170000}"/>
    <cellStyle name="Normal 12 2 2 5 6 3" xfId="5909" xr:uid="{00000000-0005-0000-0000-00000D170000}"/>
    <cellStyle name="Normal 12 2 2 5 7" xfId="5910" xr:uid="{00000000-0005-0000-0000-00000E170000}"/>
    <cellStyle name="Normal 12 2 2 5 7 2" xfId="5911" xr:uid="{00000000-0005-0000-0000-00000F170000}"/>
    <cellStyle name="Normal 12 2 2 5 7 3" xfId="5912" xr:uid="{00000000-0005-0000-0000-000010170000}"/>
    <cellStyle name="Normal 12 2 2 5 8" xfId="5913" xr:uid="{00000000-0005-0000-0000-000011170000}"/>
    <cellStyle name="Normal 12 2 2 5 8 2" xfId="5914" xr:uid="{00000000-0005-0000-0000-000012170000}"/>
    <cellStyle name="Normal 12 2 2 5 8 3" xfId="5915" xr:uid="{00000000-0005-0000-0000-000013170000}"/>
    <cellStyle name="Normal 12 2 2 5 9" xfId="5916" xr:uid="{00000000-0005-0000-0000-000014170000}"/>
    <cellStyle name="Normal 12 2 2 6" xfId="5917" xr:uid="{00000000-0005-0000-0000-000015170000}"/>
    <cellStyle name="Normal 12 2 2 6 2" xfId="5918" xr:uid="{00000000-0005-0000-0000-000016170000}"/>
    <cellStyle name="Normal 12 2 2 6 2 2" xfId="5919" xr:uid="{00000000-0005-0000-0000-000017170000}"/>
    <cellStyle name="Normal 12 2 2 6 2 3" xfId="5920" xr:uid="{00000000-0005-0000-0000-000018170000}"/>
    <cellStyle name="Normal 12 2 2 6 3" xfId="5921" xr:uid="{00000000-0005-0000-0000-000019170000}"/>
    <cellStyle name="Normal 12 2 2 6 3 2" xfId="5922" xr:uid="{00000000-0005-0000-0000-00001A170000}"/>
    <cellStyle name="Normal 12 2 2 6 3 3" xfId="5923" xr:uid="{00000000-0005-0000-0000-00001B170000}"/>
    <cellStyle name="Normal 12 2 2 6 4" xfId="5924" xr:uid="{00000000-0005-0000-0000-00001C170000}"/>
    <cellStyle name="Normal 12 2 2 6 4 2" xfId="5925" xr:uid="{00000000-0005-0000-0000-00001D170000}"/>
    <cellStyle name="Normal 12 2 2 6 4 3" xfId="5926" xr:uid="{00000000-0005-0000-0000-00001E170000}"/>
    <cellStyle name="Normal 12 2 2 6 5" xfId="5927" xr:uid="{00000000-0005-0000-0000-00001F170000}"/>
    <cellStyle name="Normal 12 2 2 6 5 2" xfId="5928" xr:uid="{00000000-0005-0000-0000-000020170000}"/>
    <cellStyle name="Normal 12 2 2 6 5 3" xfId="5929" xr:uid="{00000000-0005-0000-0000-000021170000}"/>
    <cellStyle name="Normal 12 2 2 6 6" xfId="5930" xr:uid="{00000000-0005-0000-0000-000022170000}"/>
    <cellStyle name="Normal 12 2 2 6 6 2" xfId="5931" xr:uid="{00000000-0005-0000-0000-000023170000}"/>
    <cellStyle name="Normal 12 2 2 6 6 3" xfId="5932" xr:uid="{00000000-0005-0000-0000-000024170000}"/>
    <cellStyle name="Normal 12 2 2 6 7" xfId="5933" xr:uid="{00000000-0005-0000-0000-000025170000}"/>
    <cellStyle name="Normal 12 2 2 6 7 2" xfId="5934" xr:uid="{00000000-0005-0000-0000-000026170000}"/>
    <cellStyle name="Normal 12 2 2 6 7 3" xfId="5935" xr:uid="{00000000-0005-0000-0000-000027170000}"/>
    <cellStyle name="Normal 12 2 2 6 8" xfId="5936" xr:uid="{00000000-0005-0000-0000-000028170000}"/>
    <cellStyle name="Normal 12 2 2 6 9" xfId="5937" xr:uid="{00000000-0005-0000-0000-000029170000}"/>
    <cellStyle name="Normal 12 2 2 7" xfId="5938" xr:uid="{00000000-0005-0000-0000-00002A170000}"/>
    <cellStyle name="Normal 12 2 2 7 2" xfId="5939" xr:uid="{00000000-0005-0000-0000-00002B170000}"/>
    <cellStyle name="Normal 12 2 2 7 3" xfId="5940" xr:uid="{00000000-0005-0000-0000-00002C170000}"/>
    <cellStyle name="Normal 12 2 2 8" xfId="5941" xr:uid="{00000000-0005-0000-0000-00002D170000}"/>
    <cellStyle name="Normal 12 2 2 8 2" xfId="5942" xr:uid="{00000000-0005-0000-0000-00002E170000}"/>
    <cellStyle name="Normal 12 2 2 8 3" xfId="5943" xr:uid="{00000000-0005-0000-0000-00002F170000}"/>
    <cellStyle name="Normal 12 2 2 9" xfId="5944" xr:uid="{00000000-0005-0000-0000-000030170000}"/>
    <cellStyle name="Normal 12 2 2 9 2" xfId="5945" xr:uid="{00000000-0005-0000-0000-000031170000}"/>
    <cellStyle name="Normal 12 2 2 9 3" xfId="5946" xr:uid="{00000000-0005-0000-0000-000032170000}"/>
    <cellStyle name="Normal 12 2 3" xfId="5947" xr:uid="{00000000-0005-0000-0000-000033170000}"/>
    <cellStyle name="Normal 12 2 3 10" xfId="5948" xr:uid="{00000000-0005-0000-0000-000034170000}"/>
    <cellStyle name="Normal 12 2 3 10 2" xfId="5949" xr:uid="{00000000-0005-0000-0000-000035170000}"/>
    <cellStyle name="Normal 12 2 3 10 3" xfId="5950" xr:uid="{00000000-0005-0000-0000-000036170000}"/>
    <cellStyle name="Normal 12 2 3 11" xfId="5951" xr:uid="{00000000-0005-0000-0000-000037170000}"/>
    <cellStyle name="Normal 12 2 3 11 2" xfId="5952" xr:uid="{00000000-0005-0000-0000-000038170000}"/>
    <cellStyle name="Normal 12 2 3 11 3" xfId="5953" xr:uid="{00000000-0005-0000-0000-000039170000}"/>
    <cellStyle name="Normal 12 2 3 12" xfId="5954" xr:uid="{00000000-0005-0000-0000-00003A170000}"/>
    <cellStyle name="Normal 12 2 3 13" xfId="5955" xr:uid="{00000000-0005-0000-0000-00003B170000}"/>
    <cellStyle name="Normal 12 2 3 2" xfId="5956" xr:uid="{00000000-0005-0000-0000-00003C170000}"/>
    <cellStyle name="Normal 12 2 3 2 10" xfId="5957" xr:uid="{00000000-0005-0000-0000-00003D170000}"/>
    <cellStyle name="Normal 12 2 3 2 10 2" xfId="5958" xr:uid="{00000000-0005-0000-0000-00003E170000}"/>
    <cellStyle name="Normal 12 2 3 2 10 3" xfId="5959" xr:uid="{00000000-0005-0000-0000-00003F170000}"/>
    <cellStyle name="Normal 12 2 3 2 11" xfId="5960" xr:uid="{00000000-0005-0000-0000-000040170000}"/>
    <cellStyle name="Normal 12 2 3 2 12" xfId="5961" xr:uid="{00000000-0005-0000-0000-000041170000}"/>
    <cellStyle name="Normal 12 2 3 2 2" xfId="5962" xr:uid="{00000000-0005-0000-0000-000042170000}"/>
    <cellStyle name="Normal 12 2 3 2 2 10" xfId="5963" xr:uid="{00000000-0005-0000-0000-000043170000}"/>
    <cellStyle name="Normal 12 2 3 2 2 2" xfId="5964" xr:uid="{00000000-0005-0000-0000-000044170000}"/>
    <cellStyle name="Normal 12 2 3 2 2 2 2" xfId="5965" xr:uid="{00000000-0005-0000-0000-000045170000}"/>
    <cellStyle name="Normal 12 2 3 2 2 2 2 2" xfId="5966" xr:uid="{00000000-0005-0000-0000-000046170000}"/>
    <cellStyle name="Normal 12 2 3 2 2 2 2 3" xfId="5967" xr:uid="{00000000-0005-0000-0000-000047170000}"/>
    <cellStyle name="Normal 12 2 3 2 2 2 3" xfId="5968" xr:uid="{00000000-0005-0000-0000-000048170000}"/>
    <cellStyle name="Normal 12 2 3 2 2 2 3 2" xfId="5969" xr:uid="{00000000-0005-0000-0000-000049170000}"/>
    <cellStyle name="Normal 12 2 3 2 2 2 3 3" xfId="5970" xr:uid="{00000000-0005-0000-0000-00004A170000}"/>
    <cellStyle name="Normal 12 2 3 2 2 2 4" xfId="5971" xr:uid="{00000000-0005-0000-0000-00004B170000}"/>
    <cellStyle name="Normal 12 2 3 2 2 2 4 2" xfId="5972" xr:uid="{00000000-0005-0000-0000-00004C170000}"/>
    <cellStyle name="Normal 12 2 3 2 2 2 4 3" xfId="5973" xr:uid="{00000000-0005-0000-0000-00004D170000}"/>
    <cellStyle name="Normal 12 2 3 2 2 2 5" xfId="5974" xr:uid="{00000000-0005-0000-0000-00004E170000}"/>
    <cellStyle name="Normal 12 2 3 2 2 2 5 2" xfId="5975" xr:uid="{00000000-0005-0000-0000-00004F170000}"/>
    <cellStyle name="Normal 12 2 3 2 2 2 5 3" xfId="5976" xr:uid="{00000000-0005-0000-0000-000050170000}"/>
    <cellStyle name="Normal 12 2 3 2 2 2 6" xfId="5977" xr:uid="{00000000-0005-0000-0000-000051170000}"/>
    <cellStyle name="Normal 12 2 3 2 2 2 6 2" xfId="5978" xr:uid="{00000000-0005-0000-0000-000052170000}"/>
    <cellStyle name="Normal 12 2 3 2 2 2 6 3" xfId="5979" xr:uid="{00000000-0005-0000-0000-000053170000}"/>
    <cellStyle name="Normal 12 2 3 2 2 2 7" xfId="5980" xr:uid="{00000000-0005-0000-0000-000054170000}"/>
    <cellStyle name="Normal 12 2 3 2 2 2 7 2" xfId="5981" xr:uid="{00000000-0005-0000-0000-000055170000}"/>
    <cellStyle name="Normal 12 2 3 2 2 2 7 3" xfId="5982" xr:uid="{00000000-0005-0000-0000-000056170000}"/>
    <cellStyle name="Normal 12 2 3 2 2 2 8" xfId="5983" xr:uid="{00000000-0005-0000-0000-000057170000}"/>
    <cellStyle name="Normal 12 2 3 2 2 2 9" xfId="5984" xr:uid="{00000000-0005-0000-0000-000058170000}"/>
    <cellStyle name="Normal 12 2 3 2 2 3" xfId="5985" xr:uid="{00000000-0005-0000-0000-000059170000}"/>
    <cellStyle name="Normal 12 2 3 2 2 3 2" xfId="5986" xr:uid="{00000000-0005-0000-0000-00005A170000}"/>
    <cellStyle name="Normal 12 2 3 2 2 3 3" xfId="5987" xr:uid="{00000000-0005-0000-0000-00005B170000}"/>
    <cellStyle name="Normal 12 2 3 2 2 4" xfId="5988" xr:uid="{00000000-0005-0000-0000-00005C170000}"/>
    <cellStyle name="Normal 12 2 3 2 2 4 2" xfId="5989" xr:uid="{00000000-0005-0000-0000-00005D170000}"/>
    <cellStyle name="Normal 12 2 3 2 2 4 3" xfId="5990" xr:uid="{00000000-0005-0000-0000-00005E170000}"/>
    <cellStyle name="Normal 12 2 3 2 2 5" xfId="5991" xr:uid="{00000000-0005-0000-0000-00005F170000}"/>
    <cellStyle name="Normal 12 2 3 2 2 5 2" xfId="5992" xr:uid="{00000000-0005-0000-0000-000060170000}"/>
    <cellStyle name="Normal 12 2 3 2 2 5 3" xfId="5993" xr:uid="{00000000-0005-0000-0000-000061170000}"/>
    <cellStyle name="Normal 12 2 3 2 2 6" xfId="5994" xr:uid="{00000000-0005-0000-0000-000062170000}"/>
    <cellStyle name="Normal 12 2 3 2 2 6 2" xfId="5995" xr:uid="{00000000-0005-0000-0000-000063170000}"/>
    <cellStyle name="Normal 12 2 3 2 2 6 3" xfId="5996" xr:uid="{00000000-0005-0000-0000-000064170000}"/>
    <cellStyle name="Normal 12 2 3 2 2 7" xfId="5997" xr:uid="{00000000-0005-0000-0000-000065170000}"/>
    <cellStyle name="Normal 12 2 3 2 2 7 2" xfId="5998" xr:uid="{00000000-0005-0000-0000-000066170000}"/>
    <cellStyle name="Normal 12 2 3 2 2 7 3" xfId="5999" xr:uid="{00000000-0005-0000-0000-000067170000}"/>
    <cellStyle name="Normal 12 2 3 2 2 8" xfId="6000" xr:uid="{00000000-0005-0000-0000-000068170000}"/>
    <cellStyle name="Normal 12 2 3 2 2 8 2" xfId="6001" xr:uid="{00000000-0005-0000-0000-000069170000}"/>
    <cellStyle name="Normal 12 2 3 2 2 8 3" xfId="6002" xr:uid="{00000000-0005-0000-0000-00006A170000}"/>
    <cellStyle name="Normal 12 2 3 2 2 9" xfId="6003" xr:uid="{00000000-0005-0000-0000-00006B170000}"/>
    <cellStyle name="Normal 12 2 3 2 3" xfId="6004" xr:uid="{00000000-0005-0000-0000-00006C170000}"/>
    <cellStyle name="Normal 12 2 3 2 3 10" xfId="6005" xr:uid="{00000000-0005-0000-0000-00006D170000}"/>
    <cellStyle name="Normal 12 2 3 2 3 2" xfId="6006" xr:uid="{00000000-0005-0000-0000-00006E170000}"/>
    <cellStyle name="Normal 12 2 3 2 3 2 2" xfId="6007" xr:uid="{00000000-0005-0000-0000-00006F170000}"/>
    <cellStyle name="Normal 12 2 3 2 3 2 2 2" xfId="6008" xr:uid="{00000000-0005-0000-0000-000070170000}"/>
    <cellStyle name="Normal 12 2 3 2 3 2 2 3" xfId="6009" xr:uid="{00000000-0005-0000-0000-000071170000}"/>
    <cellStyle name="Normal 12 2 3 2 3 2 3" xfId="6010" xr:uid="{00000000-0005-0000-0000-000072170000}"/>
    <cellStyle name="Normal 12 2 3 2 3 2 3 2" xfId="6011" xr:uid="{00000000-0005-0000-0000-000073170000}"/>
    <cellStyle name="Normal 12 2 3 2 3 2 3 3" xfId="6012" xr:uid="{00000000-0005-0000-0000-000074170000}"/>
    <cellStyle name="Normal 12 2 3 2 3 2 4" xfId="6013" xr:uid="{00000000-0005-0000-0000-000075170000}"/>
    <cellStyle name="Normal 12 2 3 2 3 2 4 2" xfId="6014" xr:uid="{00000000-0005-0000-0000-000076170000}"/>
    <cellStyle name="Normal 12 2 3 2 3 2 4 3" xfId="6015" xr:uid="{00000000-0005-0000-0000-000077170000}"/>
    <cellStyle name="Normal 12 2 3 2 3 2 5" xfId="6016" xr:uid="{00000000-0005-0000-0000-000078170000}"/>
    <cellStyle name="Normal 12 2 3 2 3 2 5 2" xfId="6017" xr:uid="{00000000-0005-0000-0000-000079170000}"/>
    <cellStyle name="Normal 12 2 3 2 3 2 5 3" xfId="6018" xr:uid="{00000000-0005-0000-0000-00007A170000}"/>
    <cellStyle name="Normal 12 2 3 2 3 2 6" xfId="6019" xr:uid="{00000000-0005-0000-0000-00007B170000}"/>
    <cellStyle name="Normal 12 2 3 2 3 2 6 2" xfId="6020" xr:uid="{00000000-0005-0000-0000-00007C170000}"/>
    <cellStyle name="Normal 12 2 3 2 3 2 6 3" xfId="6021" xr:uid="{00000000-0005-0000-0000-00007D170000}"/>
    <cellStyle name="Normal 12 2 3 2 3 2 7" xfId="6022" xr:uid="{00000000-0005-0000-0000-00007E170000}"/>
    <cellStyle name="Normal 12 2 3 2 3 2 7 2" xfId="6023" xr:uid="{00000000-0005-0000-0000-00007F170000}"/>
    <cellStyle name="Normal 12 2 3 2 3 2 7 3" xfId="6024" xr:uid="{00000000-0005-0000-0000-000080170000}"/>
    <cellStyle name="Normal 12 2 3 2 3 2 8" xfId="6025" xr:uid="{00000000-0005-0000-0000-000081170000}"/>
    <cellStyle name="Normal 12 2 3 2 3 2 9" xfId="6026" xr:uid="{00000000-0005-0000-0000-000082170000}"/>
    <cellStyle name="Normal 12 2 3 2 3 3" xfId="6027" xr:uid="{00000000-0005-0000-0000-000083170000}"/>
    <cellStyle name="Normal 12 2 3 2 3 3 2" xfId="6028" xr:uid="{00000000-0005-0000-0000-000084170000}"/>
    <cellStyle name="Normal 12 2 3 2 3 3 3" xfId="6029" xr:uid="{00000000-0005-0000-0000-000085170000}"/>
    <cellStyle name="Normal 12 2 3 2 3 4" xfId="6030" xr:uid="{00000000-0005-0000-0000-000086170000}"/>
    <cellStyle name="Normal 12 2 3 2 3 4 2" xfId="6031" xr:uid="{00000000-0005-0000-0000-000087170000}"/>
    <cellStyle name="Normal 12 2 3 2 3 4 3" xfId="6032" xr:uid="{00000000-0005-0000-0000-000088170000}"/>
    <cellStyle name="Normal 12 2 3 2 3 5" xfId="6033" xr:uid="{00000000-0005-0000-0000-000089170000}"/>
    <cellStyle name="Normal 12 2 3 2 3 5 2" xfId="6034" xr:uid="{00000000-0005-0000-0000-00008A170000}"/>
    <cellStyle name="Normal 12 2 3 2 3 5 3" xfId="6035" xr:uid="{00000000-0005-0000-0000-00008B170000}"/>
    <cellStyle name="Normal 12 2 3 2 3 6" xfId="6036" xr:uid="{00000000-0005-0000-0000-00008C170000}"/>
    <cellStyle name="Normal 12 2 3 2 3 6 2" xfId="6037" xr:uid="{00000000-0005-0000-0000-00008D170000}"/>
    <cellStyle name="Normal 12 2 3 2 3 6 3" xfId="6038" xr:uid="{00000000-0005-0000-0000-00008E170000}"/>
    <cellStyle name="Normal 12 2 3 2 3 7" xfId="6039" xr:uid="{00000000-0005-0000-0000-00008F170000}"/>
    <cellStyle name="Normal 12 2 3 2 3 7 2" xfId="6040" xr:uid="{00000000-0005-0000-0000-000090170000}"/>
    <cellStyle name="Normal 12 2 3 2 3 7 3" xfId="6041" xr:uid="{00000000-0005-0000-0000-000091170000}"/>
    <cellStyle name="Normal 12 2 3 2 3 8" xfId="6042" xr:uid="{00000000-0005-0000-0000-000092170000}"/>
    <cellStyle name="Normal 12 2 3 2 3 8 2" xfId="6043" xr:uid="{00000000-0005-0000-0000-000093170000}"/>
    <cellStyle name="Normal 12 2 3 2 3 8 3" xfId="6044" xr:uid="{00000000-0005-0000-0000-000094170000}"/>
    <cellStyle name="Normal 12 2 3 2 3 9" xfId="6045" xr:uid="{00000000-0005-0000-0000-000095170000}"/>
    <cellStyle name="Normal 12 2 3 2 4" xfId="6046" xr:uid="{00000000-0005-0000-0000-000096170000}"/>
    <cellStyle name="Normal 12 2 3 2 4 2" xfId="6047" xr:uid="{00000000-0005-0000-0000-000097170000}"/>
    <cellStyle name="Normal 12 2 3 2 4 2 2" xfId="6048" xr:uid="{00000000-0005-0000-0000-000098170000}"/>
    <cellStyle name="Normal 12 2 3 2 4 2 3" xfId="6049" xr:uid="{00000000-0005-0000-0000-000099170000}"/>
    <cellStyle name="Normal 12 2 3 2 4 3" xfId="6050" xr:uid="{00000000-0005-0000-0000-00009A170000}"/>
    <cellStyle name="Normal 12 2 3 2 4 3 2" xfId="6051" xr:uid="{00000000-0005-0000-0000-00009B170000}"/>
    <cellStyle name="Normal 12 2 3 2 4 3 3" xfId="6052" xr:uid="{00000000-0005-0000-0000-00009C170000}"/>
    <cellStyle name="Normal 12 2 3 2 4 4" xfId="6053" xr:uid="{00000000-0005-0000-0000-00009D170000}"/>
    <cellStyle name="Normal 12 2 3 2 4 4 2" xfId="6054" xr:uid="{00000000-0005-0000-0000-00009E170000}"/>
    <cellStyle name="Normal 12 2 3 2 4 4 3" xfId="6055" xr:uid="{00000000-0005-0000-0000-00009F170000}"/>
    <cellStyle name="Normal 12 2 3 2 4 5" xfId="6056" xr:uid="{00000000-0005-0000-0000-0000A0170000}"/>
    <cellStyle name="Normal 12 2 3 2 4 5 2" xfId="6057" xr:uid="{00000000-0005-0000-0000-0000A1170000}"/>
    <cellStyle name="Normal 12 2 3 2 4 5 3" xfId="6058" xr:uid="{00000000-0005-0000-0000-0000A2170000}"/>
    <cellStyle name="Normal 12 2 3 2 4 6" xfId="6059" xr:uid="{00000000-0005-0000-0000-0000A3170000}"/>
    <cellStyle name="Normal 12 2 3 2 4 6 2" xfId="6060" xr:uid="{00000000-0005-0000-0000-0000A4170000}"/>
    <cellStyle name="Normal 12 2 3 2 4 6 3" xfId="6061" xr:uid="{00000000-0005-0000-0000-0000A5170000}"/>
    <cellStyle name="Normal 12 2 3 2 4 7" xfId="6062" xr:uid="{00000000-0005-0000-0000-0000A6170000}"/>
    <cellStyle name="Normal 12 2 3 2 4 7 2" xfId="6063" xr:uid="{00000000-0005-0000-0000-0000A7170000}"/>
    <cellStyle name="Normal 12 2 3 2 4 7 3" xfId="6064" xr:uid="{00000000-0005-0000-0000-0000A8170000}"/>
    <cellStyle name="Normal 12 2 3 2 4 8" xfId="6065" xr:uid="{00000000-0005-0000-0000-0000A9170000}"/>
    <cellStyle name="Normal 12 2 3 2 4 9" xfId="6066" xr:uid="{00000000-0005-0000-0000-0000AA170000}"/>
    <cellStyle name="Normal 12 2 3 2 5" xfId="6067" xr:uid="{00000000-0005-0000-0000-0000AB170000}"/>
    <cellStyle name="Normal 12 2 3 2 5 2" xfId="6068" xr:uid="{00000000-0005-0000-0000-0000AC170000}"/>
    <cellStyle name="Normal 12 2 3 2 5 3" xfId="6069" xr:uid="{00000000-0005-0000-0000-0000AD170000}"/>
    <cellStyle name="Normal 12 2 3 2 6" xfId="6070" xr:uid="{00000000-0005-0000-0000-0000AE170000}"/>
    <cellStyle name="Normal 12 2 3 2 6 2" xfId="6071" xr:uid="{00000000-0005-0000-0000-0000AF170000}"/>
    <cellStyle name="Normal 12 2 3 2 6 3" xfId="6072" xr:uid="{00000000-0005-0000-0000-0000B0170000}"/>
    <cellStyle name="Normal 12 2 3 2 7" xfId="6073" xr:uid="{00000000-0005-0000-0000-0000B1170000}"/>
    <cellStyle name="Normal 12 2 3 2 7 2" xfId="6074" xr:uid="{00000000-0005-0000-0000-0000B2170000}"/>
    <cellStyle name="Normal 12 2 3 2 7 3" xfId="6075" xr:uid="{00000000-0005-0000-0000-0000B3170000}"/>
    <cellStyle name="Normal 12 2 3 2 8" xfId="6076" xr:uid="{00000000-0005-0000-0000-0000B4170000}"/>
    <cellStyle name="Normal 12 2 3 2 8 2" xfId="6077" xr:uid="{00000000-0005-0000-0000-0000B5170000}"/>
    <cellStyle name="Normal 12 2 3 2 8 3" xfId="6078" xr:uid="{00000000-0005-0000-0000-0000B6170000}"/>
    <cellStyle name="Normal 12 2 3 2 9" xfId="6079" xr:uid="{00000000-0005-0000-0000-0000B7170000}"/>
    <cellStyle name="Normal 12 2 3 2 9 2" xfId="6080" xr:uid="{00000000-0005-0000-0000-0000B8170000}"/>
    <cellStyle name="Normal 12 2 3 2 9 3" xfId="6081" xr:uid="{00000000-0005-0000-0000-0000B9170000}"/>
    <cellStyle name="Normal 12 2 3 3" xfId="6082" xr:uid="{00000000-0005-0000-0000-0000BA170000}"/>
    <cellStyle name="Normal 12 2 3 3 10" xfId="6083" xr:uid="{00000000-0005-0000-0000-0000BB170000}"/>
    <cellStyle name="Normal 12 2 3 3 2" xfId="6084" xr:uid="{00000000-0005-0000-0000-0000BC170000}"/>
    <cellStyle name="Normal 12 2 3 3 2 2" xfId="6085" xr:uid="{00000000-0005-0000-0000-0000BD170000}"/>
    <cellStyle name="Normal 12 2 3 3 2 2 2" xfId="6086" xr:uid="{00000000-0005-0000-0000-0000BE170000}"/>
    <cellStyle name="Normal 12 2 3 3 2 2 3" xfId="6087" xr:uid="{00000000-0005-0000-0000-0000BF170000}"/>
    <cellStyle name="Normal 12 2 3 3 2 3" xfId="6088" xr:uid="{00000000-0005-0000-0000-0000C0170000}"/>
    <cellStyle name="Normal 12 2 3 3 2 3 2" xfId="6089" xr:uid="{00000000-0005-0000-0000-0000C1170000}"/>
    <cellStyle name="Normal 12 2 3 3 2 3 3" xfId="6090" xr:uid="{00000000-0005-0000-0000-0000C2170000}"/>
    <cellStyle name="Normal 12 2 3 3 2 4" xfId="6091" xr:uid="{00000000-0005-0000-0000-0000C3170000}"/>
    <cellStyle name="Normal 12 2 3 3 2 4 2" xfId="6092" xr:uid="{00000000-0005-0000-0000-0000C4170000}"/>
    <cellStyle name="Normal 12 2 3 3 2 4 3" xfId="6093" xr:uid="{00000000-0005-0000-0000-0000C5170000}"/>
    <cellStyle name="Normal 12 2 3 3 2 5" xfId="6094" xr:uid="{00000000-0005-0000-0000-0000C6170000}"/>
    <cellStyle name="Normal 12 2 3 3 2 5 2" xfId="6095" xr:uid="{00000000-0005-0000-0000-0000C7170000}"/>
    <cellStyle name="Normal 12 2 3 3 2 5 3" xfId="6096" xr:uid="{00000000-0005-0000-0000-0000C8170000}"/>
    <cellStyle name="Normal 12 2 3 3 2 6" xfId="6097" xr:uid="{00000000-0005-0000-0000-0000C9170000}"/>
    <cellStyle name="Normal 12 2 3 3 2 6 2" xfId="6098" xr:uid="{00000000-0005-0000-0000-0000CA170000}"/>
    <cellStyle name="Normal 12 2 3 3 2 6 3" xfId="6099" xr:uid="{00000000-0005-0000-0000-0000CB170000}"/>
    <cellStyle name="Normal 12 2 3 3 2 7" xfId="6100" xr:uid="{00000000-0005-0000-0000-0000CC170000}"/>
    <cellStyle name="Normal 12 2 3 3 2 7 2" xfId="6101" xr:uid="{00000000-0005-0000-0000-0000CD170000}"/>
    <cellStyle name="Normal 12 2 3 3 2 7 3" xfId="6102" xr:uid="{00000000-0005-0000-0000-0000CE170000}"/>
    <cellStyle name="Normal 12 2 3 3 2 8" xfId="6103" xr:uid="{00000000-0005-0000-0000-0000CF170000}"/>
    <cellStyle name="Normal 12 2 3 3 2 9" xfId="6104" xr:uid="{00000000-0005-0000-0000-0000D0170000}"/>
    <cellStyle name="Normal 12 2 3 3 3" xfId="6105" xr:uid="{00000000-0005-0000-0000-0000D1170000}"/>
    <cellStyle name="Normal 12 2 3 3 3 2" xfId="6106" xr:uid="{00000000-0005-0000-0000-0000D2170000}"/>
    <cellStyle name="Normal 12 2 3 3 3 3" xfId="6107" xr:uid="{00000000-0005-0000-0000-0000D3170000}"/>
    <cellStyle name="Normal 12 2 3 3 4" xfId="6108" xr:uid="{00000000-0005-0000-0000-0000D4170000}"/>
    <cellStyle name="Normal 12 2 3 3 4 2" xfId="6109" xr:uid="{00000000-0005-0000-0000-0000D5170000}"/>
    <cellStyle name="Normal 12 2 3 3 4 3" xfId="6110" xr:uid="{00000000-0005-0000-0000-0000D6170000}"/>
    <cellStyle name="Normal 12 2 3 3 5" xfId="6111" xr:uid="{00000000-0005-0000-0000-0000D7170000}"/>
    <cellStyle name="Normal 12 2 3 3 5 2" xfId="6112" xr:uid="{00000000-0005-0000-0000-0000D8170000}"/>
    <cellStyle name="Normal 12 2 3 3 5 3" xfId="6113" xr:uid="{00000000-0005-0000-0000-0000D9170000}"/>
    <cellStyle name="Normal 12 2 3 3 6" xfId="6114" xr:uid="{00000000-0005-0000-0000-0000DA170000}"/>
    <cellStyle name="Normal 12 2 3 3 6 2" xfId="6115" xr:uid="{00000000-0005-0000-0000-0000DB170000}"/>
    <cellStyle name="Normal 12 2 3 3 6 3" xfId="6116" xr:uid="{00000000-0005-0000-0000-0000DC170000}"/>
    <cellStyle name="Normal 12 2 3 3 7" xfId="6117" xr:uid="{00000000-0005-0000-0000-0000DD170000}"/>
    <cellStyle name="Normal 12 2 3 3 7 2" xfId="6118" xr:uid="{00000000-0005-0000-0000-0000DE170000}"/>
    <cellStyle name="Normal 12 2 3 3 7 3" xfId="6119" xr:uid="{00000000-0005-0000-0000-0000DF170000}"/>
    <cellStyle name="Normal 12 2 3 3 8" xfId="6120" xr:uid="{00000000-0005-0000-0000-0000E0170000}"/>
    <cellStyle name="Normal 12 2 3 3 8 2" xfId="6121" xr:uid="{00000000-0005-0000-0000-0000E1170000}"/>
    <cellStyle name="Normal 12 2 3 3 8 3" xfId="6122" xr:uid="{00000000-0005-0000-0000-0000E2170000}"/>
    <cellStyle name="Normal 12 2 3 3 9" xfId="6123" xr:uid="{00000000-0005-0000-0000-0000E3170000}"/>
    <cellStyle name="Normal 12 2 3 4" xfId="6124" xr:uid="{00000000-0005-0000-0000-0000E4170000}"/>
    <cellStyle name="Normal 12 2 3 4 10" xfId="6125" xr:uid="{00000000-0005-0000-0000-0000E5170000}"/>
    <cellStyle name="Normal 12 2 3 4 2" xfId="6126" xr:uid="{00000000-0005-0000-0000-0000E6170000}"/>
    <cellStyle name="Normal 12 2 3 4 2 2" xfId="6127" xr:uid="{00000000-0005-0000-0000-0000E7170000}"/>
    <cellStyle name="Normal 12 2 3 4 2 2 2" xfId="6128" xr:uid="{00000000-0005-0000-0000-0000E8170000}"/>
    <cellStyle name="Normal 12 2 3 4 2 2 3" xfId="6129" xr:uid="{00000000-0005-0000-0000-0000E9170000}"/>
    <cellStyle name="Normal 12 2 3 4 2 3" xfId="6130" xr:uid="{00000000-0005-0000-0000-0000EA170000}"/>
    <cellStyle name="Normal 12 2 3 4 2 3 2" xfId="6131" xr:uid="{00000000-0005-0000-0000-0000EB170000}"/>
    <cellStyle name="Normal 12 2 3 4 2 3 3" xfId="6132" xr:uid="{00000000-0005-0000-0000-0000EC170000}"/>
    <cellStyle name="Normal 12 2 3 4 2 4" xfId="6133" xr:uid="{00000000-0005-0000-0000-0000ED170000}"/>
    <cellStyle name="Normal 12 2 3 4 2 4 2" xfId="6134" xr:uid="{00000000-0005-0000-0000-0000EE170000}"/>
    <cellStyle name="Normal 12 2 3 4 2 4 3" xfId="6135" xr:uid="{00000000-0005-0000-0000-0000EF170000}"/>
    <cellStyle name="Normal 12 2 3 4 2 5" xfId="6136" xr:uid="{00000000-0005-0000-0000-0000F0170000}"/>
    <cellStyle name="Normal 12 2 3 4 2 5 2" xfId="6137" xr:uid="{00000000-0005-0000-0000-0000F1170000}"/>
    <cellStyle name="Normal 12 2 3 4 2 5 3" xfId="6138" xr:uid="{00000000-0005-0000-0000-0000F2170000}"/>
    <cellStyle name="Normal 12 2 3 4 2 6" xfId="6139" xr:uid="{00000000-0005-0000-0000-0000F3170000}"/>
    <cellStyle name="Normal 12 2 3 4 2 6 2" xfId="6140" xr:uid="{00000000-0005-0000-0000-0000F4170000}"/>
    <cellStyle name="Normal 12 2 3 4 2 6 3" xfId="6141" xr:uid="{00000000-0005-0000-0000-0000F5170000}"/>
    <cellStyle name="Normal 12 2 3 4 2 7" xfId="6142" xr:uid="{00000000-0005-0000-0000-0000F6170000}"/>
    <cellStyle name="Normal 12 2 3 4 2 7 2" xfId="6143" xr:uid="{00000000-0005-0000-0000-0000F7170000}"/>
    <cellStyle name="Normal 12 2 3 4 2 7 3" xfId="6144" xr:uid="{00000000-0005-0000-0000-0000F8170000}"/>
    <cellStyle name="Normal 12 2 3 4 2 8" xfId="6145" xr:uid="{00000000-0005-0000-0000-0000F9170000}"/>
    <cellStyle name="Normal 12 2 3 4 2 9" xfId="6146" xr:uid="{00000000-0005-0000-0000-0000FA170000}"/>
    <cellStyle name="Normal 12 2 3 4 3" xfId="6147" xr:uid="{00000000-0005-0000-0000-0000FB170000}"/>
    <cellStyle name="Normal 12 2 3 4 3 2" xfId="6148" xr:uid="{00000000-0005-0000-0000-0000FC170000}"/>
    <cellStyle name="Normal 12 2 3 4 3 3" xfId="6149" xr:uid="{00000000-0005-0000-0000-0000FD170000}"/>
    <cellStyle name="Normal 12 2 3 4 4" xfId="6150" xr:uid="{00000000-0005-0000-0000-0000FE170000}"/>
    <cellStyle name="Normal 12 2 3 4 4 2" xfId="6151" xr:uid="{00000000-0005-0000-0000-0000FF170000}"/>
    <cellStyle name="Normal 12 2 3 4 4 3" xfId="6152" xr:uid="{00000000-0005-0000-0000-000000180000}"/>
    <cellStyle name="Normal 12 2 3 4 5" xfId="6153" xr:uid="{00000000-0005-0000-0000-000001180000}"/>
    <cellStyle name="Normal 12 2 3 4 5 2" xfId="6154" xr:uid="{00000000-0005-0000-0000-000002180000}"/>
    <cellStyle name="Normal 12 2 3 4 5 3" xfId="6155" xr:uid="{00000000-0005-0000-0000-000003180000}"/>
    <cellStyle name="Normal 12 2 3 4 6" xfId="6156" xr:uid="{00000000-0005-0000-0000-000004180000}"/>
    <cellStyle name="Normal 12 2 3 4 6 2" xfId="6157" xr:uid="{00000000-0005-0000-0000-000005180000}"/>
    <cellStyle name="Normal 12 2 3 4 6 3" xfId="6158" xr:uid="{00000000-0005-0000-0000-000006180000}"/>
    <cellStyle name="Normal 12 2 3 4 7" xfId="6159" xr:uid="{00000000-0005-0000-0000-000007180000}"/>
    <cellStyle name="Normal 12 2 3 4 7 2" xfId="6160" xr:uid="{00000000-0005-0000-0000-000008180000}"/>
    <cellStyle name="Normal 12 2 3 4 7 3" xfId="6161" xr:uid="{00000000-0005-0000-0000-000009180000}"/>
    <cellStyle name="Normal 12 2 3 4 8" xfId="6162" xr:uid="{00000000-0005-0000-0000-00000A180000}"/>
    <cellStyle name="Normal 12 2 3 4 8 2" xfId="6163" xr:uid="{00000000-0005-0000-0000-00000B180000}"/>
    <cellStyle name="Normal 12 2 3 4 8 3" xfId="6164" xr:uid="{00000000-0005-0000-0000-00000C180000}"/>
    <cellStyle name="Normal 12 2 3 4 9" xfId="6165" xr:uid="{00000000-0005-0000-0000-00000D180000}"/>
    <cellStyle name="Normal 12 2 3 5" xfId="6166" xr:uid="{00000000-0005-0000-0000-00000E180000}"/>
    <cellStyle name="Normal 12 2 3 5 2" xfId="6167" xr:uid="{00000000-0005-0000-0000-00000F180000}"/>
    <cellStyle name="Normal 12 2 3 5 2 2" xfId="6168" xr:uid="{00000000-0005-0000-0000-000010180000}"/>
    <cellStyle name="Normal 12 2 3 5 2 3" xfId="6169" xr:uid="{00000000-0005-0000-0000-000011180000}"/>
    <cellStyle name="Normal 12 2 3 5 3" xfId="6170" xr:uid="{00000000-0005-0000-0000-000012180000}"/>
    <cellStyle name="Normal 12 2 3 5 3 2" xfId="6171" xr:uid="{00000000-0005-0000-0000-000013180000}"/>
    <cellStyle name="Normal 12 2 3 5 3 3" xfId="6172" xr:uid="{00000000-0005-0000-0000-000014180000}"/>
    <cellStyle name="Normal 12 2 3 5 4" xfId="6173" xr:uid="{00000000-0005-0000-0000-000015180000}"/>
    <cellStyle name="Normal 12 2 3 5 4 2" xfId="6174" xr:uid="{00000000-0005-0000-0000-000016180000}"/>
    <cellStyle name="Normal 12 2 3 5 4 3" xfId="6175" xr:uid="{00000000-0005-0000-0000-000017180000}"/>
    <cellStyle name="Normal 12 2 3 5 5" xfId="6176" xr:uid="{00000000-0005-0000-0000-000018180000}"/>
    <cellStyle name="Normal 12 2 3 5 5 2" xfId="6177" xr:uid="{00000000-0005-0000-0000-000019180000}"/>
    <cellStyle name="Normal 12 2 3 5 5 3" xfId="6178" xr:uid="{00000000-0005-0000-0000-00001A180000}"/>
    <cellStyle name="Normal 12 2 3 5 6" xfId="6179" xr:uid="{00000000-0005-0000-0000-00001B180000}"/>
    <cellStyle name="Normal 12 2 3 5 6 2" xfId="6180" xr:uid="{00000000-0005-0000-0000-00001C180000}"/>
    <cellStyle name="Normal 12 2 3 5 6 3" xfId="6181" xr:uid="{00000000-0005-0000-0000-00001D180000}"/>
    <cellStyle name="Normal 12 2 3 5 7" xfId="6182" xr:uid="{00000000-0005-0000-0000-00001E180000}"/>
    <cellStyle name="Normal 12 2 3 5 7 2" xfId="6183" xr:uid="{00000000-0005-0000-0000-00001F180000}"/>
    <cellStyle name="Normal 12 2 3 5 7 3" xfId="6184" xr:uid="{00000000-0005-0000-0000-000020180000}"/>
    <cellStyle name="Normal 12 2 3 5 8" xfId="6185" xr:uid="{00000000-0005-0000-0000-000021180000}"/>
    <cellStyle name="Normal 12 2 3 5 9" xfId="6186" xr:uid="{00000000-0005-0000-0000-000022180000}"/>
    <cellStyle name="Normal 12 2 3 6" xfId="6187" xr:uid="{00000000-0005-0000-0000-000023180000}"/>
    <cellStyle name="Normal 12 2 3 6 2" xfId="6188" xr:uid="{00000000-0005-0000-0000-000024180000}"/>
    <cellStyle name="Normal 12 2 3 6 3" xfId="6189" xr:uid="{00000000-0005-0000-0000-000025180000}"/>
    <cellStyle name="Normal 12 2 3 7" xfId="6190" xr:uid="{00000000-0005-0000-0000-000026180000}"/>
    <cellStyle name="Normal 12 2 3 7 2" xfId="6191" xr:uid="{00000000-0005-0000-0000-000027180000}"/>
    <cellStyle name="Normal 12 2 3 7 3" xfId="6192" xr:uid="{00000000-0005-0000-0000-000028180000}"/>
    <cellStyle name="Normal 12 2 3 8" xfId="6193" xr:uid="{00000000-0005-0000-0000-000029180000}"/>
    <cellStyle name="Normal 12 2 3 8 2" xfId="6194" xr:uid="{00000000-0005-0000-0000-00002A180000}"/>
    <cellStyle name="Normal 12 2 3 8 3" xfId="6195" xr:uid="{00000000-0005-0000-0000-00002B180000}"/>
    <cellStyle name="Normal 12 2 3 9" xfId="6196" xr:uid="{00000000-0005-0000-0000-00002C180000}"/>
    <cellStyle name="Normal 12 2 3 9 2" xfId="6197" xr:uid="{00000000-0005-0000-0000-00002D180000}"/>
    <cellStyle name="Normal 12 2 3 9 3" xfId="6198" xr:uid="{00000000-0005-0000-0000-00002E180000}"/>
    <cellStyle name="Normal 12 2 4" xfId="6199" xr:uid="{00000000-0005-0000-0000-00002F180000}"/>
    <cellStyle name="Normal 12 2 4 10" xfId="6200" xr:uid="{00000000-0005-0000-0000-000030180000}"/>
    <cellStyle name="Normal 12 2 4 10 2" xfId="6201" xr:uid="{00000000-0005-0000-0000-000031180000}"/>
    <cellStyle name="Normal 12 2 4 10 3" xfId="6202" xr:uid="{00000000-0005-0000-0000-000032180000}"/>
    <cellStyle name="Normal 12 2 4 11" xfId="6203" xr:uid="{00000000-0005-0000-0000-000033180000}"/>
    <cellStyle name="Normal 12 2 4 12" xfId="6204" xr:uid="{00000000-0005-0000-0000-000034180000}"/>
    <cellStyle name="Normal 12 2 4 2" xfId="6205" xr:uid="{00000000-0005-0000-0000-000035180000}"/>
    <cellStyle name="Normal 12 2 4 2 10" xfId="6206" xr:uid="{00000000-0005-0000-0000-000036180000}"/>
    <cellStyle name="Normal 12 2 4 2 2" xfId="6207" xr:uid="{00000000-0005-0000-0000-000037180000}"/>
    <cellStyle name="Normal 12 2 4 2 2 2" xfId="6208" xr:uid="{00000000-0005-0000-0000-000038180000}"/>
    <cellStyle name="Normal 12 2 4 2 2 2 2" xfId="6209" xr:uid="{00000000-0005-0000-0000-000039180000}"/>
    <cellStyle name="Normal 12 2 4 2 2 2 3" xfId="6210" xr:uid="{00000000-0005-0000-0000-00003A180000}"/>
    <cellStyle name="Normal 12 2 4 2 2 3" xfId="6211" xr:uid="{00000000-0005-0000-0000-00003B180000}"/>
    <cellStyle name="Normal 12 2 4 2 2 3 2" xfId="6212" xr:uid="{00000000-0005-0000-0000-00003C180000}"/>
    <cellStyle name="Normal 12 2 4 2 2 3 3" xfId="6213" xr:uid="{00000000-0005-0000-0000-00003D180000}"/>
    <cellStyle name="Normal 12 2 4 2 2 4" xfId="6214" xr:uid="{00000000-0005-0000-0000-00003E180000}"/>
    <cellStyle name="Normal 12 2 4 2 2 4 2" xfId="6215" xr:uid="{00000000-0005-0000-0000-00003F180000}"/>
    <cellStyle name="Normal 12 2 4 2 2 4 3" xfId="6216" xr:uid="{00000000-0005-0000-0000-000040180000}"/>
    <cellStyle name="Normal 12 2 4 2 2 5" xfId="6217" xr:uid="{00000000-0005-0000-0000-000041180000}"/>
    <cellStyle name="Normal 12 2 4 2 2 5 2" xfId="6218" xr:uid="{00000000-0005-0000-0000-000042180000}"/>
    <cellStyle name="Normal 12 2 4 2 2 5 3" xfId="6219" xr:uid="{00000000-0005-0000-0000-000043180000}"/>
    <cellStyle name="Normal 12 2 4 2 2 6" xfId="6220" xr:uid="{00000000-0005-0000-0000-000044180000}"/>
    <cellStyle name="Normal 12 2 4 2 2 6 2" xfId="6221" xr:uid="{00000000-0005-0000-0000-000045180000}"/>
    <cellStyle name="Normal 12 2 4 2 2 6 3" xfId="6222" xr:uid="{00000000-0005-0000-0000-000046180000}"/>
    <cellStyle name="Normal 12 2 4 2 2 7" xfId="6223" xr:uid="{00000000-0005-0000-0000-000047180000}"/>
    <cellStyle name="Normal 12 2 4 2 2 7 2" xfId="6224" xr:uid="{00000000-0005-0000-0000-000048180000}"/>
    <cellStyle name="Normal 12 2 4 2 2 7 3" xfId="6225" xr:uid="{00000000-0005-0000-0000-000049180000}"/>
    <cellStyle name="Normal 12 2 4 2 2 8" xfId="6226" xr:uid="{00000000-0005-0000-0000-00004A180000}"/>
    <cellStyle name="Normal 12 2 4 2 2 9" xfId="6227" xr:uid="{00000000-0005-0000-0000-00004B180000}"/>
    <cellStyle name="Normal 12 2 4 2 3" xfId="6228" xr:uid="{00000000-0005-0000-0000-00004C180000}"/>
    <cellStyle name="Normal 12 2 4 2 3 2" xfId="6229" xr:uid="{00000000-0005-0000-0000-00004D180000}"/>
    <cellStyle name="Normal 12 2 4 2 3 3" xfId="6230" xr:uid="{00000000-0005-0000-0000-00004E180000}"/>
    <cellStyle name="Normal 12 2 4 2 4" xfId="6231" xr:uid="{00000000-0005-0000-0000-00004F180000}"/>
    <cellStyle name="Normal 12 2 4 2 4 2" xfId="6232" xr:uid="{00000000-0005-0000-0000-000050180000}"/>
    <cellStyle name="Normal 12 2 4 2 4 3" xfId="6233" xr:uid="{00000000-0005-0000-0000-000051180000}"/>
    <cellStyle name="Normal 12 2 4 2 5" xfId="6234" xr:uid="{00000000-0005-0000-0000-000052180000}"/>
    <cellStyle name="Normal 12 2 4 2 5 2" xfId="6235" xr:uid="{00000000-0005-0000-0000-000053180000}"/>
    <cellStyle name="Normal 12 2 4 2 5 3" xfId="6236" xr:uid="{00000000-0005-0000-0000-000054180000}"/>
    <cellStyle name="Normal 12 2 4 2 6" xfId="6237" xr:uid="{00000000-0005-0000-0000-000055180000}"/>
    <cellStyle name="Normal 12 2 4 2 6 2" xfId="6238" xr:uid="{00000000-0005-0000-0000-000056180000}"/>
    <cellStyle name="Normal 12 2 4 2 6 3" xfId="6239" xr:uid="{00000000-0005-0000-0000-000057180000}"/>
    <cellStyle name="Normal 12 2 4 2 7" xfId="6240" xr:uid="{00000000-0005-0000-0000-000058180000}"/>
    <cellStyle name="Normal 12 2 4 2 7 2" xfId="6241" xr:uid="{00000000-0005-0000-0000-000059180000}"/>
    <cellStyle name="Normal 12 2 4 2 7 3" xfId="6242" xr:uid="{00000000-0005-0000-0000-00005A180000}"/>
    <cellStyle name="Normal 12 2 4 2 8" xfId="6243" xr:uid="{00000000-0005-0000-0000-00005B180000}"/>
    <cellStyle name="Normal 12 2 4 2 8 2" xfId="6244" xr:uid="{00000000-0005-0000-0000-00005C180000}"/>
    <cellStyle name="Normal 12 2 4 2 8 3" xfId="6245" xr:uid="{00000000-0005-0000-0000-00005D180000}"/>
    <cellStyle name="Normal 12 2 4 2 9" xfId="6246" xr:uid="{00000000-0005-0000-0000-00005E180000}"/>
    <cellStyle name="Normal 12 2 4 3" xfId="6247" xr:uid="{00000000-0005-0000-0000-00005F180000}"/>
    <cellStyle name="Normal 12 2 4 3 10" xfId="6248" xr:uid="{00000000-0005-0000-0000-000060180000}"/>
    <cellStyle name="Normal 12 2 4 3 2" xfId="6249" xr:uid="{00000000-0005-0000-0000-000061180000}"/>
    <cellStyle name="Normal 12 2 4 3 2 2" xfId="6250" xr:uid="{00000000-0005-0000-0000-000062180000}"/>
    <cellStyle name="Normal 12 2 4 3 2 2 2" xfId="6251" xr:uid="{00000000-0005-0000-0000-000063180000}"/>
    <cellStyle name="Normal 12 2 4 3 2 2 3" xfId="6252" xr:uid="{00000000-0005-0000-0000-000064180000}"/>
    <cellStyle name="Normal 12 2 4 3 2 3" xfId="6253" xr:uid="{00000000-0005-0000-0000-000065180000}"/>
    <cellStyle name="Normal 12 2 4 3 2 3 2" xfId="6254" xr:uid="{00000000-0005-0000-0000-000066180000}"/>
    <cellStyle name="Normal 12 2 4 3 2 3 3" xfId="6255" xr:uid="{00000000-0005-0000-0000-000067180000}"/>
    <cellStyle name="Normal 12 2 4 3 2 4" xfId="6256" xr:uid="{00000000-0005-0000-0000-000068180000}"/>
    <cellStyle name="Normal 12 2 4 3 2 4 2" xfId="6257" xr:uid="{00000000-0005-0000-0000-000069180000}"/>
    <cellStyle name="Normal 12 2 4 3 2 4 3" xfId="6258" xr:uid="{00000000-0005-0000-0000-00006A180000}"/>
    <cellStyle name="Normal 12 2 4 3 2 5" xfId="6259" xr:uid="{00000000-0005-0000-0000-00006B180000}"/>
    <cellStyle name="Normal 12 2 4 3 2 5 2" xfId="6260" xr:uid="{00000000-0005-0000-0000-00006C180000}"/>
    <cellStyle name="Normal 12 2 4 3 2 5 3" xfId="6261" xr:uid="{00000000-0005-0000-0000-00006D180000}"/>
    <cellStyle name="Normal 12 2 4 3 2 6" xfId="6262" xr:uid="{00000000-0005-0000-0000-00006E180000}"/>
    <cellStyle name="Normal 12 2 4 3 2 6 2" xfId="6263" xr:uid="{00000000-0005-0000-0000-00006F180000}"/>
    <cellStyle name="Normal 12 2 4 3 2 6 3" xfId="6264" xr:uid="{00000000-0005-0000-0000-000070180000}"/>
    <cellStyle name="Normal 12 2 4 3 2 7" xfId="6265" xr:uid="{00000000-0005-0000-0000-000071180000}"/>
    <cellStyle name="Normal 12 2 4 3 2 7 2" xfId="6266" xr:uid="{00000000-0005-0000-0000-000072180000}"/>
    <cellStyle name="Normal 12 2 4 3 2 7 3" xfId="6267" xr:uid="{00000000-0005-0000-0000-000073180000}"/>
    <cellStyle name="Normal 12 2 4 3 2 8" xfId="6268" xr:uid="{00000000-0005-0000-0000-000074180000}"/>
    <cellStyle name="Normal 12 2 4 3 2 9" xfId="6269" xr:uid="{00000000-0005-0000-0000-000075180000}"/>
    <cellStyle name="Normal 12 2 4 3 3" xfId="6270" xr:uid="{00000000-0005-0000-0000-000076180000}"/>
    <cellStyle name="Normal 12 2 4 3 3 2" xfId="6271" xr:uid="{00000000-0005-0000-0000-000077180000}"/>
    <cellStyle name="Normal 12 2 4 3 3 3" xfId="6272" xr:uid="{00000000-0005-0000-0000-000078180000}"/>
    <cellStyle name="Normal 12 2 4 3 4" xfId="6273" xr:uid="{00000000-0005-0000-0000-000079180000}"/>
    <cellStyle name="Normal 12 2 4 3 4 2" xfId="6274" xr:uid="{00000000-0005-0000-0000-00007A180000}"/>
    <cellStyle name="Normal 12 2 4 3 4 3" xfId="6275" xr:uid="{00000000-0005-0000-0000-00007B180000}"/>
    <cellStyle name="Normal 12 2 4 3 5" xfId="6276" xr:uid="{00000000-0005-0000-0000-00007C180000}"/>
    <cellStyle name="Normal 12 2 4 3 5 2" xfId="6277" xr:uid="{00000000-0005-0000-0000-00007D180000}"/>
    <cellStyle name="Normal 12 2 4 3 5 3" xfId="6278" xr:uid="{00000000-0005-0000-0000-00007E180000}"/>
    <cellStyle name="Normal 12 2 4 3 6" xfId="6279" xr:uid="{00000000-0005-0000-0000-00007F180000}"/>
    <cellStyle name="Normal 12 2 4 3 6 2" xfId="6280" xr:uid="{00000000-0005-0000-0000-000080180000}"/>
    <cellStyle name="Normal 12 2 4 3 6 3" xfId="6281" xr:uid="{00000000-0005-0000-0000-000081180000}"/>
    <cellStyle name="Normal 12 2 4 3 7" xfId="6282" xr:uid="{00000000-0005-0000-0000-000082180000}"/>
    <cellStyle name="Normal 12 2 4 3 7 2" xfId="6283" xr:uid="{00000000-0005-0000-0000-000083180000}"/>
    <cellStyle name="Normal 12 2 4 3 7 3" xfId="6284" xr:uid="{00000000-0005-0000-0000-000084180000}"/>
    <cellStyle name="Normal 12 2 4 3 8" xfId="6285" xr:uid="{00000000-0005-0000-0000-000085180000}"/>
    <cellStyle name="Normal 12 2 4 3 8 2" xfId="6286" xr:uid="{00000000-0005-0000-0000-000086180000}"/>
    <cellStyle name="Normal 12 2 4 3 8 3" xfId="6287" xr:uid="{00000000-0005-0000-0000-000087180000}"/>
    <cellStyle name="Normal 12 2 4 3 9" xfId="6288" xr:uid="{00000000-0005-0000-0000-000088180000}"/>
    <cellStyle name="Normal 12 2 4 4" xfId="6289" xr:uid="{00000000-0005-0000-0000-000089180000}"/>
    <cellStyle name="Normal 12 2 4 4 2" xfId="6290" xr:uid="{00000000-0005-0000-0000-00008A180000}"/>
    <cellStyle name="Normal 12 2 4 4 2 2" xfId="6291" xr:uid="{00000000-0005-0000-0000-00008B180000}"/>
    <cellStyle name="Normal 12 2 4 4 2 3" xfId="6292" xr:uid="{00000000-0005-0000-0000-00008C180000}"/>
    <cellStyle name="Normal 12 2 4 4 3" xfId="6293" xr:uid="{00000000-0005-0000-0000-00008D180000}"/>
    <cellStyle name="Normal 12 2 4 4 3 2" xfId="6294" xr:uid="{00000000-0005-0000-0000-00008E180000}"/>
    <cellStyle name="Normal 12 2 4 4 3 3" xfId="6295" xr:uid="{00000000-0005-0000-0000-00008F180000}"/>
    <cellStyle name="Normal 12 2 4 4 4" xfId="6296" xr:uid="{00000000-0005-0000-0000-000090180000}"/>
    <cellStyle name="Normal 12 2 4 4 4 2" xfId="6297" xr:uid="{00000000-0005-0000-0000-000091180000}"/>
    <cellStyle name="Normal 12 2 4 4 4 3" xfId="6298" xr:uid="{00000000-0005-0000-0000-000092180000}"/>
    <cellStyle name="Normal 12 2 4 4 5" xfId="6299" xr:uid="{00000000-0005-0000-0000-000093180000}"/>
    <cellStyle name="Normal 12 2 4 4 5 2" xfId="6300" xr:uid="{00000000-0005-0000-0000-000094180000}"/>
    <cellStyle name="Normal 12 2 4 4 5 3" xfId="6301" xr:uid="{00000000-0005-0000-0000-000095180000}"/>
    <cellStyle name="Normal 12 2 4 4 6" xfId="6302" xr:uid="{00000000-0005-0000-0000-000096180000}"/>
    <cellStyle name="Normal 12 2 4 4 6 2" xfId="6303" xr:uid="{00000000-0005-0000-0000-000097180000}"/>
    <cellStyle name="Normal 12 2 4 4 6 3" xfId="6304" xr:uid="{00000000-0005-0000-0000-000098180000}"/>
    <cellStyle name="Normal 12 2 4 4 7" xfId="6305" xr:uid="{00000000-0005-0000-0000-000099180000}"/>
    <cellStyle name="Normal 12 2 4 4 7 2" xfId="6306" xr:uid="{00000000-0005-0000-0000-00009A180000}"/>
    <cellStyle name="Normal 12 2 4 4 7 3" xfId="6307" xr:uid="{00000000-0005-0000-0000-00009B180000}"/>
    <cellStyle name="Normal 12 2 4 4 8" xfId="6308" xr:uid="{00000000-0005-0000-0000-00009C180000}"/>
    <cellStyle name="Normal 12 2 4 4 9" xfId="6309" xr:uid="{00000000-0005-0000-0000-00009D180000}"/>
    <cellStyle name="Normal 12 2 4 5" xfId="6310" xr:uid="{00000000-0005-0000-0000-00009E180000}"/>
    <cellStyle name="Normal 12 2 4 5 2" xfId="6311" xr:uid="{00000000-0005-0000-0000-00009F180000}"/>
    <cellStyle name="Normal 12 2 4 5 3" xfId="6312" xr:uid="{00000000-0005-0000-0000-0000A0180000}"/>
    <cellStyle name="Normal 12 2 4 6" xfId="6313" xr:uid="{00000000-0005-0000-0000-0000A1180000}"/>
    <cellStyle name="Normal 12 2 4 6 2" xfId="6314" xr:uid="{00000000-0005-0000-0000-0000A2180000}"/>
    <cellStyle name="Normal 12 2 4 6 3" xfId="6315" xr:uid="{00000000-0005-0000-0000-0000A3180000}"/>
    <cellStyle name="Normal 12 2 4 7" xfId="6316" xr:uid="{00000000-0005-0000-0000-0000A4180000}"/>
    <cellStyle name="Normal 12 2 4 7 2" xfId="6317" xr:uid="{00000000-0005-0000-0000-0000A5180000}"/>
    <cellStyle name="Normal 12 2 4 7 3" xfId="6318" xr:uid="{00000000-0005-0000-0000-0000A6180000}"/>
    <cellStyle name="Normal 12 2 4 8" xfId="6319" xr:uid="{00000000-0005-0000-0000-0000A7180000}"/>
    <cellStyle name="Normal 12 2 4 8 2" xfId="6320" xr:uid="{00000000-0005-0000-0000-0000A8180000}"/>
    <cellStyle name="Normal 12 2 4 8 3" xfId="6321" xr:uid="{00000000-0005-0000-0000-0000A9180000}"/>
    <cellStyle name="Normal 12 2 4 9" xfId="6322" xr:uid="{00000000-0005-0000-0000-0000AA180000}"/>
    <cellStyle name="Normal 12 2 4 9 2" xfId="6323" xr:uid="{00000000-0005-0000-0000-0000AB180000}"/>
    <cellStyle name="Normal 12 2 4 9 3" xfId="6324" xr:uid="{00000000-0005-0000-0000-0000AC180000}"/>
    <cellStyle name="Normal 12 2 5" xfId="6325" xr:uid="{00000000-0005-0000-0000-0000AD180000}"/>
    <cellStyle name="Normal 12 2 5 10" xfId="6326" xr:uid="{00000000-0005-0000-0000-0000AE180000}"/>
    <cellStyle name="Normal 12 2 5 2" xfId="6327" xr:uid="{00000000-0005-0000-0000-0000AF180000}"/>
    <cellStyle name="Normal 12 2 5 2 2" xfId="6328" xr:uid="{00000000-0005-0000-0000-0000B0180000}"/>
    <cellStyle name="Normal 12 2 5 2 2 2" xfId="6329" xr:uid="{00000000-0005-0000-0000-0000B1180000}"/>
    <cellStyle name="Normal 12 2 5 2 2 3" xfId="6330" xr:uid="{00000000-0005-0000-0000-0000B2180000}"/>
    <cellStyle name="Normal 12 2 5 2 3" xfId="6331" xr:uid="{00000000-0005-0000-0000-0000B3180000}"/>
    <cellStyle name="Normal 12 2 5 2 3 2" xfId="6332" xr:uid="{00000000-0005-0000-0000-0000B4180000}"/>
    <cellStyle name="Normal 12 2 5 2 3 3" xfId="6333" xr:uid="{00000000-0005-0000-0000-0000B5180000}"/>
    <cellStyle name="Normal 12 2 5 2 4" xfId="6334" xr:uid="{00000000-0005-0000-0000-0000B6180000}"/>
    <cellStyle name="Normal 12 2 5 2 4 2" xfId="6335" xr:uid="{00000000-0005-0000-0000-0000B7180000}"/>
    <cellStyle name="Normal 12 2 5 2 4 3" xfId="6336" xr:uid="{00000000-0005-0000-0000-0000B8180000}"/>
    <cellStyle name="Normal 12 2 5 2 5" xfId="6337" xr:uid="{00000000-0005-0000-0000-0000B9180000}"/>
    <cellStyle name="Normal 12 2 5 2 5 2" xfId="6338" xr:uid="{00000000-0005-0000-0000-0000BA180000}"/>
    <cellStyle name="Normal 12 2 5 2 5 3" xfId="6339" xr:uid="{00000000-0005-0000-0000-0000BB180000}"/>
    <cellStyle name="Normal 12 2 5 2 6" xfId="6340" xr:uid="{00000000-0005-0000-0000-0000BC180000}"/>
    <cellStyle name="Normal 12 2 5 2 6 2" xfId="6341" xr:uid="{00000000-0005-0000-0000-0000BD180000}"/>
    <cellStyle name="Normal 12 2 5 2 6 3" xfId="6342" xr:uid="{00000000-0005-0000-0000-0000BE180000}"/>
    <cellStyle name="Normal 12 2 5 2 7" xfId="6343" xr:uid="{00000000-0005-0000-0000-0000BF180000}"/>
    <cellStyle name="Normal 12 2 5 2 7 2" xfId="6344" xr:uid="{00000000-0005-0000-0000-0000C0180000}"/>
    <cellStyle name="Normal 12 2 5 2 7 3" xfId="6345" xr:uid="{00000000-0005-0000-0000-0000C1180000}"/>
    <cellStyle name="Normal 12 2 5 2 8" xfId="6346" xr:uid="{00000000-0005-0000-0000-0000C2180000}"/>
    <cellStyle name="Normal 12 2 5 2 9" xfId="6347" xr:uid="{00000000-0005-0000-0000-0000C3180000}"/>
    <cellStyle name="Normal 12 2 5 3" xfId="6348" xr:uid="{00000000-0005-0000-0000-0000C4180000}"/>
    <cellStyle name="Normal 12 2 5 3 2" xfId="6349" xr:uid="{00000000-0005-0000-0000-0000C5180000}"/>
    <cellStyle name="Normal 12 2 5 3 3" xfId="6350" xr:uid="{00000000-0005-0000-0000-0000C6180000}"/>
    <cellStyle name="Normal 12 2 5 4" xfId="6351" xr:uid="{00000000-0005-0000-0000-0000C7180000}"/>
    <cellStyle name="Normal 12 2 5 4 2" xfId="6352" xr:uid="{00000000-0005-0000-0000-0000C8180000}"/>
    <cellStyle name="Normal 12 2 5 4 3" xfId="6353" xr:uid="{00000000-0005-0000-0000-0000C9180000}"/>
    <cellStyle name="Normal 12 2 5 5" xfId="6354" xr:uid="{00000000-0005-0000-0000-0000CA180000}"/>
    <cellStyle name="Normal 12 2 5 5 2" xfId="6355" xr:uid="{00000000-0005-0000-0000-0000CB180000}"/>
    <cellStyle name="Normal 12 2 5 5 3" xfId="6356" xr:uid="{00000000-0005-0000-0000-0000CC180000}"/>
    <cellStyle name="Normal 12 2 5 6" xfId="6357" xr:uid="{00000000-0005-0000-0000-0000CD180000}"/>
    <cellStyle name="Normal 12 2 5 6 2" xfId="6358" xr:uid="{00000000-0005-0000-0000-0000CE180000}"/>
    <cellStyle name="Normal 12 2 5 6 3" xfId="6359" xr:uid="{00000000-0005-0000-0000-0000CF180000}"/>
    <cellStyle name="Normal 12 2 5 7" xfId="6360" xr:uid="{00000000-0005-0000-0000-0000D0180000}"/>
    <cellStyle name="Normal 12 2 5 7 2" xfId="6361" xr:uid="{00000000-0005-0000-0000-0000D1180000}"/>
    <cellStyle name="Normal 12 2 5 7 3" xfId="6362" xr:uid="{00000000-0005-0000-0000-0000D2180000}"/>
    <cellStyle name="Normal 12 2 5 8" xfId="6363" xr:uid="{00000000-0005-0000-0000-0000D3180000}"/>
    <cellStyle name="Normal 12 2 5 8 2" xfId="6364" xr:uid="{00000000-0005-0000-0000-0000D4180000}"/>
    <cellStyle name="Normal 12 2 5 8 3" xfId="6365" xr:uid="{00000000-0005-0000-0000-0000D5180000}"/>
    <cellStyle name="Normal 12 2 5 9" xfId="6366" xr:uid="{00000000-0005-0000-0000-0000D6180000}"/>
    <cellStyle name="Normal 12 2 6" xfId="6367" xr:uid="{00000000-0005-0000-0000-0000D7180000}"/>
    <cellStyle name="Normal 12 2 6 10" xfId="6368" xr:uid="{00000000-0005-0000-0000-0000D8180000}"/>
    <cellStyle name="Normal 12 2 6 2" xfId="6369" xr:uid="{00000000-0005-0000-0000-0000D9180000}"/>
    <cellStyle name="Normal 12 2 6 2 2" xfId="6370" xr:uid="{00000000-0005-0000-0000-0000DA180000}"/>
    <cellStyle name="Normal 12 2 6 2 2 2" xfId="6371" xr:uid="{00000000-0005-0000-0000-0000DB180000}"/>
    <cellStyle name="Normal 12 2 6 2 2 3" xfId="6372" xr:uid="{00000000-0005-0000-0000-0000DC180000}"/>
    <cellStyle name="Normal 12 2 6 2 3" xfId="6373" xr:uid="{00000000-0005-0000-0000-0000DD180000}"/>
    <cellStyle name="Normal 12 2 6 2 3 2" xfId="6374" xr:uid="{00000000-0005-0000-0000-0000DE180000}"/>
    <cellStyle name="Normal 12 2 6 2 3 3" xfId="6375" xr:uid="{00000000-0005-0000-0000-0000DF180000}"/>
    <cellStyle name="Normal 12 2 6 2 4" xfId="6376" xr:uid="{00000000-0005-0000-0000-0000E0180000}"/>
    <cellStyle name="Normal 12 2 6 2 4 2" xfId="6377" xr:uid="{00000000-0005-0000-0000-0000E1180000}"/>
    <cellStyle name="Normal 12 2 6 2 4 3" xfId="6378" xr:uid="{00000000-0005-0000-0000-0000E2180000}"/>
    <cellStyle name="Normal 12 2 6 2 5" xfId="6379" xr:uid="{00000000-0005-0000-0000-0000E3180000}"/>
    <cellStyle name="Normal 12 2 6 2 5 2" xfId="6380" xr:uid="{00000000-0005-0000-0000-0000E4180000}"/>
    <cellStyle name="Normal 12 2 6 2 5 3" xfId="6381" xr:uid="{00000000-0005-0000-0000-0000E5180000}"/>
    <cellStyle name="Normal 12 2 6 2 6" xfId="6382" xr:uid="{00000000-0005-0000-0000-0000E6180000}"/>
    <cellStyle name="Normal 12 2 6 2 6 2" xfId="6383" xr:uid="{00000000-0005-0000-0000-0000E7180000}"/>
    <cellStyle name="Normal 12 2 6 2 6 3" xfId="6384" xr:uid="{00000000-0005-0000-0000-0000E8180000}"/>
    <cellStyle name="Normal 12 2 6 2 7" xfId="6385" xr:uid="{00000000-0005-0000-0000-0000E9180000}"/>
    <cellStyle name="Normal 12 2 6 2 7 2" xfId="6386" xr:uid="{00000000-0005-0000-0000-0000EA180000}"/>
    <cellStyle name="Normal 12 2 6 2 7 3" xfId="6387" xr:uid="{00000000-0005-0000-0000-0000EB180000}"/>
    <cellStyle name="Normal 12 2 6 2 8" xfId="6388" xr:uid="{00000000-0005-0000-0000-0000EC180000}"/>
    <cellStyle name="Normal 12 2 6 2 9" xfId="6389" xr:uid="{00000000-0005-0000-0000-0000ED180000}"/>
    <cellStyle name="Normal 12 2 6 3" xfId="6390" xr:uid="{00000000-0005-0000-0000-0000EE180000}"/>
    <cellStyle name="Normal 12 2 6 3 2" xfId="6391" xr:uid="{00000000-0005-0000-0000-0000EF180000}"/>
    <cellStyle name="Normal 12 2 6 3 3" xfId="6392" xr:uid="{00000000-0005-0000-0000-0000F0180000}"/>
    <cellStyle name="Normal 12 2 6 4" xfId="6393" xr:uid="{00000000-0005-0000-0000-0000F1180000}"/>
    <cellStyle name="Normal 12 2 6 4 2" xfId="6394" xr:uid="{00000000-0005-0000-0000-0000F2180000}"/>
    <cellStyle name="Normal 12 2 6 4 3" xfId="6395" xr:uid="{00000000-0005-0000-0000-0000F3180000}"/>
    <cellStyle name="Normal 12 2 6 5" xfId="6396" xr:uid="{00000000-0005-0000-0000-0000F4180000}"/>
    <cellStyle name="Normal 12 2 6 5 2" xfId="6397" xr:uid="{00000000-0005-0000-0000-0000F5180000}"/>
    <cellStyle name="Normal 12 2 6 5 3" xfId="6398" xr:uid="{00000000-0005-0000-0000-0000F6180000}"/>
    <cellStyle name="Normal 12 2 6 6" xfId="6399" xr:uid="{00000000-0005-0000-0000-0000F7180000}"/>
    <cellStyle name="Normal 12 2 6 6 2" xfId="6400" xr:uid="{00000000-0005-0000-0000-0000F8180000}"/>
    <cellStyle name="Normal 12 2 6 6 3" xfId="6401" xr:uid="{00000000-0005-0000-0000-0000F9180000}"/>
    <cellStyle name="Normal 12 2 6 7" xfId="6402" xr:uid="{00000000-0005-0000-0000-0000FA180000}"/>
    <cellStyle name="Normal 12 2 6 7 2" xfId="6403" xr:uid="{00000000-0005-0000-0000-0000FB180000}"/>
    <cellStyle name="Normal 12 2 6 7 3" xfId="6404" xr:uid="{00000000-0005-0000-0000-0000FC180000}"/>
    <cellStyle name="Normal 12 2 6 8" xfId="6405" xr:uid="{00000000-0005-0000-0000-0000FD180000}"/>
    <cellStyle name="Normal 12 2 6 8 2" xfId="6406" xr:uid="{00000000-0005-0000-0000-0000FE180000}"/>
    <cellStyle name="Normal 12 2 6 8 3" xfId="6407" xr:uid="{00000000-0005-0000-0000-0000FF180000}"/>
    <cellStyle name="Normal 12 2 6 9" xfId="6408" xr:uid="{00000000-0005-0000-0000-000000190000}"/>
    <cellStyle name="Normal 12 2 7" xfId="6409" xr:uid="{00000000-0005-0000-0000-000001190000}"/>
    <cellStyle name="Normal 12 2 7 2" xfId="6410" xr:uid="{00000000-0005-0000-0000-000002190000}"/>
    <cellStyle name="Normal 12 2 7 2 2" xfId="6411" xr:uid="{00000000-0005-0000-0000-000003190000}"/>
    <cellStyle name="Normal 12 2 7 2 3" xfId="6412" xr:uid="{00000000-0005-0000-0000-000004190000}"/>
    <cellStyle name="Normal 12 2 7 3" xfId="6413" xr:uid="{00000000-0005-0000-0000-000005190000}"/>
    <cellStyle name="Normal 12 2 7 3 2" xfId="6414" xr:uid="{00000000-0005-0000-0000-000006190000}"/>
    <cellStyle name="Normal 12 2 7 3 3" xfId="6415" xr:uid="{00000000-0005-0000-0000-000007190000}"/>
    <cellStyle name="Normal 12 2 7 4" xfId="6416" xr:uid="{00000000-0005-0000-0000-000008190000}"/>
    <cellStyle name="Normal 12 2 7 4 2" xfId="6417" xr:uid="{00000000-0005-0000-0000-000009190000}"/>
    <cellStyle name="Normal 12 2 7 4 3" xfId="6418" xr:uid="{00000000-0005-0000-0000-00000A190000}"/>
    <cellStyle name="Normal 12 2 7 5" xfId="6419" xr:uid="{00000000-0005-0000-0000-00000B190000}"/>
    <cellStyle name="Normal 12 2 7 5 2" xfId="6420" xr:uid="{00000000-0005-0000-0000-00000C190000}"/>
    <cellStyle name="Normal 12 2 7 5 3" xfId="6421" xr:uid="{00000000-0005-0000-0000-00000D190000}"/>
    <cellStyle name="Normal 12 2 7 6" xfId="6422" xr:uid="{00000000-0005-0000-0000-00000E190000}"/>
    <cellStyle name="Normal 12 2 7 6 2" xfId="6423" xr:uid="{00000000-0005-0000-0000-00000F190000}"/>
    <cellStyle name="Normal 12 2 7 6 3" xfId="6424" xr:uid="{00000000-0005-0000-0000-000010190000}"/>
    <cellStyle name="Normal 12 2 7 7" xfId="6425" xr:uid="{00000000-0005-0000-0000-000011190000}"/>
    <cellStyle name="Normal 12 2 7 7 2" xfId="6426" xr:uid="{00000000-0005-0000-0000-000012190000}"/>
    <cellStyle name="Normal 12 2 7 7 3" xfId="6427" xr:uid="{00000000-0005-0000-0000-000013190000}"/>
    <cellStyle name="Normal 12 2 7 8" xfId="6428" xr:uid="{00000000-0005-0000-0000-000014190000}"/>
    <cellStyle name="Normal 12 2 7 9" xfId="6429" xr:uid="{00000000-0005-0000-0000-000015190000}"/>
    <cellStyle name="Normal 12 2 8" xfId="6430" xr:uid="{00000000-0005-0000-0000-000016190000}"/>
    <cellStyle name="Normal 12 2 8 2" xfId="6431" xr:uid="{00000000-0005-0000-0000-000017190000}"/>
    <cellStyle name="Normal 12 2 8 3" xfId="6432" xr:uid="{00000000-0005-0000-0000-000018190000}"/>
    <cellStyle name="Normal 12 2 9" xfId="6433" xr:uid="{00000000-0005-0000-0000-000019190000}"/>
    <cellStyle name="Normal 12 2 9 2" xfId="6434" xr:uid="{00000000-0005-0000-0000-00001A190000}"/>
    <cellStyle name="Normal 12 2 9 3" xfId="6435" xr:uid="{00000000-0005-0000-0000-00001B190000}"/>
    <cellStyle name="Normal 12 3" xfId="6436" xr:uid="{00000000-0005-0000-0000-00001C190000}"/>
    <cellStyle name="Normal 12 3 10" xfId="6437" xr:uid="{00000000-0005-0000-0000-00001D190000}"/>
    <cellStyle name="Normal 12 3 10 2" xfId="6438" xr:uid="{00000000-0005-0000-0000-00001E190000}"/>
    <cellStyle name="Normal 12 3 10 3" xfId="6439" xr:uid="{00000000-0005-0000-0000-00001F190000}"/>
    <cellStyle name="Normal 12 3 11" xfId="6440" xr:uid="{00000000-0005-0000-0000-000020190000}"/>
    <cellStyle name="Normal 12 3 11 2" xfId="6441" xr:uid="{00000000-0005-0000-0000-000021190000}"/>
    <cellStyle name="Normal 12 3 11 3" xfId="6442" xr:uid="{00000000-0005-0000-0000-000022190000}"/>
    <cellStyle name="Normal 12 3 12" xfId="6443" xr:uid="{00000000-0005-0000-0000-000023190000}"/>
    <cellStyle name="Normal 12 3 12 2" xfId="6444" xr:uid="{00000000-0005-0000-0000-000024190000}"/>
    <cellStyle name="Normal 12 3 12 3" xfId="6445" xr:uid="{00000000-0005-0000-0000-000025190000}"/>
    <cellStyle name="Normal 12 3 13" xfId="6446" xr:uid="{00000000-0005-0000-0000-000026190000}"/>
    <cellStyle name="Normal 12 3 14" xfId="6447" xr:uid="{00000000-0005-0000-0000-000027190000}"/>
    <cellStyle name="Normal 12 3 2" xfId="6448" xr:uid="{00000000-0005-0000-0000-000028190000}"/>
    <cellStyle name="Normal 12 3 2 10" xfId="6449" xr:uid="{00000000-0005-0000-0000-000029190000}"/>
    <cellStyle name="Normal 12 3 2 10 2" xfId="6450" xr:uid="{00000000-0005-0000-0000-00002A190000}"/>
    <cellStyle name="Normal 12 3 2 10 3" xfId="6451" xr:uid="{00000000-0005-0000-0000-00002B190000}"/>
    <cellStyle name="Normal 12 3 2 11" xfId="6452" xr:uid="{00000000-0005-0000-0000-00002C190000}"/>
    <cellStyle name="Normal 12 3 2 11 2" xfId="6453" xr:uid="{00000000-0005-0000-0000-00002D190000}"/>
    <cellStyle name="Normal 12 3 2 11 3" xfId="6454" xr:uid="{00000000-0005-0000-0000-00002E190000}"/>
    <cellStyle name="Normal 12 3 2 12" xfId="6455" xr:uid="{00000000-0005-0000-0000-00002F190000}"/>
    <cellStyle name="Normal 12 3 2 13" xfId="6456" xr:uid="{00000000-0005-0000-0000-000030190000}"/>
    <cellStyle name="Normal 12 3 2 2" xfId="6457" xr:uid="{00000000-0005-0000-0000-000031190000}"/>
    <cellStyle name="Normal 12 3 2 2 10" xfId="6458" xr:uid="{00000000-0005-0000-0000-000032190000}"/>
    <cellStyle name="Normal 12 3 2 2 10 2" xfId="6459" xr:uid="{00000000-0005-0000-0000-000033190000}"/>
    <cellStyle name="Normal 12 3 2 2 10 3" xfId="6460" xr:uid="{00000000-0005-0000-0000-000034190000}"/>
    <cellStyle name="Normal 12 3 2 2 11" xfId="6461" xr:uid="{00000000-0005-0000-0000-000035190000}"/>
    <cellStyle name="Normal 12 3 2 2 12" xfId="6462" xr:uid="{00000000-0005-0000-0000-000036190000}"/>
    <cellStyle name="Normal 12 3 2 2 2" xfId="6463" xr:uid="{00000000-0005-0000-0000-000037190000}"/>
    <cellStyle name="Normal 12 3 2 2 2 10" xfId="6464" xr:uid="{00000000-0005-0000-0000-000038190000}"/>
    <cellStyle name="Normal 12 3 2 2 2 2" xfId="6465" xr:uid="{00000000-0005-0000-0000-000039190000}"/>
    <cellStyle name="Normal 12 3 2 2 2 2 2" xfId="6466" xr:uid="{00000000-0005-0000-0000-00003A190000}"/>
    <cellStyle name="Normal 12 3 2 2 2 2 2 2" xfId="6467" xr:uid="{00000000-0005-0000-0000-00003B190000}"/>
    <cellStyle name="Normal 12 3 2 2 2 2 2 3" xfId="6468" xr:uid="{00000000-0005-0000-0000-00003C190000}"/>
    <cellStyle name="Normal 12 3 2 2 2 2 3" xfId="6469" xr:uid="{00000000-0005-0000-0000-00003D190000}"/>
    <cellStyle name="Normal 12 3 2 2 2 2 3 2" xfId="6470" xr:uid="{00000000-0005-0000-0000-00003E190000}"/>
    <cellStyle name="Normal 12 3 2 2 2 2 3 3" xfId="6471" xr:uid="{00000000-0005-0000-0000-00003F190000}"/>
    <cellStyle name="Normal 12 3 2 2 2 2 4" xfId="6472" xr:uid="{00000000-0005-0000-0000-000040190000}"/>
    <cellStyle name="Normal 12 3 2 2 2 2 4 2" xfId="6473" xr:uid="{00000000-0005-0000-0000-000041190000}"/>
    <cellStyle name="Normal 12 3 2 2 2 2 4 3" xfId="6474" xr:uid="{00000000-0005-0000-0000-000042190000}"/>
    <cellStyle name="Normal 12 3 2 2 2 2 5" xfId="6475" xr:uid="{00000000-0005-0000-0000-000043190000}"/>
    <cellStyle name="Normal 12 3 2 2 2 2 5 2" xfId="6476" xr:uid="{00000000-0005-0000-0000-000044190000}"/>
    <cellStyle name="Normal 12 3 2 2 2 2 5 3" xfId="6477" xr:uid="{00000000-0005-0000-0000-000045190000}"/>
    <cellStyle name="Normal 12 3 2 2 2 2 6" xfId="6478" xr:uid="{00000000-0005-0000-0000-000046190000}"/>
    <cellStyle name="Normal 12 3 2 2 2 2 6 2" xfId="6479" xr:uid="{00000000-0005-0000-0000-000047190000}"/>
    <cellStyle name="Normal 12 3 2 2 2 2 6 3" xfId="6480" xr:uid="{00000000-0005-0000-0000-000048190000}"/>
    <cellStyle name="Normal 12 3 2 2 2 2 7" xfId="6481" xr:uid="{00000000-0005-0000-0000-000049190000}"/>
    <cellStyle name="Normal 12 3 2 2 2 2 7 2" xfId="6482" xr:uid="{00000000-0005-0000-0000-00004A190000}"/>
    <cellStyle name="Normal 12 3 2 2 2 2 7 3" xfId="6483" xr:uid="{00000000-0005-0000-0000-00004B190000}"/>
    <cellStyle name="Normal 12 3 2 2 2 2 8" xfId="6484" xr:uid="{00000000-0005-0000-0000-00004C190000}"/>
    <cellStyle name="Normal 12 3 2 2 2 2 9" xfId="6485" xr:uid="{00000000-0005-0000-0000-00004D190000}"/>
    <cellStyle name="Normal 12 3 2 2 2 3" xfId="6486" xr:uid="{00000000-0005-0000-0000-00004E190000}"/>
    <cellStyle name="Normal 12 3 2 2 2 3 2" xfId="6487" xr:uid="{00000000-0005-0000-0000-00004F190000}"/>
    <cellStyle name="Normal 12 3 2 2 2 3 3" xfId="6488" xr:uid="{00000000-0005-0000-0000-000050190000}"/>
    <cellStyle name="Normal 12 3 2 2 2 4" xfId="6489" xr:uid="{00000000-0005-0000-0000-000051190000}"/>
    <cellStyle name="Normal 12 3 2 2 2 4 2" xfId="6490" xr:uid="{00000000-0005-0000-0000-000052190000}"/>
    <cellStyle name="Normal 12 3 2 2 2 4 3" xfId="6491" xr:uid="{00000000-0005-0000-0000-000053190000}"/>
    <cellStyle name="Normal 12 3 2 2 2 5" xfId="6492" xr:uid="{00000000-0005-0000-0000-000054190000}"/>
    <cellStyle name="Normal 12 3 2 2 2 5 2" xfId="6493" xr:uid="{00000000-0005-0000-0000-000055190000}"/>
    <cellStyle name="Normal 12 3 2 2 2 5 3" xfId="6494" xr:uid="{00000000-0005-0000-0000-000056190000}"/>
    <cellStyle name="Normal 12 3 2 2 2 6" xfId="6495" xr:uid="{00000000-0005-0000-0000-000057190000}"/>
    <cellStyle name="Normal 12 3 2 2 2 6 2" xfId="6496" xr:uid="{00000000-0005-0000-0000-000058190000}"/>
    <cellStyle name="Normal 12 3 2 2 2 6 3" xfId="6497" xr:uid="{00000000-0005-0000-0000-000059190000}"/>
    <cellStyle name="Normal 12 3 2 2 2 7" xfId="6498" xr:uid="{00000000-0005-0000-0000-00005A190000}"/>
    <cellStyle name="Normal 12 3 2 2 2 7 2" xfId="6499" xr:uid="{00000000-0005-0000-0000-00005B190000}"/>
    <cellStyle name="Normal 12 3 2 2 2 7 3" xfId="6500" xr:uid="{00000000-0005-0000-0000-00005C190000}"/>
    <cellStyle name="Normal 12 3 2 2 2 8" xfId="6501" xr:uid="{00000000-0005-0000-0000-00005D190000}"/>
    <cellStyle name="Normal 12 3 2 2 2 8 2" xfId="6502" xr:uid="{00000000-0005-0000-0000-00005E190000}"/>
    <cellStyle name="Normal 12 3 2 2 2 8 3" xfId="6503" xr:uid="{00000000-0005-0000-0000-00005F190000}"/>
    <cellStyle name="Normal 12 3 2 2 2 9" xfId="6504" xr:uid="{00000000-0005-0000-0000-000060190000}"/>
    <cellStyle name="Normal 12 3 2 2 3" xfId="6505" xr:uid="{00000000-0005-0000-0000-000061190000}"/>
    <cellStyle name="Normal 12 3 2 2 3 10" xfId="6506" xr:uid="{00000000-0005-0000-0000-000062190000}"/>
    <cellStyle name="Normal 12 3 2 2 3 2" xfId="6507" xr:uid="{00000000-0005-0000-0000-000063190000}"/>
    <cellStyle name="Normal 12 3 2 2 3 2 2" xfId="6508" xr:uid="{00000000-0005-0000-0000-000064190000}"/>
    <cellStyle name="Normal 12 3 2 2 3 2 2 2" xfId="6509" xr:uid="{00000000-0005-0000-0000-000065190000}"/>
    <cellStyle name="Normal 12 3 2 2 3 2 2 3" xfId="6510" xr:uid="{00000000-0005-0000-0000-000066190000}"/>
    <cellStyle name="Normal 12 3 2 2 3 2 3" xfId="6511" xr:uid="{00000000-0005-0000-0000-000067190000}"/>
    <cellStyle name="Normal 12 3 2 2 3 2 3 2" xfId="6512" xr:uid="{00000000-0005-0000-0000-000068190000}"/>
    <cellStyle name="Normal 12 3 2 2 3 2 3 3" xfId="6513" xr:uid="{00000000-0005-0000-0000-000069190000}"/>
    <cellStyle name="Normal 12 3 2 2 3 2 4" xfId="6514" xr:uid="{00000000-0005-0000-0000-00006A190000}"/>
    <cellStyle name="Normal 12 3 2 2 3 2 4 2" xfId="6515" xr:uid="{00000000-0005-0000-0000-00006B190000}"/>
    <cellStyle name="Normal 12 3 2 2 3 2 4 3" xfId="6516" xr:uid="{00000000-0005-0000-0000-00006C190000}"/>
    <cellStyle name="Normal 12 3 2 2 3 2 5" xfId="6517" xr:uid="{00000000-0005-0000-0000-00006D190000}"/>
    <cellStyle name="Normal 12 3 2 2 3 2 5 2" xfId="6518" xr:uid="{00000000-0005-0000-0000-00006E190000}"/>
    <cellStyle name="Normal 12 3 2 2 3 2 5 3" xfId="6519" xr:uid="{00000000-0005-0000-0000-00006F190000}"/>
    <cellStyle name="Normal 12 3 2 2 3 2 6" xfId="6520" xr:uid="{00000000-0005-0000-0000-000070190000}"/>
    <cellStyle name="Normal 12 3 2 2 3 2 6 2" xfId="6521" xr:uid="{00000000-0005-0000-0000-000071190000}"/>
    <cellStyle name="Normal 12 3 2 2 3 2 6 3" xfId="6522" xr:uid="{00000000-0005-0000-0000-000072190000}"/>
    <cellStyle name="Normal 12 3 2 2 3 2 7" xfId="6523" xr:uid="{00000000-0005-0000-0000-000073190000}"/>
    <cellStyle name="Normal 12 3 2 2 3 2 7 2" xfId="6524" xr:uid="{00000000-0005-0000-0000-000074190000}"/>
    <cellStyle name="Normal 12 3 2 2 3 2 7 3" xfId="6525" xr:uid="{00000000-0005-0000-0000-000075190000}"/>
    <cellStyle name="Normal 12 3 2 2 3 2 8" xfId="6526" xr:uid="{00000000-0005-0000-0000-000076190000}"/>
    <cellStyle name="Normal 12 3 2 2 3 2 9" xfId="6527" xr:uid="{00000000-0005-0000-0000-000077190000}"/>
    <cellStyle name="Normal 12 3 2 2 3 3" xfId="6528" xr:uid="{00000000-0005-0000-0000-000078190000}"/>
    <cellStyle name="Normal 12 3 2 2 3 3 2" xfId="6529" xr:uid="{00000000-0005-0000-0000-000079190000}"/>
    <cellStyle name="Normal 12 3 2 2 3 3 3" xfId="6530" xr:uid="{00000000-0005-0000-0000-00007A190000}"/>
    <cellStyle name="Normal 12 3 2 2 3 4" xfId="6531" xr:uid="{00000000-0005-0000-0000-00007B190000}"/>
    <cellStyle name="Normal 12 3 2 2 3 4 2" xfId="6532" xr:uid="{00000000-0005-0000-0000-00007C190000}"/>
    <cellStyle name="Normal 12 3 2 2 3 4 3" xfId="6533" xr:uid="{00000000-0005-0000-0000-00007D190000}"/>
    <cellStyle name="Normal 12 3 2 2 3 5" xfId="6534" xr:uid="{00000000-0005-0000-0000-00007E190000}"/>
    <cellStyle name="Normal 12 3 2 2 3 5 2" xfId="6535" xr:uid="{00000000-0005-0000-0000-00007F190000}"/>
    <cellStyle name="Normal 12 3 2 2 3 5 3" xfId="6536" xr:uid="{00000000-0005-0000-0000-000080190000}"/>
    <cellStyle name="Normal 12 3 2 2 3 6" xfId="6537" xr:uid="{00000000-0005-0000-0000-000081190000}"/>
    <cellStyle name="Normal 12 3 2 2 3 6 2" xfId="6538" xr:uid="{00000000-0005-0000-0000-000082190000}"/>
    <cellStyle name="Normal 12 3 2 2 3 6 3" xfId="6539" xr:uid="{00000000-0005-0000-0000-000083190000}"/>
    <cellStyle name="Normal 12 3 2 2 3 7" xfId="6540" xr:uid="{00000000-0005-0000-0000-000084190000}"/>
    <cellStyle name="Normal 12 3 2 2 3 7 2" xfId="6541" xr:uid="{00000000-0005-0000-0000-000085190000}"/>
    <cellStyle name="Normal 12 3 2 2 3 7 3" xfId="6542" xr:uid="{00000000-0005-0000-0000-000086190000}"/>
    <cellStyle name="Normal 12 3 2 2 3 8" xfId="6543" xr:uid="{00000000-0005-0000-0000-000087190000}"/>
    <cellStyle name="Normal 12 3 2 2 3 8 2" xfId="6544" xr:uid="{00000000-0005-0000-0000-000088190000}"/>
    <cellStyle name="Normal 12 3 2 2 3 8 3" xfId="6545" xr:uid="{00000000-0005-0000-0000-000089190000}"/>
    <cellStyle name="Normal 12 3 2 2 3 9" xfId="6546" xr:uid="{00000000-0005-0000-0000-00008A190000}"/>
    <cellStyle name="Normal 12 3 2 2 4" xfId="6547" xr:uid="{00000000-0005-0000-0000-00008B190000}"/>
    <cellStyle name="Normal 12 3 2 2 4 2" xfId="6548" xr:uid="{00000000-0005-0000-0000-00008C190000}"/>
    <cellStyle name="Normal 12 3 2 2 4 2 2" xfId="6549" xr:uid="{00000000-0005-0000-0000-00008D190000}"/>
    <cellStyle name="Normal 12 3 2 2 4 2 3" xfId="6550" xr:uid="{00000000-0005-0000-0000-00008E190000}"/>
    <cellStyle name="Normal 12 3 2 2 4 3" xfId="6551" xr:uid="{00000000-0005-0000-0000-00008F190000}"/>
    <cellStyle name="Normal 12 3 2 2 4 3 2" xfId="6552" xr:uid="{00000000-0005-0000-0000-000090190000}"/>
    <cellStyle name="Normal 12 3 2 2 4 3 3" xfId="6553" xr:uid="{00000000-0005-0000-0000-000091190000}"/>
    <cellStyle name="Normal 12 3 2 2 4 4" xfId="6554" xr:uid="{00000000-0005-0000-0000-000092190000}"/>
    <cellStyle name="Normal 12 3 2 2 4 4 2" xfId="6555" xr:uid="{00000000-0005-0000-0000-000093190000}"/>
    <cellStyle name="Normal 12 3 2 2 4 4 3" xfId="6556" xr:uid="{00000000-0005-0000-0000-000094190000}"/>
    <cellStyle name="Normal 12 3 2 2 4 5" xfId="6557" xr:uid="{00000000-0005-0000-0000-000095190000}"/>
    <cellStyle name="Normal 12 3 2 2 4 5 2" xfId="6558" xr:uid="{00000000-0005-0000-0000-000096190000}"/>
    <cellStyle name="Normal 12 3 2 2 4 5 3" xfId="6559" xr:uid="{00000000-0005-0000-0000-000097190000}"/>
    <cellStyle name="Normal 12 3 2 2 4 6" xfId="6560" xr:uid="{00000000-0005-0000-0000-000098190000}"/>
    <cellStyle name="Normal 12 3 2 2 4 6 2" xfId="6561" xr:uid="{00000000-0005-0000-0000-000099190000}"/>
    <cellStyle name="Normal 12 3 2 2 4 6 3" xfId="6562" xr:uid="{00000000-0005-0000-0000-00009A190000}"/>
    <cellStyle name="Normal 12 3 2 2 4 7" xfId="6563" xr:uid="{00000000-0005-0000-0000-00009B190000}"/>
    <cellStyle name="Normal 12 3 2 2 4 7 2" xfId="6564" xr:uid="{00000000-0005-0000-0000-00009C190000}"/>
    <cellStyle name="Normal 12 3 2 2 4 7 3" xfId="6565" xr:uid="{00000000-0005-0000-0000-00009D190000}"/>
    <cellStyle name="Normal 12 3 2 2 4 8" xfId="6566" xr:uid="{00000000-0005-0000-0000-00009E190000}"/>
    <cellStyle name="Normal 12 3 2 2 4 9" xfId="6567" xr:uid="{00000000-0005-0000-0000-00009F190000}"/>
    <cellStyle name="Normal 12 3 2 2 5" xfId="6568" xr:uid="{00000000-0005-0000-0000-0000A0190000}"/>
    <cellStyle name="Normal 12 3 2 2 5 2" xfId="6569" xr:uid="{00000000-0005-0000-0000-0000A1190000}"/>
    <cellStyle name="Normal 12 3 2 2 5 3" xfId="6570" xr:uid="{00000000-0005-0000-0000-0000A2190000}"/>
    <cellStyle name="Normal 12 3 2 2 6" xfId="6571" xr:uid="{00000000-0005-0000-0000-0000A3190000}"/>
    <cellStyle name="Normal 12 3 2 2 6 2" xfId="6572" xr:uid="{00000000-0005-0000-0000-0000A4190000}"/>
    <cellStyle name="Normal 12 3 2 2 6 3" xfId="6573" xr:uid="{00000000-0005-0000-0000-0000A5190000}"/>
    <cellStyle name="Normal 12 3 2 2 7" xfId="6574" xr:uid="{00000000-0005-0000-0000-0000A6190000}"/>
    <cellStyle name="Normal 12 3 2 2 7 2" xfId="6575" xr:uid="{00000000-0005-0000-0000-0000A7190000}"/>
    <cellStyle name="Normal 12 3 2 2 7 3" xfId="6576" xr:uid="{00000000-0005-0000-0000-0000A8190000}"/>
    <cellStyle name="Normal 12 3 2 2 8" xfId="6577" xr:uid="{00000000-0005-0000-0000-0000A9190000}"/>
    <cellStyle name="Normal 12 3 2 2 8 2" xfId="6578" xr:uid="{00000000-0005-0000-0000-0000AA190000}"/>
    <cellStyle name="Normal 12 3 2 2 8 3" xfId="6579" xr:uid="{00000000-0005-0000-0000-0000AB190000}"/>
    <cellStyle name="Normal 12 3 2 2 9" xfId="6580" xr:uid="{00000000-0005-0000-0000-0000AC190000}"/>
    <cellStyle name="Normal 12 3 2 2 9 2" xfId="6581" xr:uid="{00000000-0005-0000-0000-0000AD190000}"/>
    <cellStyle name="Normal 12 3 2 2 9 3" xfId="6582" xr:uid="{00000000-0005-0000-0000-0000AE190000}"/>
    <cellStyle name="Normal 12 3 2 3" xfId="6583" xr:uid="{00000000-0005-0000-0000-0000AF190000}"/>
    <cellStyle name="Normal 12 3 2 3 10" xfId="6584" xr:uid="{00000000-0005-0000-0000-0000B0190000}"/>
    <cellStyle name="Normal 12 3 2 3 2" xfId="6585" xr:uid="{00000000-0005-0000-0000-0000B1190000}"/>
    <cellStyle name="Normal 12 3 2 3 2 2" xfId="6586" xr:uid="{00000000-0005-0000-0000-0000B2190000}"/>
    <cellStyle name="Normal 12 3 2 3 2 2 2" xfId="6587" xr:uid="{00000000-0005-0000-0000-0000B3190000}"/>
    <cellStyle name="Normal 12 3 2 3 2 2 3" xfId="6588" xr:uid="{00000000-0005-0000-0000-0000B4190000}"/>
    <cellStyle name="Normal 12 3 2 3 2 3" xfId="6589" xr:uid="{00000000-0005-0000-0000-0000B5190000}"/>
    <cellStyle name="Normal 12 3 2 3 2 3 2" xfId="6590" xr:uid="{00000000-0005-0000-0000-0000B6190000}"/>
    <cellStyle name="Normal 12 3 2 3 2 3 3" xfId="6591" xr:uid="{00000000-0005-0000-0000-0000B7190000}"/>
    <cellStyle name="Normal 12 3 2 3 2 4" xfId="6592" xr:uid="{00000000-0005-0000-0000-0000B8190000}"/>
    <cellStyle name="Normal 12 3 2 3 2 4 2" xfId="6593" xr:uid="{00000000-0005-0000-0000-0000B9190000}"/>
    <cellStyle name="Normal 12 3 2 3 2 4 3" xfId="6594" xr:uid="{00000000-0005-0000-0000-0000BA190000}"/>
    <cellStyle name="Normal 12 3 2 3 2 5" xfId="6595" xr:uid="{00000000-0005-0000-0000-0000BB190000}"/>
    <cellStyle name="Normal 12 3 2 3 2 5 2" xfId="6596" xr:uid="{00000000-0005-0000-0000-0000BC190000}"/>
    <cellStyle name="Normal 12 3 2 3 2 5 3" xfId="6597" xr:uid="{00000000-0005-0000-0000-0000BD190000}"/>
    <cellStyle name="Normal 12 3 2 3 2 6" xfId="6598" xr:uid="{00000000-0005-0000-0000-0000BE190000}"/>
    <cellStyle name="Normal 12 3 2 3 2 6 2" xfId="6599" xr:uid="{00000000-0005-0000-0000-0000BF190000}"/>
    <cellStyle name="Normal 12 3 2 3 2 6 3" xfId="6600" xr:uid="{00000000-0005-0000-0000-0000C0190000}"/>
    <cellStyle name="Normal 12 3 2 3 2 7" xfId="6601" xr:uid="{00000000-0005-0000-0000-0000C1190000}"/>
    <cellStyle name="Normal 12 3 2 3 2 7 2" xfId="6602" xr:uid="{00000000-0005-0000-0000-0000C2190000}"/>
    <cellStyle name="Normal 12 3 2 3 2 7 3" xfId="6603" xr:uid="{00000000-0005-0000-0000-0000C3190000}"/>
    <cellStyle name="Normal 12 3 2 3 2 8" xfId="6604" xr:uid="{00000000-0005-0000-0000-0000C4190000}"/>
    <cellStyle name="Normal 12 3 2 3 2 9" xfId="6605" xr:uid="{00000000-0005-0000-0000-0000C5190000}"/>
    <cellStyle name="Normal 12 3 2 3 3" xfId="6606" xr:uid="{00000000-0005-0000-0000-0000C6190000}"/>
    <cellStyle name="Normal 12 3 2 3 3 2" xfId="6607" xr:uid="{00000000-0005-0000-0000-0000C7190000}"/>
    <cellStyle name="Normal 12 3 2 3 3 3" xfId="6608" xr:uid="{00000000-0005-0000-0000-0000C8190000}"/>
    <cellStyle name="Normal 12 3 2 3 4" xfId="6609" xr:uid="{00000000-0005-0000-0000-0000C9190000}"/>
    <cellStyle name="Normal 12 3 2 3 4 2" xfId="6610" xr:uid="{00000000-0005-0000-0000-0000CA190000}"/>
    <cellStyle name="Normal 12 3 2 3 4 3" xfId="6611" xr:uid="{00000000-0005-0000-0000-0000CB190000}"/>
    <cellStyle name="Normal 12 3 2 3 5" xfId="6612" xr:uid="{00000000-0005-0000-0000-0000CC190000}"/>
    <cellStyle name="Normal 12 3 2 3 5 2" xfId="6613" xr:uid="{00000000-0005-0000-0000-0000CD190000}"/>
    <cellStyle name="Normal 12 3 2 3 5 3" xfId="6614" xr:uid="{00000000-0005-0000-0000-0000CE190000}"/>
    <cellStyle name="Normal 12 3 2 3 6" xfId="6615" xr:uid="{00000000-0005-0000-0000-0000CF190000}"/>
    <cellStyle name="Normal 12 3 2 3 6 2" xfId="6616" xr:uid="{00000000-0005-0000-0000-0000D0190000}"/>
    <cellStyle name="Normal 12 3 2 3 6 3" xfId="6617" xr:uid="{00000000-0005-0000-0000-0000D1190000}"/>
    <cellStyle name="Normal 12 3 2 3 7" xfId="6618" xr:uid="{00000000-0005-0000-0000-0000D2190000}"/>
    <cellStyle name="Normal 12 3 2 3 7 2" xfId="6619" xr:uid="{00000000-0005-0000-0000-0000D3190000}"/>
    <cellStyle name="Normal 12 3 2 3 7 3" xfId="6620" xr:uid="{00000000-0005-0000-0000-0000D4190000}"/>
    <cellStyle name="Normal 12 3 2 3 8" xfId="6621" xr:uid="{00000000-0005-0000-0000-0000D5190000}"/>
    <cellStyle name="Normal 12 3 2 3 8 2" xfId="6622" xr:uid="{00000000-0005-0000-0000-0000D6190000}"/>
    <cellStyle name="Normal 12 3 2 3 8 3" xfId="6623" xr:uid="{00000000-0005-0000-0000-0000D7190000}"/>
    <cellStyle name="Normal 12 3 2 3 9" xfId="6624" xr:uid="{00000000-0005-0000-0000-0000D8190000}"/>
    <cellStyle name="Normal 12 3 2 4" xfId="6625" xr:uid="{00000000-0005-0000-0000-0000D9190000}"/>
    <cellStyle name="Normal 12 3 2 4 10" xfId="6626" xr:uid="{00000000-0005-0000-0000-0000DA190000}"/>
    <cellStyle name="Normal 12 3 2 4 2" xfId="6627" xr:uid="{00000000-0005-0000-0000-0000DB190000}"/>
    <cellStyle name="Normal 12 3 2 4 2 2" xfId="6628" xr:uid="{00000000-0005-0000-0000-0000DC190000}"/>
    <cellStyle name="Normal 12 3 2 4 2 2 2" xfId="6629" xr:uid="{00000000-0005-0000-0000-0000DD190000}"/>
    <cellStyle name="Normal 12 3 2 4 2 2 3" xfId="6630" xr:uid="{00000000-0005-0000-0000-0000DE190000}"/>
    <cellStyle name="Normal 12 3 2 4 2 3" xfId="6631" xr:uid="{00000000-0005-0000-0000-0000DF190000}"/>
    <cellStyle name="Normal 12 3 2 4 2 3 2" xfId="6632" xr:uid="{00000000-0005-0000-0000-0000E0190000}"/>
    <cellStyle name="Normal 12 3 2 4 2 3 3" xfId="6633" xr:uid="{00000000-0005-0000-0000-0000E1190000}"/>
    <cellStyle name="Normal 12 3 2 4 2 4" xfId="6634" xr:uid="{00000000-0005-0000-0000-0000E2190000}"/>
    <cellStyle name="Normal 12 3 2 4 2 4 2" xfId="6635" xr:uid="{00000000-0005-0000-0000-0000E3190000}"/>
    <cellStyle name="Normal 12 3 2 4 2 4 3" xfId="6636" xr:uid="{00000000-0005-0000-0000-0000E4190000}"/>
    <cellStyle name="Normal 12 3 2 4 2 5" xfId="6637" xr:uid="{00000000-0005-0000-0000-0000E5190000}"/>
    <cellStyle name="Normal 12 3 2 4 2 5 2" xfId="6638" xr:uid="{00000000-0005-0000-0000-0000E6190000}"/>
    <cellStyle name="Normal 12 3 2 4 2 5 3" xfId="6639" xr:uid="{00000000-0005-0000-0000-0000E7190000}"/>
    <cellStyle name="Normal 12 3 2 4 2 6" xfId="6640" xr:uid="{00000000-0005-0000-0000-0000E8190000}"/>
    <cellStyle name="Normal 12 3 2 4 2 6 2" xfId="6641" xr:uid="{00000000-0005-0000-0000-0000E9190000}"/>
    <cellStyle name="Normal 12 3 2 4 2 6 3" xfId="6642" xr:uid="{00000000-0005-0000-0000-0000EA190000}"/>
    <cellStyle name="Normal 12 3 2 4 2 7" xfId="6643" xr:uid="{00000000-0005-0000-0000-0000EB190000}"/>
    <cellStyle name="Normal 12 3 2 4 2 7 2" xfId="6644" xr:uid="{00000000-0005-0000-0000-0000EC190000}"/>
    <cellStyle name="Normal 12 3 2 4 2 7 3" xfId="6645" xr:uid="{00000000-0005-0000-0000-0000ED190000}"/>
    <cellStyle name="Normal 12 3 2 4 2 8" xfId="6646" xr:uid="{00000000-0005-0000-0000-0000EE190000}"/>
    <cellStyle name="Normal 12 3 2 4 2 9" xfId="6647" xr:uid="{00000000-0005-0000-0000-0000EF190000}"/>
    <cellStyle name="Normal 12 3 2 4 3" xfId="6648" xr:uid="{00000000-0005-0000-0000-0000F0190000}"/>
    <cellStyle name="Normal 12 3 2 4 3 2" xfId="6649" xr:uid="{00000000-0005-0000-0000-0000F1190000}"/>
    <cellStyle name="Normal 12 3 2 4 3 3" xfId="6650" xr:uid="{00000000-0005-0000-0000-0000F2190000}"/>
    <cellStyle name="Normal 12 3 2 4 4" xfId="6651" xr:uid="{00000000-0005-0000-0000-0000F3190000}"/>
    <cellStyle name="Normal 12 3 2 4 4 2" xfId="6652" xr:uid="{00000000-0005-0000-0000-0000F4190000}"/>
    <cellStyle name="Normal 12 3 2 4 4 3" xfId="6653" xr:uid="{00000000-0005-0000-0000-0000F5190000}"/>
    <cellStyle name="Normal 12 3 2 4 5" xfId="6654" xr:uid="{00000000-0005-0000-0000-0000F6190000}"/>
    <cellStyle name="Normal 12 3 2 4 5 2" xfId="6655" xr:uid="{00000000-0005-0000-0000-0000F7190000}"/>
    <cellStyle name="Normal 12 3 2 4 5 3" xfId="6656" xr:uid="{00000000-0005-0000-0000-0000F8190000}"/>
    <cellStyle name="Normal 12 3 2 4 6" xfId="6657" xr:uid="{00000000-0005-0000-0000-0000F9190000}"/>
    <cellStyle name="Normal 12 3 2 4 6 2" xfId="6658" xr:uid="{00000000-0005-0000-0000-0000FA190000}"/>
    <cellStyle name="Normal 12 3 2 4 6 3" xfId="6659" xr:uid="{00000000-0005-0000-0000-0000FB190000}"/>
    <cellStyle name="Normal 12 3 2 4 7" xfId="6660" xr:uid="{00000000-0005-0000-0000-0000FC190000}"/>
    <cellStyle name="Normal 12 3 2 4 7 2" xfId="6661" xr:uid="{00000000-0005-0000-0000-0000FD190000}"/>
    <cellStyle name="Normal 12 3 2 4 7 3" xfId="6662" xr:uid="{00000000-0005-0000-0000-0000FE190000}"/>
    <cellStyle name="Normal 12 3 2 4 8" xfId="6663" xr:uid="{00000000-0005-0000-0000-0000FF190000}"/>
    <cellStyle name="Normal 12 3 2 4 8 2" xfId="6664" xr:uid="{00000000-0005-0000-0000-0000001A0000}"/>
    <cellStyle name="Normal 12 3 2 4 8 3" xfId="6665" xr:uid="{00000000-0005-0000-0000-0000011A0000}"/>
    <cellStyle name="Normal 12 3 2 4 9" xfId="6666" xr:uid="{00000000-0005-0000-0000-0000021A0000}"/>
    <cellStyle name="Normal 12 3 2 5" xfId="6667" xr:uid="{00000000-0005-0000-0000-0000031A0000}"/>
    <cellStyle name="Normal 12 3 2 5 2" xfId="6668" xr:uid="{00000000-0005-0000-0000-0000041A0000}"/>
    <cellStyle name="Normal 12 3 2 5 2 2" xfId="6669" xr:uid="{00000000-0005-0000-0000-0000051A0000}"/>
    <cellStyle name="Normal 12 3 2 5 2 3" xfId="6670" xr:uid="{00000000-0005-0000-0000-0000061A0000}"/>
    <cellStyle name="Normal 12 3 2 5 3" xfId="6671" xr:uid="{00000000-0005-0000-0000-0000071A0000}"/>
    <cellStyle name="Normal 12 3 2 5 3 2" xfId="6672" xr:uid="{00000000-0005-0000-0000-0000081A0000}"/>
    <cellStyle name="Normal 12 3 2 5 3 3" xfId="6673" xr:uid="{00000000-0005-0000-0000-0000091A0000}"/>
    <cellStyle name="Normal 12 3 2 5 4" xfId="6674" xr:uid="{00000000-0005-0000-0000-00000A1A0000}"/>
    <cellStyle name="Normal 12 3 2 5 4 2" xfId="6675" xr:uid="{00000000-0005-0000-0000-00000B1A0000}"/>
    <cellStyle name="Normal 12 3 2 5 4 3" xfId="6676" xr:uid="{00000000-0005-0000-0000-00000C1A0000}"/>
    <cellStyle name="Normal 12 3 2 5 5" xfId="6677" xr:uid="{00000000-0005-0000-0000-00000D1A0000}"/>
    <cellStyle name="Normal 12 3 2 5 5 2" xfId="6678" xr:uid="{00000000-0005-0000-0000-00000E1A0000}"/>
    <cellStyle name="Normal 12 3 2 5 5 3" xfId="6679" xr:uid="{00000000-0005-0000-0000-00000F1A0000}"/>
    <cellStyle name="Normal 12 3 2 5 6" xfId="6680" xr:uid="{00000000-0005-0000-0000-0000101A0000}"/>
    <cellStyle name="Normal 12 3 2 5 6 2" xfId="6681" xr:uid="{00000000-0005-0000-0000-0000111A0000}"/>
    <cellStyle name="Normal 12 3 2 5 6 3" xfId="6682" xr:uid="{00000000-0005-0000-0000-0000121A0000}"/>
    <cellStyle name="Normal 12 3 2 5 7" xfId="6683" xr:uid="{00000000-0005-0000-0000-0000131A0000}"/>
    <cellStyle name="Normal 12 3 2 5 7 2" xfId="6684" xr:uid="{00000000-0005-0000-0000-0000141A0000}"/>
    <cellStyle name="Normal 12 3 2 5 7 3" xfId="6685" xr:uid="{00000000-0005-0000-0000-0000151A0000}"/>
    <cellStyle name="Normal 12 3 2 5 8" xfId="6686" xr:uid="{00000000-0005-0000-0000-0000161A0000}"/>
    <cellStyle name="Normal 12 3 2 5 9" xfId="6687" xr:uid="{00000000-0005-0000-0000-0000171A0000}"/>
    <cellStyle name="Normal 12 3 2 6" xfId="6688" xr:uid="{00000000-0005-0000-0000-0000181A0000}"/>
    <cellStyle name="Normal 12 3 2 6 2" xfId="6689" xr:uid="{00000000-0005-0000-0000-0000191A0000}"/>
    <cellStyle name="Normal 12 3 2 6 3" xfId="6690" xr:uid="{00000000-0005-0000-0000-00001A1A0000}"/>
    <cellStyle name="Normal 12 3 2 7" xfId="6691" xr:uid="{00000000-0005-0000-0000-00001B1A0000}"/>
    <cellStyle name="Normal 12 3 2 7 2" xfId="6692" xr:uid="{00000000-0005-0000-0000-00001C1A0000}"/>
    <cellStyle name="Normal 12 3 2 7 3" xfId="6693" xr:uid="{00000000-0005-0000-0000-00001D1A0000}"/>
    <cellStyle name="Normal 12 3 2 8" xfId="6694" xr:uid="{00000000-0005-0000-0000-00001E1A0000}"/>
    <cellStyle name="Normal 12 3 2 8 2" xfId="6695" xr:uid="{00000000-0005-0000-0000-00001F1A0000}"/>
    <cellStyle name="Normal 12 3 2 8 3" xfId="6696" xr:uid="{00000000-0005-0000-0000-0000201A0000}"/>
    <cellStyle name="Normal 12 3 2 9" xfId="6697" xr:uid="{00000000-0005-0000-0000-0000211A0000}"/>
    <cellStyle name="Normal 12 3 2 9 2" xfId="6698" xr:uid="{00000000-0005-0000-0000-0000221A0000}"/>
    <cellStyle name="Normal 12 3 2 9 3" xfId="6699" xr:uid="{00000000-0005-0000-0000-0000231A0000}"/>
    <cellStyle name="Normal 12 3 3" xfId="6700" xr:uid="{00000000-0005-0000-0000-0000241A0000}"/>
    <cellStyle name="Normal 12 3 3 10" xfId="6701" xr:uid="{00000000-0005-0000-0000-0000251A0000}"/>
    <cellStyle name="Normal 12 3 3 10 2" xfId="6702" xr:uid="{00000000-0005-0000-0000-0000261A0000}"/>
    <cellStyle name="Normal 12 3 3 10 3" xfId="6703" xr:uid="{00000000-0005-0000-0000-0000271A0000}"/>
    <cellStyle name="Normal 12 3 3 11" xfId="6704" xr:uid="{00000000-0005-0000-0000-0000281A0000}"/>
    <cellStyle name="Normal 12 3 3 12" xfId="6705" xr:uid="{00000000-0005-0000-0000-0000291A0000}"/>
    <cellStyle name="Normal 12 3 3 2" xfId="6706" xr:uid="{00000000-0005-0000-0000-00002A1A0000}"/>
    <cellStyle name="Normal 12 3 3 2 10" xfId="6707" xr:uid="{00000000-0005-0000-0000-00002B1A0000}"/>
    <cellStyle name="Normal 12 3 3 2 2" xfId="6708" xr:uid="{00000000-0005-0000-0000-00002C1A0000}"/>
    <cellStyle name="Normal 12 3 3 2 2 2" xfId="6709" xr:uid="{00000000-0005-0000-0000-00002D1A0000}"/>
    <cellStyle name="Normal 12 3 3 2 2 2 2" xfId="6710" xr:uid="{00000000-0005-0000-0000-00002E1A0000}"/>
    <cellStyle name="Normal 12 3 3 2 2 2 3" xfId="6711" xr:uid="{00000000-0005-0000-0000-00002F1A0000}"/>
    <cellStyle name="Normal 12 3 3 2 2 3" xfId="6712" xr:uid="{00000000-0005-0000-0000-0000301A0000}"/>
    <cellStyle name="Normal 12 3 3 2 2 3 2" xfId="6713" xr:uid="{00000000-0005-0000-0000-0000311A0000}"/>
    <cellStyle name="Normal 12 3 3 2 2 3 3" xfId="6714" xr:uid="{00000000-0005-0000-0000-0000321A0000}"/>
    <cellStyle name="Normal 12 3 3 2 2 4" xfId="6715" xr:uid="{00000000-0005-0000-0000-0000331A0000}"/>
    <cellStyle name="Normal 12 3 3 2 2 4 2" xfId="6716" xr:uid="{00000000-0005-0000-0000-0000341A0000}"/>
    <cellStyle name="Normal 12 3 3 2 2 4 3" xfId="6717" xr:uid="{00000000-0005-0000-0000-0000351A0000}"/>
    <cellStyle name="Normal 12 3 3 2 2 5" xfId="6718" xr:uid="{00000000-0005-0000-0000-0000361A0000}"/>
    <cellStyle name="Normal 12 3 3 2 2 5 2" xfId="6719" xr:uid="{00000000-0005-0000-0000-0000371A0000}"/>
    <cellStyle name="Normal 12 3 3 2 2 5 3" xfId="6720" xr:uid="{00000000-0005-0000-0000-0000381A0000}"/>
    <cellStyle name="Normal 12 3 3 2 2 6" xfId="6721" xr:uid="{00000000-0005-0000-0000-0000391A0000}"/>
    <cellStyle name="Normal 12 3 3 2 2 6 2" xfId="6722" xr:uid="{00000000-0005-0000-0000-00003A1A0000}"/>
    <cellStyle name="Normal 12 3 3 2 2 6 3" xfId="6723" xr:uid="{00000000-0005-0000-0000-00003B1A0000}"/>
    <cellStyle name="Normal 12 3 3 2 2 7" xfId="6724" xr:uid="{00000000-0005-0000-0000-00003C1A0000}"/>
    <cellStyle name="Normal 12 3 3 2 2 7 2" xfId="6725" xr:uid="{00000000-0005-0000-0000-00003D1A0000}"/>
    <cellStyle name="Normal 12 3 3 2 2 7 3" xfId="6726" xr:uid="{00000000-0005-0000-0000-00003E1A0000}"/>
    <cellStyle name="Normal 12 3 3 2 2 8" xfId="6727" xr:uid="{00000000-0005-0000-0000-00003F1A0000}"/>
    <cellStyle name="Normal 12 3 3 2 2 9" xfId="6728" xr:uid="{00000000-0005-0000-0000-0000401A0000}"/>
    <cellStyle name="Normal 12 3 3 2 3" xfId="6729" xr:uid="{00000000-0005-0000-0000-0000411A0000}"/>
    <cellStyle name="Normal 12 3 3 2 3 2" xfId="6730" xr:uid="{00000000-0005-0000-0000-0000421A0000}"/>
    <cellStyle name="Normal 12 3 3 2 3 3" xfId="6731" xr:uid="{00000000-0005-0000-0000-0000431A0000}"/>
    <cellStyle name="Normal 12 3 3 2 4" xfId="6732" xr:uid="{00000000-0005-0000-0000-0000441A0000}"/>
    <cellStyle name="Normal 12 3 3 2 4 2" xfId="6733" xr:uid="{00000000-0005-0000-0000-0000451A0000}"/>
    <cellStyle name="Normal 12 3 3 2 4 3" xfId="6734" xr:uid="{00000000-0005-0000-0000-0000461A0000}"/>
    <cellStyle name="Normal 12 3 3 2 5" xfId="6735" xr:uid="{00000000-0005-0000-0000-0000471A0000}"/>
    <cellStyle name="Normal 12 3 3 2 5 2" xfId="6736" xr:uid="{00000000-0005-0000-0000-0000481A0000}"/>
    <cellStyle name="Normal 12 3 3 2 5 3" xfId="6737" xr:uid="{00000000-0005-0000-0000-0000491A0000}"/>
    <cellStyle name="Normal 12 3 3 2 6" xfId="6738" xr:uid="{00000000-0005-0000-0000-00004A1A0000}"/>
    <cellStyle name="Normal 12 3 3 2 6 2" xfId="6739" xr:uid="{00000000-0005-0000-0000-00004B1A0000}"/>
    <cellStyle name="Normal 12 3 3 2 6 3" xfId="6740" xr:uid="{00000000-0005-0000-0000-00004C1A0000}"/>
    <cellStyle name="Normal 12 3 3 2 7" xfId="6741" xr:uid="{00000000-0005-0000-0000-00004D1A0000}"/>
    <cellStyle name="Normal 12 3 3 2 7 2" xfId="6742" xr:uid="{00000000-0005-0000-0000-00004E1A0000}"/>
    <cellStyle name="Normal 12 3 3 2 7 3" xfId="6743" xr:uid="{00000000-0005-0000-0000-00004F1A0000}"/>
    <cellStyle name="Normal 12 3 3 2 8" xfId="6744" xr:uid="{00000000-0005-0000-0000-0000501A0000}"/>
    <cellStyle name="Normal 12 3 3 2 8 2" xfId="6745" xr:uid="{00000000-0005-0000-0000-0000511A0000}"/>
    <cellStyle name="Normal 12 3 3 2 8 3" xfId="6746" xr:uid="{00000000-0005-0000-0000-0000521A0000}"/>
    <cellStyle name="Normal 12 3 3 2 9" xfId="6747" xr:uid="{00000000-0005-0000-0000-0000531A0000}"/>
    <cellStyle name="Normal 12 3 3 3" xfId="6748" xr:uid="{00000000-0005-0000-0000-0000541A0000}"/>
    <cellStyle name="Normal 12 3 3 3 10" xfId="6749" xr:uid="{00000000-0005-0000-0000-0000551A0000}"/>
    <cellStyle name="Normal 12 3 3 3 2" xfId="6750" xr:uid="{00000000-0005-0000-0000-0000561A0000}"/>
    <cellStyle name="Normal 12 3 3 3 2 2" xfId="6751" xr:uid="{00000000-0005-0000-0000-0000571A0000}"/>
    <cellStyle name="Normal 12 3 3 3 2 2 2" xfId="6752" xr:uid="{00000000-0005-0000-0000-0000581A0000}"/>
    <cellStyle name="Normal 12 3 3 3 2 2 3" xfId="6753" xr:uid="{00000000-0005-0000-0000-0000591A0000}"/>
    <cellStyle name="Normal 12 3 3 3 2 3" xfId="6754" xr:uid="{00000000-0005-0000-0000-00005A1A0000}"/>
    <cellStyle name="Normal 12 3 3 3 2 3 2" xfId="6755" xr:uid="{00000000-0005-0000-0000-00005B1A0000}"/>
    <cellStyle name="Normal 12 3 3 3 2 3 3" xfId="6756" xr:uid="{00000000-0005-0000-0000-00005C1A0000}"/>
    <cellStyle name="Normal 12 3 3 3 2 4" xfId="6757" xr:uid="{00000000-0005-0000-0000-00005D1A0000}"/>
    <cellStyle name="Normal 12 3 3 3 2 4 2" xfId="6758" xr:uid="{00000000-0005-0000-0000-00005E1A0000}"/>
    <cellStyle name="Normal 12 3 3 3 2 4 3" xfId="6759" xr:uid="{00000000-0005-0000-0000-00005F1A0000}"/>
    <cellStyle name="Normal 12 3 3 3 2 5" xfId="6760" xr:uid="{00000000-0005-0000-0000-0000601A0000}"/>
    <cellStyle name="Normal 12 3 3 3 2 5 2" xfId="6761" xr:uid="{00000000-0005-0000-0000-0000611A0000}"/>
    <cellStyle name="Normal 12 3 3 3 2 5 3" xfId="6762" xr:uid="{00000000-0005-0000-0000-0000621A0000}"/>
    <cellStyle name="Normal 12 3 3 3 2 6" xfId="6763" xr:uid="{00000000-0005-0000-0000-0000631A0000}"/>
    <cellStyle name="Normal 12 3 3 3 2 6 2" xfId="6764" xr:uid="{00000000-0005-0000-0000-0000641A0000}"/>
    <cellStyle name="Normal 12 3 3 3 2 6 3" xfId="6765" xr:uid="{00000000-0005-0000-0000-0000651A0000}"/>
    <cellStyle name="Normal 12 3 3 3 2 7" xfId="6766" xr:uid="{00000000-0005-0000-0000-0000661A0000}"/>
    <cellStyle name="Normal 12 3 3 3 2 7 2" xfId="6767" xr:uid="{00000000-0005-0000-0000-0000671A0000}"/>
    <cellStyle name="Normal 12 3 3 3 2 7 3" xfId="6768" xr:uid="{00000000-0005-0000-0000-0000681A0000}"/>
    <cellStyle name="Normal 12 3 3 3 2 8" xfId="6769" xr:uid="{00000000-0005-0000-0000-0000691A0000}"/>
    <cellStyle name="Normal 12 3 3 3 2 9" xfId="6770" xr:uid="{00000000-0005-0000-0000-00006A1A0000}"/>
    <cellStyle name="Normal 12 3 3 3 3" xfId="6771" xr:uid="{00000000-0005-0000-0000-00006B1A0000}"/>
    <cellStyle name="Normal 12 3 3 3 3 2" xfId="6772" xr:uid="{00000000-0005-0000-0000-00006C1A0000}"/>
    <cellStyle name="Normal 12 3 3 3 3 3" xfId="6773" xr:uid="{00000000-0005-0000-0000-00006D1A0000}"/>
    <cellStyle name="Normal 12 3 3 3 4" xfId="6774" xr:uid="{00000000-0005-0000-0000-00006E1A0000}"/>
    <cellStyle name="Normal 12 3 3 3 4 2" xfId="6775" xr:uid="{00000000-0005-0000-0000-00006F1A0000}"/>
    <cellStyle name="Normal 12 3 3 3 4 3" xfId="6776" xr:uid="{00000000-0005-0000-0000-0000701A0000}"/>
    <cellStyle name="Normal 12 3 3 3 5" xfId="6777" xr:uid="{00000000-0005-0000-0000-0000711A0000}"/>
    <cellStyle name="Normal 12 3 3 3 5 2" xfId="6778" xr:uid="{00000000-0005-0000-0000-0000721A0000}"/>
    <cellStyle name="Normal 12 3 3 3 5 3" xfId="6779" xr:uid="{00000000-0005-0000-0000-0000731A0000}"/>
    <cellStyle name="Normal 12 3 3 3 6" xfId="6780" xr:uid="{00000000-0005-0000-0000-0000741A0000}"/>
    <cellStyle name="Normal 12 3 3 3 6 2" xfId="6781" xr:uid="{00000000-0005-0000-0000-0000751A0000}"/>
    <cellStyle name="Normal 12 3 3 3 6 3" xfId="6782" xr:uid="{00000000-0005-0000-0000-0000761A0000}"/>
    <cellStyle name="Normal 12 3 3 3 7" xfId="6783" xr:uid="{00000000-0005-0000-0000-0000771A0000}"/>
    <cellStyle name="Normal 12 3 3 3 7 2" xfId="6784" xr:uid="{00000000-0005-0000-0000-0000781A0000}"/>
    <cellStyle name="Normal 12 3 3 3 7 3" xfId="6785" xr:uid="{00000000-0005-0000-0000-0000791A0000}"/>
    <cellStyle name="Normal 12 3 3 3 8" xfId="6786" xr:uid="{00000000-0005-0000-0000-00007A1A0000}"/>
    <cellStyle name="Normal 12 3 3 3 8 2" xfId="6787" xr:uid="{00000000-0005-0000-0000-00007B1A0000}"/>
    <cellStyle name="Normal 12 3 3 3 8 3" xfId="6788" xr:uid="{00000000-0005-0000-0000-00007C1A0000}"/>
    <cellStyle name="Normal 12 3 3 3 9" xfId="6789" xr:uid="{00000000-0005-0000-0000-00007D1A0000}"/>
    <cellStyle name="Normal 12 3 3 4" xfId="6790" xr:uid="{00000000-0005-0000-0000-00007E1A0000}"/>
    <cellStyle name="Normal 12 3 3 4 2" xfId="6791" xr:uid="{00000000-0005-0000-0000-00007F1A0000}"/>
    <cellStyle name="Normal 12 3 3 4 2 2" xfId="6792" xr:uid="{00000000-0005-0000-0000-0000801A0000}"/>
    <cellStyle name="Normal 12 3 3 4 2 3" xfId="6793" xr:uid="{00000000-0005-0000-0000-0000811A0000}"/>
    <cellStyle name="Normal 12 3 3 4 3" xfId="6794" xr:uid="{00000000-0005-0000-0000-0000821A0000}"/>
    <cellStyle name="Normal 12 3 3 4 3 2" xfId="6795" xr:uid="{00000000-0005-0000-0000-0000831A0000}"/>
    <cellStyle name="Normal 12 3 3 4 3 3" xfId="6796" xr:uid="{00000000-0005-0000-0000-0000841A0000}"/>
    <cellStyle name="Normal 12 3 3 4 4" xfId="6797" xr:uid="{00000000-0005-0000-0000-0000851A0000}"/>
    <cellStyle name="Normal 12 3 3 4 4 2" xfId="6798" xr:uid="{00000000-0005-0000-0000-0000861A0000}"/>
    <cellStyle name="Normal 12 3 3 4 4 3" xfId="6799" xr:uid="{00000000-0005-0000-0000-0000871A0000}"/>
    <cellStyle name="Normal 12 3 3 4 5" xfId="6800" xr:uid="{00000000-0005-0000-0000-0000881A0000}"/>
    <cellStyle name="Normal 12 3 3 4 5 2" xfId="6801" xr:uid="{00000000-0005-0000-0000-0000891A0000}"/>
    <cellStyle name="Normal 12 3 3 4 5 3" xfId="6802" xr:uid="{00000000-0005-0000-0000-00008A1A0000}"/>
    <cellStyle name="Normal 12 3 3 4 6" xfId="6803" xr:uid="{00000000-0005-0000-0000-00008B1A0000}"/>
    <cellStyle name="Normal 12 3 3 4 6 2" xfId="6804" xr:uid="{00000000-0005-0000-0000-00008C1A0000}"/>
    <cellStyle name="Normal 12 3 3 4 6 3" xfId="6805" xr:uid="{00000000-0005-0000-0000-00008D1A0000}"/>
    <cellStyle name="Normal 12 3 3 4 7" xfId="6806" xr:uid="{00000000-0005-0000-0000-00008E1A0000}"/>
    <cellStyle name="Normal 12 3 3 4 7 2" xfId="6807" xr:uid="{00000000-0005-0000-0000-00008F1A0000}"/>
    <cellStyle name="Normal 12 3 3 4 7 3" xfId="6808" xr:uid="{00000000-0005-0000-0000-0000901A0000}"/>
    <cellStyle name="Normal 12 3 3 4 8" xfId="6809" xr:uid="{00000000-0005-0000-0000-0000911A0000}"/>
    <cellStyle name="Normal 12 3 3 4 9" xfId="6810" xr:uid="{00000000-0005-0000-0000-0000921A0000}"/>
    <cellStyle name="Normal 12 3 3 5" xfId="6811" xr:uid="{00000000-0005-0000-0000-0000931A0000}"/>
    <cellStyle name="Normal 12 3 3 5 2" xfId="6812" xr:uid="{00000000-0005-0000-0000-0000941A0000}"/>
    <cellStyle name="Normal 12 3 3 5 3" xfId="6813" xr:uid="{00000000-0005-0000-0000-0000951A0000}"/>
    <cellStyle name="Normal 12 3 3 6" xfId="6814" xr:uid="{00000000-0005-0000-0000-0000961A0000}"/>
    <cellStyle name="Normal 12 3 3 6 2" xfId="6815" xr:uid="{00000000-0005-0000-0000-0000971A0000}"/>
    <cellStyle name="Normal 12 3 3 6 3" xfId="6816" xr:uid="{00000000-0005-0000-0000-0000981A0000}"/>
    <cellStyle name="Normal 12 3 3 7" xfId="6817" xr:uid="{00000000-0005-0000-0000-0000991A0000}"/>
    <cellStyle name="Normal 12 3 3 7 2" xfId="6818" xr:uid="{00000000-0005-0000-0000-00009A1A0000}"/>
    <cellStyle name="Normal 12 3 3 7 3" xfId="6819" xr:uid="{00000000-0005-0000-0000-00009B1A0000}"/>
    <cellStyle name="Normal 12 3 3 8" xfId="6820" xr:uid="{00000000-0005-0000-0000-00009C1A0000}"/>
    <cellStyle name="Normal 12 3 3 8 2" xfId="6821" xr:uid="{00000000-0005-0000-0000-00009D1A0000}"/>
    <cellStyle name="Normal 12 3 3 8 3" xfId="6822" xr:uid="{00000000-0005-0000-0000-00009E1A0000}"/>
    <cellStyle name="Normal 12 3 3 9" xfId="6823" xr:uid="{00000000-0005-0000-0000-00009F1A0000}"/>
    <cellStyle name="Normal 12 3 3 9 2" xfId="6824" xr:uid="{00000000-0005-0000-0000-0000A01A0000}"/>
    <cellStyle name="Normal 12 3 3 9 3" xfId="6825" xr:uid="{00000000-0005-0000-0000-0000A11A0000}"/>
    <cellStyle name="Normal 12 3 4" xfId="6826" xr:uid="{00000000-0005-0000-0000-0000A21A0000}"/>
    <cellStyle name="Normal 12 3 4 10" xfId="6827" xr:uid="{00000000-0005-0000-0000-0000A31A0000}"/>
    <cellStyle name="Normal 12 3 4 2" xfId="6828" xr:uid="{00000000-0005-0000-0000-0000A41A0000}"/>
    <cellStyle name="Normal 12 3 4 2 2" xfId="6829" xr:uid="{00000000-0005-0000-0000-0000A51A0000}"/>
    <cellStyle name="Normal 12 3 4 2 2 2" xfId="6830" xr:uid="{00000000-0005-0000-0000-0000A61A0000}"/>
    <cellStyle name="Normal 12 3 4 2 2 3" xfId="6831" xr:uid="{00000000-0005-0000-0000-0000A71A0000}"/>
    <cellStyle name="Normal 12 3 4 2 3" xfId="6832" xr:uid="{00000000-0005-0000-0000-0000A81A0000}"/>
    <cellStyle name="Normal 12 3 4 2 3 2" xfId="6833" xr:uid="{00000000-0005-0000-0000-0000A91A0000}"/>
    <cellStyle name="Normal 12 3 4 2 3 3" xfId="6834" xr:uid="{00000000-0005-0000-0000-0000AA1A0000}"/>
    <cellStyle name="Normal 12 3 4 2 4" xfId="6835" xr:uid="{00000000-0005-0000-0000-0000AB1A0000}"/>
    <cellStyle name="Normal 12 3 4 2 4 2" xfId="6836" xr:uid="{00000000-0005-0000-0000-0000AC1A0000}"/>
    <cellStyle name="Normal 12 3 4 2 4 3" xfId="6837" xr:uid="{00000000-0005-0000-0000-0000AD1A0000}"/>
    <cellStyle name="Normal 12 3 4 2 5" xfId="6838" xr:uid="{00000000-0005-0000-0000-0000AE1A0000}"/>
    <cellStyle name="Normal 12 3 4 2 5 2" xfId="6839" xr:uid="{00000000-0005-0000-0000-0000AF1A0000}"/>
    <cellStyle name="Normal 12 3 4 2 5 3" xfId="6840" xr:uid="{00000000-0005-0000-0000-0000B01A0000}"/>
    <cellStyle name="Normal 12 3 4 2 6" xfId="6841" xr:uid="{00000000-0005-0000-0000-0000B11A0000}"/>
    <cellStyle name="Normal 12 3 4 2 6 2" xfId="6842" xr:uid="{00000000-0005-0000-0000-0000B21A0000}"/>
    <cellStyle name="Normal 12 3 4 2 6 3" xfId="6843" xr:uid="{00000000-0005-0000-0000-0000B31A0000}"/>
    <cellStyle name="Normal 12 3 4 2 7" xfId="6844" xr:uid="{00000000-0005-0000-0000-0000B41A0000}"/>
    <cellStyle name="Normal 12 3 4 2 7 2" xfId="6845" xr:uid="{00000000-0005-0000-0000-0000B51A0000}"/>
    <cellStyle name="Normal 12 3 4 2 7 3" xfId="6846" xr:uid="{00000000-0005-0000-0000-0000B61A0000}"/>
    <cellStyle name="Normal 12 3 4 2 8" xfId="6847" xr:uid="{00000000-0005-0000-0000-0000B71A0000}"/>
    <cellStyle name="Normal 12 3 4 2 9" xfId="6848" xr:uid="{00000000-0005-0000-0000-0000B81A0000}"/>
    <cellStyle name="Normal 12 3 4 3" xfId="6849" xr:uid="{00000000-0005-0000-0000-0000B91A0000}"/>
    <cellStyle name="Normal 12 3 4 3 2" xfId="6850" xr:uid="{00000000-0005-0000-0000-0000BA1A0000}"/>
    <cellStyle name="Normal 12 3 4 3 3" xfId="6851" xr:uid="{00000000-0005-0000-0000-0000BB1A0000}"/>
    <cellStyle name="Normal 12 3 4 4" xfId="6852" xr:uid="{00000000-0005-0000-0000-0000BC1A0000}"/>
    <cellStyle name="Normal 12 3 4 4 2" xfId="6853" xr:uid="{00000000-0005-0000-0000-0000BD1A0000}"/>
    <cellStyle name="Normal 12 3 4 4 3" xfId="6854" xr:uid="{00000000-0005-0000-0000-0000BE1A0000}"/>
    <cellStyle name="Normal 12 3 4 5" xfId="6855" xr:uid="{00000000-0005-0000-0000-0000BF1A0000}"/>
    <cellStyle name="Normal 12 3 4 5 2" xfId="6856" xr:uid="{00000000-0005-0000-0000-0000C01A0000}"/>
    <cellStyle name="Normal 12 3 4 5 3" xfId="6857" xr:uid="{00000000-0005-0000-0000-0000C11A0000}"/>
    <cellStyle name="Normal 12 3 4 6" xfId="6858" xr:uid="{00000000-0005-0000-0000-0000C21A0000}"/>
    <cellStyle name="Normal 12 3 4 6 2" xfId="6859" xr:uid="{00000000-0005-0000-0000-0000C31A0000}"/>
    <cellStyle name="Normal 12 3 4 6 3" xfId="6860" xr:uid="{00000000-0005-0000-0000-0000C41A0000}"/>
    <cellStyle name="Normal 12 3 4 7" xfId="6861" xr:uid="{00000000-0005-0000-0000-0000C51A0000}"/>
    <cellStyle name="Normal 12 3 4 7 2" xfId="6862" xr:uid="{00000000-0005-0000-0000-0000C61A0000}"/>
    <cellStyle name="Normal 12 3 4 7 3" xfId="6863" xr:uid="{00000000-0005-0000-0000-0000C71A0000}"/>
    <cellStyle name="Normal 12 3 4 8" xfId="6864" xr:uid="{00000000-0005-0000-0000-0000C81A0000}"/>
    <cellStyle name="Normal 12 3 4 8 2" xfId="6865" xr:uid="{00000000-0005-0000-0000-0000C91A0000}"/>
    <cellStyle name="Normal 12 3 4 8 3" xfId="6866" xr:uid="{00000000-0005-0000-0000-0000CA1A0000}"/>
    <cellStyle name="Normal 12 3 4 9" xfId="6867" xr:uid="{00000000-0005-0000-0000-0000CB1A0000}"/>
    <cellStyle name="Normal 12 3 5" xfId="6868" xr:uid="{00000000-0005-0000-0000-0000CC1A0000}"/>
    <cellStyle name="Normal 12 3 5 10" xfId="6869" xr:uid="{00000000-0005-0000-0000-0000CD1A0000}"/>
    <cellStyle name="Normal 12 3 5 2" xfId="6870" xr:uid="{00000000-0005-0000-0000-0000CE1A0000}"/>
    <cellStyle name="Normal 12 3 5 2 2" xfId="6871" xr:uid="{00000000-0005-0000-0000-0000CF1A0000}"/>
    <cellStyle name="Normal 12 3 5 2 2 2" xfId="6872" xr:uid="{00000000-0005-0000-0000-0000D01A0000}"/>
    <cellStyle name="Normal 12 3 5 2 2 3" xfId="6873" xr:uid="{00000000-0005-0000-0000-0000D11A0000}"/>
    <cellStyle name="Normal 12 3 5 2 3" xfId="6874" xr:uid="{00000000-0005-0000-0000-0000D21A0000}"/>
    <cellStyle name="Normal 12 3 5 2 3 2" xfId="6875" xr:uid="{00000000-0005-0000-0000-0000D31A0000}"/>
    <cellStyle name="Normal 12 3 5 2 3 3" xfId="6876" xr:uid="{00000000-0005-0000-0000-0000D41A0000}"/>
    <cellStyle name="Normal 12 3 5 2 4" xfId="6877" xr:uid="{00000000-0005-0000-0000-0000D51A0000}"/>
    <cellStyle name="Normal 12 3 5 2 4 2" xfId="6878" xr:uid="{00000000-0005-0000-0000-0000D61A0000}"/>
    <cellStyle name="Normal 12 3 5 2 4 3" xfId="6879" xr:uid="{00000000-0005-0000-0000-0000D71A0000}"/>
    <cellStyle name="Normal 12 3 5 2 5" xfId="6880" xr:uid="{00000000-0005-0000-0000-0000D81A0000}"/>
    <cellStyle name="Normal 12 3 5 2 5 2" xfId="6881" xr:uid="{00000000-0005-0000-0000-0000D91A0000}"/>
    <cellStyle name="Normal 12 3 5 2 5 3" xfId="6882" xr:uid="{00000000-0005-0000-0000-0000DA1A0000}"/>
    <cellStyle name="Normal 12 3 5 2 6" xfId="6883" xr:uid="{00000000-0005-0000-0000-0000DB1A0000}"/>
    <cellStyle name="Normal 12 3 5 2 6 2" xfId="6884" xr:uid="{00000000-0005-0000-0000-0000DC1A0000}"/>
    <cellStyle name="Normal 12 3 5 2 6 3" xfId="6885" xr:uid="{00000000-0005-0000-0000-0000DD1A0000}"/>
    <cellStyle name="Normal 12 3 5 2 7" xfId="6886" xr:uid="{00000000-0005-0000-0000-0000DE1A0000}"/>
    <cellStyle name="Normal 12 3 5 2 7 2" xfId="6887" xr:uid="{00000000-0005-0000-0000-0000DF1A0000}"/>
    <cellStyle name="Normal 12 3 5 2 7 3" xfId="6888" xr:uid="{00000000-0005-0000-0000-0000E01A0000}"/>
    <cellStyle name="Normal 12 3 5 2 8" xfId="6889" xr:uid="{00000000-0005-0000-0000-0000E11A0000}"/>
    <cellStyle name="Normal 12 3 5 2 9" xfId="6890" xr:uid="{00000000-0005-0000-0000-0000E21A0000}"/>
    <cellStyle name="Normal 12 3 5 3" xfId="6891" xr:uid="{00000000-0005-0000-0000-0000E31A0000}"/>
    <cellStyle name="Normal 12 3 5 3 2" xfId="6892" xr:uid="{00000000-0005-0000-0000-0000E41A0000}"/>
    <cellStyle name="Normal 12 3 5 3 3" xfId="6893" xr:uid="{00000000-0005-0000-0000-0000E51A0000}"/>
    <cellStyle name="Normal 12 3 5 4" xfId="6894" xr:uid="{00000000-0005-0000-0000-0000E61A0000}"/>
    <cellStyle name="Normal 12 3 5 4 2" xfId="6895" xr:uid="{00000000-0005-0000-0000-0000E71A0000}"/>
    <cellStyle name="Normal 12 3 5 4 3" xfId="6896" xr:uid="{00000000-0005-0000-0000-0000E81A0000}"/>
    <cellStyle name="Normal 12 3 5 5" xfId="6897" xr:uid="{00000000-0005-0000-0000-0000E91A0000}"/>
    <cellStyle name="Normal 12 3 5 5 2" xfId="6898" xr:uid="{00000000-0005-0000-0000-0000EA1A0000}"/>
    <cellStyle name="Normal 12 3 5 5 3" xfId="6899" xr:uid="{00000000-0005-0000-0000-0000EB1A0000}"/>
    <cellStyle name="Normal 12 3 5 6" xfId="6900" xr:uid="{00000000-0005-0000-0000-0000EC1A0000}"/>
    <cellStyle name="Normal 12 3 5 6 2" xfId="6901" xr:uid="{00000000-0005-0000-0000-0000ED1A0000}"/>
    <cellStyle name="Normal 12 3 5 6 3" xfId="6902" xr:uid="{00000000-0005-0000-0000-0000EE1A0000}"/>
    <cellStyle name="Normal 12 3 5 7" xfId="6903" xr:uid="{00000000-0005-0000-0000-0000EF1A0000}"/>
    <cellStyle name="Normal 12 3 5 7 2" xfId="6904" xr:uid="{00000000-0005-0000-0000-0000F01A0000}"/>
    <cellStyle name="Normal 12 3 5 7 3" xfId="6905" xr:uid="{00000000-0005-0000-0000-0000F11A0000}"/>
    <cellStyle name="Normal 12 3 5 8" xfId="6906" xr:uid="{00000000-0005-0000-0000-0000F21A0000}"/>
    <cellStyle name="Normal 12 3 5 8 2" xfId="6907" xr:uid="{00000000-0005-0000-0000-0000F31A0000}"/>
    <cellStyle name="Normal 12 3 5 8 3" xfId="6908" xr:uid="{00000000-0005-0000-0000-0000F41A0000}"/>
    <cellStyle name="Normal 12 3 5 9" xfId="6909" xr:uid="{00000000-0005-0000-0000-0000F51A0000}"/>
    <cellStyle name="Normal 12 3 6" xfId="6910" xr:uid="{00000000-0005-0000-0000-0000F61A0000}"/>
    <cellStyle name="Normal 12 3 6 2" xfId="6911" xr:uid="{00000000-0005-0000-0000-0000F71A0000}"/>
    <cellStyle name="Normal 12 3 6 2 2" xfId="6912" xr:uid="{00000000-0005-0000-0000-0000F81A0000}"/>
    <cellStyle name="Normal 12 3 6 2 3" xfId="6913" xr:uid="{00000000-0005-0000-0000-0000F91A0000}"/>
    <cellStyle name="Normal 12 3 6 3" xfId="6914" xr:uid="{00000000-0005-0000-0000-0000FA1A0000}"/>
    <cellStyle name="Normal 12 3 6 3 2" xfId="6915" xr:uid="{00000000-0005-0000-0000-0000FB1A0000}"/>
    <cellStyle name="Normal 12 3 6 3 3" xfId="6916" xr:uid="{00000000-0005-0000-0000-0000FC1A0000}"/>
    <cellStyle name="Normal 12 3 6 4" xfId="6917" xr:uid="{00000000-0005-0000-0000-0000FD1A0000}"/>
    <cellStyle name="Normal 12 3 6 4 2" xfId="6918" xr:uid="{00000000-0005-0000-0000-0000FE1A0000}"/>
    <cellStyle name="Normal 12 3 6 4 3" xfId="6919" xr:uid="{00000000-0005-0000-0000-0000FF1A0000}"/>
    <cellStyle name="Normal 12 3 6 5" xfId="6920" xr:uid="{00000000-0005-0000-0000-0000001B0000}"/>
    <cellStyle name="Normal 12 3 6 5 2" xfId="6921" xr:uid="{00000000-0005-0000-0000-0000011B0000}"/>
    <cellStyle name="Normal 12 3 6 5 3" xfId="6922" xr:uid="{00000000-0005-0000-0000-0000021B0000}"/>
    <cellStyle name="Normal 12 3 6 6" xfId="6923" xr:uid="{00000000-0005-0000-0000-0000031B0000}"/>
    <cellStyle name="Normal 12 3 6 6 2" xfId="6924" xr:uid="{00000000-0005-0000-0000-0000041B0000}"/>
    <cellStyle name="Normal 12 3 6 6 3" xfId="6925" xr:uid="{00000000-0005-0000-0000-0000051B0000}"/>
    <cellStyle name="Normal 12 3 6 7" xfId="6926" xr:uid="{00000000-0005-0000-0000-0000061B0000}"/>
    <cellStyle name="Normal 12 3 6 7 2" xfId="6927" xr:uid="{00000000-0005-0000-0000-0000071B0000}"/>
    <cellStyle name="Normal 12 3 6 7 3" xfId="6928" xr:uid="{00000000-0005-0000-0000-0000081B0000}"/>
    <cellStyle name="Normal 12 3 6 8" xfId="6929" xr:uid="{00000000-0005-0000-0000-0000091B0000}"/>
    <cellStyle name="Normal 12 3 6 9" xfId="6930" xr:uid="{00000000-0005-0000-0000-00000A1B0000}"/>
    <cellStyle name="Normal 12 3 7" xfId="6931" xr:uid="{00000000-0005-0000-0000-00000B1B0000}"/>
    <cellStyle name="Normal 12 3 7 2" xfId="6932" xr:uid="{00000000-0005-0000-0000-00000C1B0000}"/>
    <cellStyle name="Normal 12 3 7 3" xfId="6933" xr:uid="{00000000-0005-0000-0000-00000D1B0000}"/>
    <cellStyle name="Normal 12 3 8" xfId="6934" xr:uid="{00000000-0005-0000-0000-00000E1B0000}"/>
    <cellStyle name="Normal 12 3 8 2" xfId="6935" xr:uid="{00000000-0005-0000-0000-00000F1B0000}"/>
    <cellStyle name="Normal 12 3 8 3" xfId="6936" xr:uid="{00000000-0005-0000-0000-0000101B0000}"/>
    <cellStyle name="Normal 12 3 9" xfId="6937" xr:uid="{00000000-0005-0000-0000-0000111B0000}"/>
    <cellStyle name="Normal 12 3 9 2" xfId="6938" xr:uid="{00000000-0005-0000-0000-0000121B0000}"/>
    <cellStyle name="Normal 12 3 9 3" xfId="6939" xr:uid="{00000000-0005-0000-0000-0000131B0000}"/>
    <cellStyle name="Normal 12 4" xfId="6940" xr:uid="{00000000-0005-0000-0000-0000141B0000}"/>
    <cellStyle name="Normal 12 4 10" xfId="6941" xr:uid="{00000000-0005-0000-0000-0000151B0000}"/>
    <cellStyle name="Normal 12 4 10 2" xfId="6942" xr:uid="{00000000-0005-0000-0000-0000161B0000}"/>
    <cellStyle name="Normal 12 4 10 3" xfId="6943" xr:uid="{00000000-0005-0000-0000-0000171B0000}"/>
    <cellStyle name="Normal 12 4 11" xfId="6944" xr:uid="{00000000-0005-0000-0000-0000181B0000}"/>
    <cellStyle name="Normal 12 4 11 2" xfId="6945" xr:uid="{00000000-0005-0000-0000-0000191B0000}"/>
    <cellStyle name="Normal 12 4 11 3" xfId="6946" xr:uid="{00000000-0005-0000-0000-00001A1B0000}"/>
    <cellStyle name="Normal 12 4 12" xfId="6947" xr:uid="{00000000-0005-0000-0000-00001B1B0000}"/>
    <cellStyle name="Normal 12 4 13" xfId="6948" xr:uid="{00000000-0005-0000-0000-00001C1B0000}"/>
    <cellStyle name="Normal 12 4 2" xfId="6949" xr:uid="{00000000-0005-0000-0000-00001D1B0000}"/>
    <cellStyle name="Normal 12 4 2 10" xfId="6950" xr:uid="{00000000-0005-0000-0000-00001E1B0000}"/>
    <cellStyle name="Normal 12 4 2 10 2" xfId="6951" xr:uid="{00000000-0005-0000-0000-00001F1B0000}"/>
    <cellStyle name="Normal 12 4 2 10 3" xfId="6952" xr:uid="{00000000-0005-0000-0000-0000201B0000}"/>
    <cellStyle name="Normal 12 4 2 11" xfId="6953" xr:uid="{00000000-0005-0000-0000-0000211B0000}"/>
    <cellStyle name="Normal 12 4 2 12" xfId="6954" xr:uid="{00000000-0005-0000-0000-0000221B0000}"/>
    <cellStyle name="Normal 12 4 2 2" xfId="6955" xr:uid="{00000000-0005-0000-0000-0000231B0000}"/>
    <cellStyle name="Normal 12 4 2 2 10" xfId="6956" xr:uid="{00000000-0005-0000-0000-0000241B0000}"/>
    <cellStyle name="Normal 12 4 2 2 2" xfId="6957" xr:uid="{00000000-0005-0000-0000-0000251B0000}"/>
    <cellStyle name="Normal 12 4 2 2 2 2" xfId="6958" xr:uid="{00000000-0005-0000-0000-0000261B0000}"/>
    <cellStyle name="Normal 12 4 2 2 2 2 2" xfId="6959" xr:uid="{00000000-0005-0000-0000-0000271B0000}"/>
    <cellStyle name="Normal 12 4 2 2 2 2 3" xfId="6960" xr:uid="{00000000-0005-0000-0000-0000281B0000}"/>
    <cellStyle name="Normal 12 4 2 2 2 3" xfId="6961" xr:uid="{00000000-0005-0000-0000-0000291B0000}"/>
    <cellStyle name="Normal 12 4 2 2 2 3 2" xfId="6962" xr:uid="{00000000-0005-0000-0000-00002A1B0000}"/>
    <cellStyle name="Normal 12 4 2 2 2 3 3" xfId="6963" xr:uid="{00000000-0005-0000-0000-00002B1B0000}"/>
    <cellStyle name="Normal 12 4 2 2 2 4" xfId="6964" xr:uid="{00000000-0005-0000-0000-00002C1B0000}"/>
    <cellStyle name="Normal 12 4 2 2 2 4 2" xfId="6965" xr:uid="{00000000-0005-0000-0000-00002D1B0000}"/>
    <cellStyle name="Normal 12 4 2 2 2 4 3" xfId="6966" xr:uid="{00000000-0005-0000-0000-00002E1B0000}"/>
    <cellStyle name="Normal 12 4 2 2 2 5" xfId="6967" xr:uid="{00000000-0005-0000-0000-00002F1B0000}"/>
    <cellStyle name="Normal 12 4 2 2 2 5 2" xfId="6968" xr:uid="{00000000-0005-0000-0000-0000301B0000}"/>
    <cellStyle name="Normal 12 4 2 2 2 5 3" xfId="6969" xr:uid="{00000000-0005-0000-0000-0000311B0000}"/>
    <cellStyle name="Normal 12 4 2 2 2 6" xfId="6970" xr:uid="{00000000-0005-0000-0000-0000321B0000}"/>
    <cellStyle name="Normal 12 4 2 2 2 6 2" xfId="6971" xr:uid="{00000000-0005-0000-0000-0000331B0000}"/>
    <cellStyle name="Normal 12 4 2 2 2 6 3" xfId="6972" xr:uid="{00000000-0005-0000-0000-0000341B0000}"/>
    <cellStyle name="Normal 12 4 2 2 2 7" xfId="6973" xr:uid="{00000000-0005-0000-0000-0000351B0000}"/>
    <cellStyle name="Normal 12 4 2 2 2 7 2" xfId="6974" xr:uid="{00000000-0005-0000-0000-0000361B0000}"/>
    <cellStyle name="Normal 12 4 2 2 2 7 3" xfId="6975" xr:uid="{00000000-0005-0000-0000-0000371B0000}"/>
    <cellStyle name="Normal 12 4 2 2 2 8" xfId="6976" xr:uid="{00000000-0005-0000-0000-0000381B0000}"/>
    <cellStyle name="Normal 12 4 2 2 2 9" xfId="6977" xr:uid="{00000000-0005-0000-0000-0000391B0000}"/>
    <cellStyle name="Normal 12 4 2 2 3" xfId="6978" xr:uid="{00000000-0005-0000-0000-00003A1B0000}"/>
    <cellStyle name="Normal 12 4 2 2 3 2" xfId="6979" xr:uid="{00000000-0005-0000-0000-00003B1B0000}"/>
    <cellStyle name="Normal 12 4 2 2 3 3" xfId="6980" xr:uid="{00000000-0005-0000-0000-00003C1B0000}"/>
    <cellStyle name="Normal 12 4 2 2 4" xfId="6981" xr:uid="{00000000-0005-0000-0000-00003D1B0000}"/>
    <cellStyle name="Normal 12 4 2 2 4 2" xfId="6982" xr:uid="{00000000-0005-0000-0000-00003E1B0000}"/>
    <cellStyle name="Normal 12 4 2 2 4 3" xfId="6983" xr:uid="{00000000-0005-0000-0000-00003F1B0000}"/>
    <cellStyle name="Normal 12 4 2 2 5" xfId="6984" xr:uid="{00000000-0005-0000-0000-0000401B0000}"/>
    <cellStyle name="Normal 12 4 2 2 5 2" xfId="6985" xr:uid="{00000000-0005-0000-0000-0000411B0000}"/>
    <cellStyle name="Normal 12 4 2 2 5 3" xfId="6986" xr:uid="{00000000-0005-0000-0000-0000421B0000}"/>
    <cellStyle name="Normal 12 4 2 2 6" xfId="6987" xr:uid="{00000000-0005-0000-0000-0000431B0000}"/>
    <cellStyle name="Normal 12 4 2 2 6 2" xfId="6988" xr:uid="{00000000-0005-0000-0000-0000441B0000}"/>
    <cellStyle name="Normal 12 4 2 2 6 3" xfId="6989" xr:uid="{00000000-0005-0000-0000-0000451B0000}"/>
    <cellStyle name="Normal 12 4 2 2 7" xfId="6990" xr:uid="{00000000-0005-0000-0000-0000461B0000}"/>
    <cellStyle name="Normal 12 4 2 2 7 2" xfId="6991" xr:uid="{00000000-0005-0000-0000-0000471B0000}"/>
    <cellStyle name="Normal 12 4 2 2 7 3" xfId="6992" xr:uid="{00000000-0005-0000-0000-0000481B0000}"/>
    <cellStyle name="Normal 12 4 2 2 8" xfId="6993" xr:uid="{00000000-0005-0000-0000-0000491B0000}"/>
    <cellStyle name="Normal 12 4 2 2 8 2" xfId="6994" xr:uid="{00000000-0005-0000-0000-00004A1B0000}"/>
    <cellStyle name="Normal 12 4 2 2 8 3" xfId="6995" xr:uid="{00000000-0005-0000-0000-00004B1B0000}"/>
    <cellStyle name="Normal 12 4 2 2 9" xfId="6996" xr:uid="{00000000-0005-0000-0000-00004C1B0000}"/>
    <cellStyle name="Normal 12 4 2 3" xfId="6997" xr:uid="{00000000-0005-0000-0000-00004D1B0000}"/>
    <cellStyle name="Normal 12 4 2 3 10" xfId="6998" xr:uid="{00000000-0005-0000-0000-00004E1B0000}"/>
    <cellStyle name="Normal 12 4 2 3 2" xfId="6999" xr:uid="{00000000-0005-0000-0000-00004F1B0000}"/>
    <cellStyle name="Normal 12 4 2 3 2 2" xfId="7000" xr:uid="{00000000-0005-0000-0000-0000501B0000}"/>
    <cellStyle name="Normal 12 4 2 3 2 2 2" xfId="7001" xr:uid="{00000000-0005-0000-0000-0000511B0000}"/>
    <cellStyle name="Normal 12 4 2 3 2 2 3" xfId="7002" xr:uid="{00000000-0005-0000-0000-0000521B0000}"/>
    <cellStyle name="Normal 12 4 2 3 2 3" xfId="7003" xr:uid="{00000000-0005-0000-0000-0000531B0000}"/>
    <cellStyle name="Normal 12 4 2 3 2 3 2" xfId="7004" xr:uid="{00000000-0005-0000-0000-0000541B0000}"/>
    <cellStyle name="Normal 12 4 2 3 2 3 3" xfId="7005" xr:uid="{00000000-0005-0000-0000-0000551B0000}"/>
    <cellStyle name="Normal 12 4 2 3 2 4" xfId="7006" xr:uid="{00000000-0005-0000-0000-0000561B0000}"/>
    <cellStyle name="Normal 12 4 2 3 2 4 2" xfId="7007" xr:uid="{00000000-0005-0000-0000-0000571B0000}"/>
    <cellStyle name="Normal 12 4 2 3 2 4 3" xfId="7008" xr:uid="{00000000-0005-0000-0000-0000581B0000}"/>
    <cellStyle name="Normal 12 4 2 3 2 5" xfId="7009" xr:uid="{00000000-0005-0000-0000-0000591B0000}"/>
    <cellStyle name="Normal 12 4 2 3 2 5 2" xfId="7010" xr:uid="{00000000-0005-0000-0000-00005A1B0000}"/>
    <cellStyle name="Normal 12 4 2 3 2 5 3" xfId="7011" xr:uid="{00000000-0005-0000-0000-00005B1B0000}"/>
    <cellStyle name="Normal 12 4 2 3 2 6" xfId="7012" xr:uid="{00000000-0005-0000-0000-00005C1B0000}"/>
    <cellStyle name="Normal 12 4 2 3 2 6 2" xfId="7013" xr:uid="{00000000-0005-0000-0000-00005D1B0000}"/>
    <cellStyle name="Normal 12 4 2 3 2 6 3" xfId="7014" xr:uid="{00000000-0005-0000-0000-00005E1B0000}"/>
    <cellStyle name="Normal 12 4 2 3 2 7" xfId="7015" xr:uid="{00000000-0005-0000-0000-00005F1B0000}"/>
    <cellStyle name="Normal 12 4 2 3 2 7 2" xfId="7016" xr:uid="{00000000-0005-0000-0000-0000601B0000}"/>
    <cellStyle name="Normal 12 4 2 3 2 7 3" xfId="7017" xr:uid="{00000000-0005-0000-0000-0000611B0000}"/>
    <cellStyle name="Normal 12 4 2 3 2 8" xfId="7018" xr:uid="{00000000-0005-0000-0000-0000621B0000}"/>
    <cellStyle name="Normal 12 4 2 3 2 9" xfId="7019" xr:uid="{00000000-0005-0000-0000-0000631B0000}"/>
    <cellStyle name="Normal 12 4 2 3 3" xfId="7020" xr:uid="{00000000-0005-0000-0000-0000641B0000}"/>
    <cellStyle name="Normal 12 4 2 3 3 2" xfId="7021" xr:uid="{00000000-0005-0000-0000-0000651B0000}"/>
    <cellStyle name="Normal 12 4 2 3 3 3" xfId="7022" xr:uid="{00000000-0005-0000-0000-0000661B0000}"/>
    <cellStyle name="Normal 12 4 2 3 4" xfId="7023" xr:uid="{00000000-0005-0000-0000-0000671B0000}"/>
    <cellStyle name="Normal 12 4 2 3 4 2" xfId="7024" xr:uid="{00000000-0005-0000-0000-0000681B0000}"/>
    <cellStyle name="Normal 12 4 2 3 4 3" xfId="7025" xr:uid="{00000000-0005-0000-0000-0000691B0000}"/>
    <cellStyle name="Normal 12 4 2 3 5" xfId="7026" xr:uid="{00000000-0005-0000-0000-00006A1B0000}"/>
    <cellStyle name="Normal 12 4 2 3 5 2" xfId="7027" xr:uid="{00000000-0005-0000-0000-00006B1B0000}"/>
    <cellStyle name="Normal 12 4 2 3 5 3" xfId="7028" xr:uid="{00000000-0005-0000-0000-00006C1B0000}"/>
    <cellStyle name="Normal 12 4 2 3 6" xfId="7029" xr:uid="{00000000-0005-0000-0000-00006D1B0000}"/>
    <cellStyle name="Normal 12 4 2 3 6 2" xfId="7030" xr:uid="{00000000-0005-0000-0000-00006E1B0000}"/>
    <cellStyle name="Normal 12 4 2 3 6 3" xfId="7031" xr:uid="{00000000-0005-0000-0000-00006F1B0000}"/>
    <cellStyle name="Normal 12 4 2 3 7" xfId="7032" xr:uid="{00000000-0005-0000-0000-0000701B0000}"/>
    <cellStyle name="Normal 12 4 2 3 7 2" xfId="7033" xr:uid="{00000000-0005-0000-0000-0000711B0000}"/>
    <cellStyle name="Normal 12 4 2 3 7 3" xfId="7034" xr:uid="{00000000-0005-0000-0000-0000721B0000}"/>
    <cellStyle name="Normal 12 4 2 3 8" xfId="7035" xr:uid="{00000000-0005-0000-0000-0000731B0000}"/>
    <cellStyle name="Normal 12 4 2 3 8 2" xfId="7036" xr:uid="{00000000-0005-0000-0000-0000741B0000}"/>
    <cellStyle name="Normal 12 4 2 3 8 3" xfId="7037" xr:uid="{00000000-0005-0000-0000-0000751B0000}"/>
    <cellStyle name="Normal 12 4 2 3 9" xfId="7038" xr:uid="{00000000-0005-0000-0000-0000761B0000}"/>
    <cellStyle name="Normal 12 4 2 4" xfId="7039" xr:uid="{00000000-0005-0000-0000-0000771B0000}"/>
    <cellStyle name="Normal 12 4 2 4 2" xfId="7040" xr:uid="{00000000-0005-0000-0000-0000781B0000}"/>
    <cellStyle name="Normal 12 4 2 4 2 2" xfId="7041" xr:uid="{00000000-0005-0000-0000-0000791B0000}"/>
    <cellStyle name="Normal 12 4 2 4 2 3" xfId="7042" xr:uid="{00000000-0005-0000-0000-00007A1B0000}"/>
    <cellStyle name="Normal 12 4 2 4 3" xfId="7043" xr:uid="{00000000-0005-0000-0000-00007B1B0000}"/>
    <cellStyle name="Normal 12 4 2 4 3 2" xfId="7044" xr:uid="{00000000-0005-0000-0000-00007C1B0000}"/>
    <cellStyle name="Normal 12 4 2 4 3 3" xfId="7045" xr:uid="{00000000-0005-0000-0000-00007D1B0000}"/>
    <cellStyle name="Normal 12 4 2 4 4" xfId="7046" xr:uid="{00000000-0005-0000-0000-00007E1B0000}"/>
    <cellStyle name="Normal 12 4 2 4 4 2" xfId="7047" xr:uid="{00000000-0005-0000-0000-00007F1B0000}"/>
    <cellStyle name="Normal 12 4 2 4 4 3" xfId="7048" xr:uid="{00000000-0005-0000-0000-0000801B0000}"/>
    <cellStyle name="Normal 12 4 2 4 5" xfId="7049" xr:uid="{00000000-0005-0000-0000-0000811B0000}"/>
    <cellStyle name="Normal 12 4 2 4 5 2" xfId="7050" xr:uid="{00000000-0005-0000-0000-0000821B0000}"/>
    <cellStyle name="Normal 12 4 2 4 5 3" xfId="7051" xr:uid="{00000000-0005-0000-0000-0000831B0000}"/>
    <cellStyle name="Normal 12 4 2 4 6" xfId="7052" xr:uid="{00000000-0005-0000-0000-0000841B0000}"/>
    <cellStyle name="Normal 12 4 2 4 6 2" xfId="7053" xr:uid="{00000000-0005-0000-0000-0000851B0000}"/>
    <cellStyle name="Normal 12 4 2 4 6 3" xfId="7054" xr:uid="{00000000-0005-0000-0000-0000861B0000}"/>
    <cellStyle name="Normal 12 4 2 4 7" xfId="7055" xr:uid="{00000000-0005-0000-0000-0000871B0000}"/>
    <cellStyle name="Normal 12 4 2 4 7 2" xfId="7056" xr:uid="{00000000-0005-0000-0000-0000881B0000}"/>
    <cellStyle name="Normal 12 4 2 4 7 3" xfId="7057" xr:uid="{00000000-0005-0000-0000-0000891B0000}"/>
    <cellStyle name="Normal 12 4 2 4 8" xfId="7058" xr:uid="{00000000-0005-0000-0000-00008A1B0000}"/>
    <cellStyle name="Normal 12 4 2 4 9" xfId="7059" xr:uid="{00000000-0005-0000-0000-00008B1B0000}"/>
    <cellStyle name="Normal 12 4 2 5" xfId="7060" xr:uid="{00000000-0005-0000-0000-00008C1B0000}"/>
    <cellStyle name="Normal 12 4 2 5 2" xfId="7061" xr:uid="{00000000-0005-0000-0000-00008D1B0000}"/>
    <cellStyle name="Normal 12 4 2 5 3" xfId="7062" xr:uid="{00000000-0005-0000-0000-00008E1B0000}"/>
    <cellStyle name="Normal 12 4 2 6" xfId="7063" xr:uid="{00000000-0005-0000-0000-00008F1B0000}"/>
    <cellStyle name="Normal 12 4 2 6 2" xfId="7064" xr:uid="{00000000-0005-0000-0000-0000901B0000}"/>
    <cellStyle name="Normal 12 4 2 6 3" xfId="7065" xr:uid="{00000000-0005-0000-0000-0000911B0000}"/>
    <cellStyle name="Normal 12 4 2 7" xfId="7066" xr:uid="{00000000-0005-0000-0000-0000921B0000}"/>
    <cellStyle name="Normal 12 4 2 7 2" xfId="7067" xr:uid="{00000000-0005-0000-0000-0000931B0000}"/>
    <cellStyle name="Normal 12 4 2 7 3" xfId="7068" xr:uid="{00000000-0005-0000-0000-0000941B0000}"/>
    <cellStyle name="Normal 12 4 2 8" xfId="7069" xr:uid="{00000000-0005-0000-0000-0000951B0000}"/>
    <cellStyle name="Normal 12 4 2 8 2" xfId="7070" xr:uid="{00000000-0005-0000-0000-0000961B0000}"/>
    <cellStyle name="Normal 12 4 2 8 3" xfId="7071" xr:uid="{00000000-0005-0000-0000-0000971B0000}"/>
    <cellStyle name="Normal 12 4 2 9" xfId="7072" xr:uid="{00000000-0005-0000-0000-0000981B0000}"/>
    <cellStyle name="Normal 12 4 2 9 2" xfId="7073" xr:uid="{00000000-0005-0000-0000-0000991B0000}"/>
    <cellStyle name="Normal 12 4 2 9 3" xfId="7074" xr:uid="{00000000-0005-0000-0000-00009A1B0000}"/>
    <cellStyle name="Normal 12 4 3" xfId="7075" xr:uid="{00000000-0005-0000-0000-00009B1B0000}"/>
    <cellStyle name="Normal 12 4 3 10" xfId="7076" xr:uid="{00000000-0005-0000-0000-00009C1B0000}"/>
    <cellStyle name="Normal 12 4 3 2" xfId="7077" xr:uid="{00000000-0005-0000-0000-00009D1B0000}"/>
    <cellStyle name="Normal 12 4 3 2 2" xfId="7078" xr:uid="{00000000-0005-0000-0000-00009E1B0000}"/>
    <cellStyle name="Normal 12 4 3 2 2 2" xfId="7079" xr:uid="{00000000-0005-0000-0000-00009F1B0000}"/>
    <cellStyle name="Normal 12 4 3 2 2 3" xfId="7080" xr:uid="{00000000-0005-0000-0000-0000A01B0000}"/>
    <cellStyle name="Normal 12 4 3 2 3" xfId="7081" xr:uid="{00000000-0005-0000-0000-0000A11B0000}"/>
    <cellStyle name="Normal 12 4 3 2 3 2" xfId="7082" xr:uid="{00000000-0005-0000-0000-0000A21B0000}"/>
    <cellStyle name="Normal 12 4 3 2 3 3" xfId="7083" xr:uid="{00000000-0005-0000-0000-0000A31B0000}"/>
    <cellStyle name="Normal 12 4 3 2 4" xfId="7084" xr:uid="{00000000-0005-0000-0000-0000A41B0000}"/>
    <cellStyle name="Normal 12 4 3 2 4 2" xfId="7085" xr:uid="{00000000-0005-0000-0000-0000A51B0000}"/>
    <cellStyle name="Normal 12 4 3 2 4 3" xfId="7086" xr:uid="{00000000-0005-0000-0000-0000A61B0000}"/>
    <cellStyle name="Normal 12 4 3 2 5" xfId="7087" xr:uid="{00000000-0005-0000-0000-0000A71B0000}"/>
    <cellStyle name="Normal 12 4 3 2 5 2" xfId="7088" xr:uid="{00000000-0005-0000-0000-0000A81B0000}"/>
    <cellStyle name="Normal 12 4 3 2 5 3" xfId="7089" xr:uid="{00000000-0005-0000-0000-0000A91B0000}"/>
    <cellStyle name="Normal 12 4 3 2 6" xfId="7090" xr:uid="{00000000-0005-0000-0000-0000AA1B0000}"/>
    <cellStyle name="Normal 12 4 3 2 6 2" xfId="7091" xr:uid="{00000000-0005-0000-0000-0000AB1B0000}"/>
    <cellStyle name="Normal 12 4 3 2 6 3" xfId="7092" xr:uid="{00000000-0005-0000-0000-0000AC1B0000}"/>
    <cellStyle name="Normal 12 4 3 2 7" xfId="7093" xr:uid="{00000000-0005-0000-0000-0000AD1B0000}"/>
    <cellStyle name="Normal 12 4 3 2 7 2" xfId="7094" xr:uid="{00000000-0005-0000-0000-0000AE1B0000}"/>
    <cellStyle name="Normal 12 4 3 2 7 3" xfId="7095" xr:uid="{00000000-0005-0000-0000-0000AF1B0000}"/>
    <cellStyle name="Normal 12 4 3 2 8" xfId="7096" xr:uid="{00000000-0005-0000-0000-0000B01B0000}"/>
    <cellStyle name="Normal 12 4 3 2 9" xfId="7097" xr:uid="{00000000-0005-0000-0000-0000B11B0000}"/>
    <cellStyle name="Normal 12 4 3 3" xfId="7098" xr:uid="{00000000-0005-0000-0000-0000B21B0000}"/>
    <cellStyle name="Normal 12 4 3 3 2" xfId="7099" xr:uid="{00000000-0005-0000-0000-0000B31B0000}"/>
    <cellStyle name="Normal 12 4 3 3 3" xfId="7100" xr:uid="{00000000-0005-0000-0000-0000B41B0000}"/>
    <cellStyle name="Normal 12 4 3 4" xfId="7101" xr:uid="{00000000-0005-0000-0000-0000B51B0000}"/>
    <cellStyle name="Normal 12 4 3 4 2" xfId="7102" xr:uid="{00000000-0005-0000-0000-0000B61B0000}"/>
    <cellStyle name="Normal 12 4 3 4 3" xfId="7103" xr:uid="{00000000-0005-0000-0000-0000B71B0000}"/>
    <cellStyle name="Normal 12 4 3 5" xfId="7104" xr:uid="{00000000-0005-0000-0000-0000B81B0000}"/>
    <cellStyle name="Normal 12 4 3 5 2" xfId="7105" xr:uid="{00000000-0005-0000-0000-0000B91B0000}"/>
    <cellStyle name="Normal 12 4 3 5 3" xfId="7106" xr:uid="{00000000-0005-0000-0000-0000BA1B0000}"/>
    <cellStyle name="Normal 12 4 3 6" xfId="7107" xr:uid="{00000000-0005-0000-0000-0000BB1B0000}"/>
    <cellStyle name="Normal 12 4 3 6 2" xfId="7108" xr:uid="{00000000-0005-0000-0000-0000BC1B0000}"/>
    <cellStyle name="Normal 12 4 3 6 3" xfId="7109" xr:uid="{00000000-0005-0000-0000-0000BD1B0000}"/>
    <cellStyle name="Normal 12 4 3 7" xfId="7110" xr:uid="{00000000-0005-0000-0000-0000BE1B0000}"/>
    <cellStyle name="Normal 12 4 3 7 2" xfId="7111" xr:uid="{00000000-0005-0000-0000-0000BF1B0000}"/>
    <cellStyle name="Normal 12 4 3 7 3" xfId="7112" xr:uid="{00000000-0005-0000-0000-0000C01B0000}"/>
    <cellStyle name="Normal 12 4 3 8" xfId="7113" xr:uid="{00000000-0005-0000-0000-0000C11B0000}"/>
    <cellStyle name="Normal 12 4 3 8 2" xfId="7114" xr:uid="{00000000-0005-0000-0000-0000C21B0000}"/>
    <cellStyle name="Normal 12 4 3 8 3" xfId="7115" xr:uid="{00000000-0005-0000-0000-0000C31B0000}"/>
    <cellStyle name="Normal 12 4 3 9" xfId="7116" xr:uid="{00000000-0005-0000-0000-0000C41B0000}"/>
    <cellStyle name="Normal 12 4 4" xfId="7117" xr:uid="{00000000-0005-0000-0000-0000C51B0000}"/>
    <cellStyle name="Normal 12 4 4 10" xfId="7118" xr:uid="{00000000-0005-0000-0000-0000C61B0000}"/>
    <cellStyle name="Normal 12 4 4 2" xfId="7119" xr:uid="{00000000-0005-0000-0000-0000C71B0000}"/>
    <cellStyle name="Normal 12 4 4 2 2" xfId="7120" xr:uid="{00000000-0005-0000-0000-0000C81B0000}"/>
    <cellStyle name="Normal 12 4 4 2 2 2" xfId="7121" xr:uid="{00000000-0005-0000-0000-0000C91B0000}"/>
    <cellStyle name="Normal 12 4 4 2 2 3" xfId="7122" xr:uid="{00000000-0005-0000-0000-0000CA1B0000}"/>
    <cellStyle name="Normal 12 4 4 2 3" xfId="7123" xr:uid="{00000000-0005-0000-0000-0000CB1B0000}"/>
    <cellStyle name="Normal 12 4 4 2 3 2" xfId="7124" xr:uid="{00000000-0005-0000-0000-0000CC1B0000}"/>
    <cellStyle name="Normal 12 4 4 2 3 3" xfId="7125" xr:uid="{00000000-0005-0000-0000-0000CD1B0000}"/>
    <cellStyle name="Normal 12 4 4 2 4" xfId="7126" xr:uid="{00000000-0005-0000-0000-0000CE1B0000}"/>
    <cellStyle name="Normal 12 4 4 2 4 2" xfId="7127" xr:uid="{00000000-0005-0000-0000-0000CF1B0000}"/>
    <cellStyle name="Normal 12 4 4 2 4 3" xfId="7128" xr:uid="{00000000-0005-0000-0000-0000D01B0000}"/>
    <cellStyle name="Normal 12 4 4 2 5" xfId="7129" xr:uid="{00000000-0005-0000-0000-0000D11B0000}"/>
    <cellStyle name="Normal 12 4 4 2 5 2" xfId="7130" xr:uid="{00000000-0005-0000-0000-0000D21B0000}"/>
    <cellStyle name="Normal 12 4 4 2 5 3" xfId="7131" xr:uid="{00000000-0005-0000-0000-0000D31B0000}"/>
    <cellStyle name="Normal 12 4 4 2 6" xfId="7132" xr:uid="{00000000-0005-0000-0000-0000D41B0000}"/>
    <cellStyle name="Normal 12 4 4 2 6 2" xfId="7133" xr:uid="{00000000-0005-0000-0000-0000D51B0000}"/>
    <cellStyle name="Normal 12 4 4 2 6 3" xfId="7134" xr:uid="{00000000-0005-0000-0000-0000D61B0000}"/>
    <cellStyle name="Normal 12 4 4 2 7" xfId="7135" xr:uid="{00000000-0005-0000-0000-0000D71B0000}"/>
    <cellStyle name="Normal 12 4 4 2 7 2" xfId="7136" xr:uid="{00000000-0005-0000-0000-0000D81B0000}"/>
    <cellStyle name="Normal 12 4 4 2 7 3" xfId="7137" xr:uid="{00000000-0005-0000-0000-0000D91B0000}"/>
    <cellStyle name="Normal 12 4 4 2 8" xfId="7138" xr:uid="{00000000-0005-0000-0000-0000DA1B0000}"/>
    <cellStyle name="Normal 12 4 4 2 9" xfId="7139" xr:uid="{00000000-0005-0000-0000-0000DB1B0000}"/>
    <cellStyle name="Normal 12 4 4 3" xfId="7140" xr:uid="{00000000-0005-0000-0000-0000DC1B0000}"/>
    <cellStyle name="Normal 12 4 4 3 2" xfId="7141" xr:uid="{00000000-0005-0000-0000-0000DD1B0000}"/>
    <cellStyle name="Normal 12 4 4 3 3" xfId="7142" xr:uid="{00000000-0005-0000-0000-0000DE1B0000}"/>
    <cellStyle name="Normal 12 4 4 4" xfId="7143" xr:uid="{00000000-0005-0000-0000-0000DF1B0000}"/>
    <cellStyle name="Normal 12 4 4 4 2" xfId="7144" xr:uid="{00000000-0005-0000-0000-0000E01B0000}"/>
    <cellStyle name="Normal 12 4 4 4 3" xfId="7145" xr:uid="{00000000-0005-0000-0000-0000E11B0000}"/>
    <cellStyle name="Normal 12 4 4 5" xfId="7146" xr:uid="{00000000-0005-0000-0000-0000E21B0000}"/>
    <cellStyle name="Normal 12 4 4 5 2" xfId="7147" xr:uid="{00000000-0005-0000-0000-0000E31B0000}"/>
    <cellStyle name="Normal 12 4 4 5 3" xfId="7148" xr:uid="{00000000-0005-0000-0000-0000E41B0000}"/>
    <cellStyle name="Normal 12 4 4 6" xfId="7149" xr:uid="{00000000-0005-0000-0000-0000E51B0000}"/>
    <cellStyle name="Normal 12 4 4 6 2" xfId="7150" xr:uid="{00000000-0005-0000-0000-0000E61B0000}"/>
    <cellStyle name="Normal 12 4 4 6 3" xfId="7151" xr:uid="{00000000-0005-0000-0000-0000E71B0000}"/>
    <cellStyle name="Normal 12 4 4 7" xfId="7152" xr:uid="{00000000-0005-0000-0000-0000E81B0000}"/>
    <cellStyle name="Normal 12 4 4 7 2" xfId="7153" xr:uid="{00000000-0005-0000-0000-0000E91B0000}"/>
    <cellStyle name="Normal 12 4 4 7 3" xfId="7154" xr:uid="{00000000-0005-0000-0000-0000EA1B0000}"/>
    <cellStyle name="Normal 12 4 4 8" xfId="7155" xr:uid="{00000000-0005-0000-0000-0000EB1B0000}"/>
    <cellStyle name="Normal 12 4 4 8 2" xfId="7156" xr:uid="{00000000-0005-0000-0000-0000EC1B0000}"/>
    <cellStyle name="Normal 12 4 4 8 3" xfId="7157" xr:uid="{00000000-0005-0000-0000-0000ED1B0000}"/>
    <cellStyle name="Normal 12 4 4 9" xfId="7158" xr:uid="{00000000-0005-0000-0000-0000EE1B0000}"/>
    <cellStyle name="Normal 12 4 5" xfId="7159" xr:uid="{00000000-0005-0000-0000-0000EF1B0000}"/>
    <cellStyle name="Normal 12 4 5 2" xfId="7160" xr:uid="{00000000-0005-0000-0000-0000F01B0000}"/>
    <cellStyle name="Normal 12 4 5 2 2" xfId="7161" xr:uid="{00000000-0005-0000-0000-0000F11B0000}"/>
    <cellStyle name="Normal 12 4 5 2 3" xfId="7162" xr:uid="{00000000-0005-0000-0000-0000F21B0000}"/>
    <cellStyle name="Normal 12 4 5 3" xfId="7163" xr:uid="{00000000-0005-0000-0000-0000F31B0000}"/>
    <cellStyle name="Normal 12 4 5 3 2" xfId="7164" xr:uid="{00000000-0005-0000-0000-0000F41B0000}"/>
    <cellStyle name="Normal 12 4 5 3 3" xfId="7165" xr:uid="{00000000-0005-0000-0000-0000F51B0000}"/>
    <cellStyle name="Normal 12 4 5 4" xfId="7166" xr:uid="{00000000-0005-0000-0000-0000F61B0000}"/>
    <cellStyle name="Normal 12 4 5 4 2" xfId="7167" xr:uid="{00000000-0005-0000-0000-0000F71B0000}"/>
    <cellStyle name="Normal 12 4 5 4 3" xfId="7168" xr:uid="{00000000-0005-0000-0000-0000F81B0000}"/>
    <cellStyle name="Normal 12 4 5 5" xfId="7169" xr:uid="{00000000-0005-0000-0000-0000F91B0000}"/>
    <cellStyle name="Normal 12 4 5 5 2" xfId="7170" xr:uid="{00000000-0005-0000-0000-0000FA1B0000}"/>
    <cellStyle name="Normal 12 4 5 5 3" xfId="7171" xr:uid="{00000000-0005-0000-0000-0000FB1B0000}"/>
    <cellStyle name="Normal 12 4 5 6" xfId="7172" xr:uid="{00000000-0005-0000-0000-0000FC1B0000}"/>
    <cellStyle name="Normal 12 4 5 6 2" xfId="7173" xr:uid="{00000000-0005-0000-0000-0000FD1B0000}"/>
    <cellStyle name="Normal 12 4 5 6 3" xfId="7174" xr:uid="{00000000-0005-0000-0000-0000FE1B0000}"/>
    <cellStyle name="Normal 12 4 5 7" xfId="7175" xr:uid="{00000000-0005-0000-0000-0000FF1B0000}"/>
    <cellStyle name="Normal 12 4 5 7 2" xfId="7176" xr:uid="{00000000-0005-0000-0000-0000001C0000}"/>
    <cellStyle name="Normal 12 4 5 7 3" xfId="7177" xr:uid="{00000000-0005-0000-0000-0000011C0000}"/>
    <cellStyle name="Normal 12 4 5 8" xfId="7178" xr:uid="{00000000-0005-0000-0000-0000021C0000}"/>
    <cellStyle name="Normal 12 4 5 9" xfId="7179" xr:uid="{00000000-0005-0000-0000-0000031C0000}"/>
    <cellStyle name="Normal 12 4 6" xfId="7180" xr:uid="{00000000-0005-0000-0000-0000041C0000}"/>
    <cellStyle name="Normal 12 4 6 2" xfId="7181" xr:uid="{00000000-0005-0000-0000-0000051C0000}"/>
    <cellStyle name="Normal 12 4 6 3" xfId="7182" xr:uid="{00000000-0005-0000-0000-0000061C0000}"/>
    <cellStyle name="Normal 12 4 7" xfId="7183" xr:uid="{00000000-0005-0000-0000-0000071C0000}"/>
    <cellStyle name="Normal 12 4 7 2" xfId="7184" xr:uid="{00000000-0005-0000-0000-0000081C0000}"/>
    <cellStyle name="Normal 12 4 7 3" xfId="7185" xr:uid="{00000000-0005-0000-0000-0000091C0000}"/>
    <cellStyle name="Normal 12 4 8" xfId="7186" xr:uid="{00000000-0005-0000-0000-00000A1C0000}"/>
    <cellStyle name="Normal 12 4 8 2" xfId="7187" xr:uid="{00000000-0005-0000-0000-00000B1C0000}"/>
    <cellStyle name="Normal 12 4 8 3" xfId="7188" xr:uid="{00000000-0005-0000-0000-00000C1C0000}"/>
    <cellStyle name="Normal 12 4 9" xfId="7189" xr:uid="{00000000-0005-0000-0000-00000D1C0000}"/>
    <cellStyle name="Normal 12 4 9 2" xfId="7190" xr:uid="{00000000-0005-0000-0000-00000E1C0000}"/>
    <cellStyle name="Normal 12 4 9 3" xfId="7191" xr:uid="{00000000-0005-0000-0000-00000F1C0000}"/>
    <cellStyle name="Normal 12 5" xfId="7192" xr:uid="{00000000-0005-0000-0000-0000101C0000}"/>
    <cellStyle name="Normal 12 5 10" xfId="7193" xr:uid="{00000000-0005-0000-0000-0000111C0000}"/>
    <cellStyle name="Normal 12 5 10 2" xfId="7194" xr:uid="{00000000-0005-0000-0000-0000121C0000}"/>
    <cellStyle name="Normal 12 5 10 3" xfId="7195" xr:uid="{00000000-0005-0000-0000-0000131C0000}"/>
    <cellStyle name="Normal 12 5 11" xfId="7196" xr:uid="{00000000-0005-0000-0000-0000141C0000}"/>
    <cellStyle name="Normal 12 5 12" xfId="7197" xr:uid="{00000000-0005-0000-0000-0000151C0000}"/>
    <cellStyle name="Normal 12 5 2" xfId="7198" xr:uid="{00000000-0005-0000-0000-0000161C0000}"/>
    <cellStyle name="Normal 12 5 2 10" xfId="7199" xr:uid="{00000000-0005-0000-0000-0000171C0000}"/>
    <cellStyle name="Normal 12 5 2 2" xfId="7200" xr:uid="{00000000-0005-0000-0000-0000181C0000}"/>
    <cellStyle name="Normal 12 5 2 2 2" xfId="7201" xr:uid="{00000000-0005-0000-0000-0000191C0000}"/>
    <cellStyle name="Normal 12 5 2 2 2 2" xfId="7202" xr:uid="{00000000-0005-0000-0000-00001A1C0000}"/>
    <cellStyle name="Normal 12 5 2 2 2 3" xfId="7203" xr:uid="{00000000-0005-0000-0000-00001B1C0000}"/>
    <cellStyle name="Normal 12 5 2 2 3" xfId="7204" xr:uid="{00000000-0005-0000-0000-00001C1C0000}"/>
    <cellStyle name="Normal 12 5 2 2 3 2" xfId="7205" xr:uid="{00000000-0005-0000-0000-00001D1C0000}"/>
    <cellStyle name="Normal 12 5 2 2 3 3" xfId="7206" xr:uid="{00000000-0005-0000-0000-00001E1C0000}"/>
    <cellStyle name="Normal 12 5 2 2 4" xfId="7207" xr:uid="{00000000-0005-0000-0000-00001F1C0000}"/>
    <cellStyle name="Normal 12 5 2 2 4 2" xfId="7208" xr:uid="{00000000-0005-0000-0000-0000201C0000}"/>
    <cellStyle name="Normal 12 5 2 2 4 3" xfId="7209" xr:uid="{00000000-0005-0000-0000-0000211C0000}"/>
    <cellStyle name="Normal 12 5 2 2 5" xfId="7210" xr:uid="{00000000-0005-0000-0000-0000221C0000}"/>
    <cellStyle name="Normal 12 5 2 2 5 2" xfId="7211" xr:uid="{00000000-0005-0000-0000-0000231C0000}"/>
    <cellStyle name="Normal 12 5 2 2 5 3" xfId="7212" xr:uid="{00000000-0005-0000-0000-0000241C0000}"/>
    <cellStyle name="Normal 12 5 2 2 6" xfId="7213" xr:uid="{00000000-0005-0000-0000-0000251C0000}"/>
    <cellStyle name="Normal 12 5 2 2 6 2" xfId="7214" xr:uid="{00000000-0005-0000-0000-0000261C0000}"/>
    <cellStyle name="Normal 12 5 2 2 6 3" xfId="7215" xr:uid="{00000000-0005-0000-0000-0000271C0000}"/>
    <cellStyle name="Normal 12 5 2 2 7" xfId="7216" xr:uid="{00000000-0005-0000-0000-0000281C0000}"/>
    <cellStyle name="Normal 12 5 2 2 7 2" xfId="7217" xr:uid="{00000000-0005-0000-0000-0000291C0000}"/>
    <cellStyle name="Normal 12 5 2 2 7 3" xfId="7218" xr:uid="{00000000-0005-0000-0000-00002A1C0000}"/>
    <cellStyle name="Normal 12 5 2 2 8" xfId="7219" xr:uid="{00000000-0005-0000-0000-00002B1C0000}"/>
    <cellStyle name="Normal 12 5 2 2 9" xfId="7220" xr:uid="{00000000-0005-0000-0000-00002C1C0000}"/>
    <cellStyle name="Normal 12 5 2 3" xfId="7221" xr:uid="{00000000-0005-0000-0000-00002D1C0000}"/>
    <cellStyle name="Normal 12 5 2 3 2" xfId="7222" xr:uid="{00000000-0005-0000-0000-00002E1C0000}"/>
    <cellStyle name="Normal 12 5 2 3 3" xfId="7223" xr:uid="{00000000-0005-0000-0000-00002F1C0000}"/>
    <cellStyle name="Normal 12 5 2 4" xfId="7224" xr:uid="{00000000-0005-0000-0000-0000301C0000}"/>
    <cellStyle name="Normal 12 5 2 4 2" xfId="7225" xr:uid="{00000000-0005-0000-0000-0000311C0000}"/>
    <cellStyle name="Normal 12 5 2 4 3" xfId="7226" xr:uid="{00000000-0005-0000-0000-0000321C0000}"/>
    <cellStyle name="Normal 12 5 2 5" xfId="7227" xr:uid="{00000000-0005-0000-0000-0000331C0000}"/>
    <cellStyle name="Normal 12 5 2 5 2" xfId="7228" xr:uid="{00000000-0005-0000-0000-0000341C0000}"/>
    <cellStyle name="Normal 12 5 2 5 3" xfId="7229" xr:uid="{00000000-0005-0000-0000-0000351C0000}"/>
    <cellStyle name="Normal 12 5 2 6" xfId="7230" xr:uid="{00000000-0005-0000-0000-0000361C0000}"/>
    <cellStyle name="Normal 12 5 2 6 2" xfId="7231" xr:uid="{00000000-0005-0000-0000-0000371C0000}"/>
    <cellStyle name="Normal 12 5 2 6 3" xfId="7232" xr:uid="{00000000-0005-0000-0000-0000381C0000}"/>
    <cellStyle name="Normal 12 5 2 7" xfId="7233" xr:uid="{00000000-0005-0000-0000-0000391C0000}"/>
    <cellStyle name="Normal 12 5 2 7 2" xfId="7234" xr:uid="{00000000-0005-0000-0000-00003A1C0000}"/>
    <cellStyle name="Normal 12 5 2 7 3" xfId="7235" xr:uid="{00000000-0005-0000-0000-00003B1C0000}"/>
    <cellStyle name="Normal 12 5 2 8" xfId="7236" xr:uid="{00000000-0005-0000-0000-00003C1C0000}"/>
    <cellStyle name="Normal 12 5 2 8 2" xfId="7237" xr:uid="{00000000-0005-0000-0000-00003D1C0000}"/>
    <cellStyle name="Normal 12 5 2 8 3" xfId="7238" xr:uid="{00000000-0005-0000-0000-00003E1C0000}"/>
    <cellStyle name="Normal 12 5 2 9" xfId="7239" xr:uid="{00000000-0005-0000-0000-00003F1C0000}"/>
    <cellStyle name="Normal 12 5 3" xfId="7240" xr:uid="{00000000-0005-0000-0000-0000401C0000}"/>
    <cellStyle name="Normal 12 5 3 10" xfId="7241" xr:uid="{00000000-0005-0000-0000-0000411C0000}"/>
    <cellStyle name="Normal 12 5 3 2" xfId="7242" xr:uid="{00000000-0005-0000-0000-0000421C0000}"/>
    <cellStyle name="Normal 12 5 3 2 2" xfId="7243" xr:uid="{00000000-0005-0000-0000-0000431C0000}"/>
    <cellStyle name="Normal 12 5 3 2 2 2" xfId="7244" xr:uid="{00000000-0005-0000-0000-0000441C0000}"/>
    <cellStyle name="Normal 12 5 3 2 2 3" xfId="7245" xr:uid="{00000000-0005-0000-0000-0000451C0000}"/>
    <cellStyle name="Normal 12 5 3 2 3" xfId="7246" xr:uid="{00000000-0005-0000-0000-0000461C0000}"/>
    <cellStyle name="Normal 12 5 3 2 3 2" xfId="7247" xr:uid="{00000000-0005-0000-0000-0000471C0000}"/>
    <cellStyle name="Normal 12 5 3 2 3 3" xfId="7248" xr:uid="{00000000-0005-0000-0000-0000481C0000}"/>
    <cellStyle name="Normal 12 5 3 2 4" xfId="7249" xr:uid="{00000000-0005-0000-0000-0000491C0000}"/>
    <cellStyle name="Normal 12 5 3 2 4 2" xfId="7250" xr:uid="{00000000-0005-0000-0000-00004A1C0000}"/>
    <cellStyle name="Normal 12 5 3 2 4 3" xfId="7251" xr:uid="{00000000-0005-0000-0000-00004B1C0000}"/>
    <cellStyle name="Normal 12 5 3 2 5" xfId="7252" xr:uid="{00000000-0005-0000-0000-00004C1C0000}"/>
    <cellStyle name="Normal 12 5 3 2 5 2" xfId="7253" xr:uid="{00000000-0005-0000-0000-00004D1C0000}"/>
    <cellStyle name="Normal 12 5 3 2 5 3" xfId="7254" xr:uid="{00000000-0005-0000-0000-00004E1C0000}"/>
    <cellStyle name="Normal 12 5 3 2 6" xfId="7255" xr:uid="{00000000-0005-0000-0000-00004F1C0000}"/>
    <cellStyle name="Normal 12 5 3 2 6 2" xfId="7256" xr:uid="{00000000-0005-0000-0000-0000501C0000}"/>
    <cellStyle name="Normal 12 5 3 2 6 3" xfId="7257" xr:uid="{00000000-0005-0000-0000-0000511C0000}"/>
    <cellStyle name="Normal 12 5 3 2 7" xfId="7258" xr:uid="{00000000-0005-0000-0000-0000521C0000}"/>
    <cellStyle name="Normal 12 5 3 2 7 2" xfId="7259" xr:uid="{00000000-0005-0000-0000-0000531C0000}"/>
    <cellStyle name="Normal 12 5 3 2 7 3" xfId="7260" xr:uid="{00000000-0005-0000-0000-0000541C0000}"/>
    <cellStyle name="Normal 12 5 3 2 8" xfId="7261" xr:uid="{00000000-0005-0000-0000-0000551C0000}"/>
    <cellStyle name="Normal 12 5 3 2 9" xfId="7262" xr:uid="{00000000-0005-0000-0000-0000561C0000}"/>
    <cellStyle name="Normal 12 5 3 3" xfId="7263" xr:uid="{00000000-0005-0000-0000-0000571C0000}"/>
    <cellStyle name="Normal 12 5 3 3 2" xfId="7264" xr:uid="{00000000-0005-0000-0000-0000581C0000}"/>
    <cellStyle name="Normal 12 5 3 3 3" xfId="7265" xr:uid="{00000000-0005-0000-0000-0000591C0000}"/>
    <cellStyle name="Normal 12 5 3 4" xfId="7266" xr:uid="{00000000-0005-0000-0000-00005A1C0000}"/>
    <cellStyle name="Normal 12 5 3 4 2" xfId="7267" xr:uid="{00000000-0005-0000-0000-00005B1C0000}"/>
    <cellStyle name="Normal 12 5 3 4 3" xfId="7268" xr:uid="{00000000-0005-0000-0000-00005C1C0000}"/>
    <cellStyle name="Normal 12 5 3 5" xfId="7269" xr:uid="{00000000-0005-0000-0000-00005D1C0000}"/>
    <cellStyle name="Normal 12 5 3 5 2" xfId="7270" xr:uid="{00000000-0005-0000-0000-00005E1C0000}"/>
    <cellStyle name="Normal 12 5 3 5 3" xfId="7271" xr:uid="{00000000-0005-0000-0000-00005F1C0000}"/>
    <cellStyle name="Normal 12 5 3 6" xfId="7272" xr:uid="{00000000-0005-0000-0000-0000601C0000}"/>
    <cellStyle name="Normal 12 5 3 6 2" xfId="7273" xr:uid="{00000000-0005-0000-0000-0000611C0000}"/>
    <cellStyle name="Normal 12 5 3 6 3" xfId="7274" xr:uid="{00000000-0005-0000-0000-0000621C0000}"/>
    <cellStyle name="Normal 12 5 3 7" xfId="7275" xr:uid="{00000000-0005-0000-0000-0000631C0000}"/>
    <cellStyle name="Normal 12 5 3 7 2" xfId="7276" xr:uid="{00000000-0005-0000-0000-0000641C0000}"/>
    <cellStyle name="Normal 12 5 3 7 3" xfId="7277" xr:uid="{00000000-0005-0000-0000-0000651C0000}"/>
    <cellStyle name="Normal 12 5 3 8" xfId="7278" xr:uid="{00000000-0005-0000-0000-0000661C0000}"/>
    <cellStyle name="Normal 12 5 3 8 2" xfId="7279" xr:uid="{00000000-0005-0000-0000-0000671C0000}"/>
    <cellStyle name="Normal 12 5 3 8 3" xfId="7280" xr:uid="{00000000-0005-0000-0000-0000681C0000}"/>
    <cellStyle name="Normal 12 5 3 9" xfId="7281" xr:uid="{00000000-0005-0000-0000-0000691C0000}"/>
    <cellStyle name="Normal 12 5 4" xfId="7282" xr:uid="{00000000-0005-0000-0000-00006A1C0000}"/>
    <cellStyle name="Normal 12 5 4 2" xfId="7283" xr:uid="{00000000-0005-0000-0000-00006B1C0000}"/>
    <cellStyle name="Normal 12 5 4 2 2" xfId="7284" xr:uid="{00000000-0005-0000-0000-00006C1C0000}"/>
    <cellStyle name="Normal 12 5 4 2 3" xfId="7285" xr:uid="{00000000-0005-0000-0000-00006D1C0000}"/>
    <cellStyle name="Normal 12 5 4 3" xfId="7286" xr:uid="{00000000-0005-0000-0000-00006E1C0000}"/>
    <cellStyle name="Normal 12 5 4 3 2" xfId="7287" xr:uid="{00000000-0005-0000-0000-00006F1C0000}"/>
    <cellStyle name="Normal 12 5 4 3 3" xfId="7288" xr:uid="{00000000-0005-0000-0000-0000701C0000}"/>
    <cellStyle name="Normal 12 5 4 4" xfId="7289" xr:uid="{00000000-0005-0000-0000-0000711C0000}"/>
    <cellStyle name="Normal 12 5 4 4 2" xfId="7290" xr:uid="{00000000-0005-0000-0000-0000721C0000}"/>
    <cellStyle name="Normal 12 5 4 4 3" xfId="7291" xr:uid="{00000000-0005-0000-0000-0000731C0000}"/>
    <cellStyle name="Normal 12 5 4 5" xfId="7292" xr:uid="{00000000-0005-0000-0000-0000741C0000}"/>
    <cellStyle name="Normal 12 5 4 5 2" xfId="7293" xr:uid="{00000000-0005-0000-0000-0000751C0000}"/>
    <cellStyle name="Normal 12 5 4 5 3" xfId="7294" xr:uid="{00000000-0005-0000-0000-0000761C0000}"/>
    <cellStyle name="Normal 12 5 4 6" xfId="7295" xr:uid="{00000000-0005-0000-0000-0000771C0000}"/>
    <cellStyle name="Normal 12 5 4 6 2" xfId="7296" xr:uid="{00000000-0005-0000-0000-0000781C0000}"/>
    <cellStyle name="Normal 12 5 4 6 3" xfId="7297" xr:uid="{00000000-0005-0000-0000-0000791C0000}"/>
    <cellStyle name="Normal 12 5 4 7" xfId="7298" xr:uid="{00000000-0005-0000-0000-00007A1C0000}"/>
    <cellStyle name="Normal 12 5 4 7 2" xfId="7299" xr:uid="{00000000-0005-0000-0000-00007B1C0000}"/>
    <cellStyle name="Normal 12 5 4 7 3" xfId="7300" xr:uid="{00000000-0005-0000-0000-00007C1C0000}"/>
    <cellStyle name="Normal 12 5 4 8" xfId="7301" xr:uid="{00000000-0005-0000-0000-00007D1C0000}"/>
    <cellStyle name="Normal 12 5 4 9" xfId="7302" xr:uid="{00000000-0005-0000-0000-00007E1C0000}"/>
    <cellStyle name="Normal 12 5 5" xfId="7303" xr:uid="{00000000-0005-0000-0000-00007F1C0000}"/>
    <cellStyle name="Normal 12 5 5 2" xfId="7304" xr:uid="{00000000-0005-0000-0000-0000801C0000}"/>
    <cellStyle name="Normal 12 5 5 3" xfId="7305" xr:uid="{00000000-0005-0000-0000-0000811C0000}"/>
    <cellStyle name="Normal 12 5 6" xfId="7306" xr:uid="{00000000-0005-0000-0000-0000821C0000}"/>
    <cellStyle name="Normal 12 5 6 2" xfId="7307" xr:uid="{00000000-0005-0000-0000-0000831C0000}"/>
    <cellStyle name="Normal 12 5 6 3" xfId="7308" xr:uid="{00000000-0005-0000-0000-0000841C0000}"/>
    <cellStyle name="Normal 12 5 7" xfId="7309" xr:uid="{00000000-0005-0000-0000-0000851C0000}"/>
    <cellStyle name="Normal 12 5 7 2" xfId="7310" xr:uid="{00000000-0005-0000-0000-0000861C0000}"/>
    <cellStyle name="Normal 12 5 7 3" xfId="7311" xr:uid="{00000000-0005-0000-0000-0000871C0000}"/>
    <cellStyle name="Normal 12 5 8" xfId="7312" xr:uid="{00000000-0005-0000-0000-0000881C0000}"/>
    <cellStyle name="Normal 12 5 8 2" xfId="7313" xr:uid="{00000000-0005-0000-0000-0000891C0000}"/>
    <cellStyle name="Normal 12 5 8 3" xfId="7314" xr:uid="{00000000-0005-0000-0000-00008A1C0000}"/>
    <cellStyle name="Normal 12 5 9" xfId="7315" xr:uid="{00000000-0005-0000-0000-00008B1C0000}"/>
    <cellStyle name="Normal 12 5 9 2" xfId="7316" xr:uid="{00000000-0005-0000-0000-00008C1C0000}"/>
    <cellStyle name="Normal 12 5 9 3" xfId="7317" xr:uid="{00000000-0005-0000-0000-00008D1C0000}"/>
    <cellStyle name="Normal 12 6" xfId="7318" xr:uid="{00000000-0005-0000-0000-00008E1C0000}"/>
    <cellStyle name="Normal 12 6 10" xfId="7319" xr:uid="{00000000-0005-0000-0000-00008F1C0000}"/>
    <cellStyle name="Normal 12 6 2" xfId="7320" xr:uid="{00000000-0005-0000-0000-0000901C0000}"/>
    <cellStyle name="Normal 12 6 2 2" xfId="7321" xr:uid="{00000000-0005-0000-0000-0000911C0000}"/>
    <cellStyle name="Normal 12 6 2 2 2" xfId="7322" xr:uid="{00000000-0005-0000-0000-0000921C0000}"/>
    <cellStyle name="Normal 12 6 2 2 3" xfId="7323" xr:uid="{00000000-0005-0000-0000-0000931C0000}"/>
    <cellStyle name="Normal 12 6 2 3" xfId="7324" xr:uid="{00000000-0005-0000-0000-0000941C0000}"/>
    <cellStyle name="Normal 12 6 2 3 2" xfId="7325" xr:uid="{00000000-0005-0000-0000-0000951C0000}"/>
    <cellStyle name="Normal 12 6 2 3 3" xfId="7326" xr:uid="{00000000-0005-0000-0000-0000961C0000}"/>
    <cellStyle name="Normal 12 6 2 4" xfId="7327" xr:uid="{00000000-0005-0000-0000-0000971C0000}"/>
    <cellStyle name="Normal 12 6 2 4 2" xfId="7328" xr:uid="{00000000-0005-0000-0000-0000981C0000}"/>
    <cellStyle name="Normal 12 6 2 4 3" xfId="7329" xr:uid="{00000000-0005-0000-0000-0000991C0000}"/>
    <cellStyle name="Normal 12 6 2 5" xfId="7330" xr:uid="{00000000-0005-0000-0000-00009A1C0000}"/>
    <cellStyle name="Normal 12 6 2 5 2" xfId="7331" xr:uid="{00000000-0005-0000-0000-00009B1C0000}"/>
    <cellStyle name="Normal 12 6 2 5 3" xfId="7332" xr:uid="{00000000-0005-0000-0000-00009C1C0000}"/>
    <cellStyle name="Normal 12 6 2 6" xfId="7333" xr:uid="{00000000-0005-0000-0000-00009D1C0000}"/>
    <cellStyle name="Normal 12 6 2 6 2" xfId="7334" xr:uid="{00000000-0005-0000-0000-00009E1C0000}"/>
    <cellStyle name="Normal 12 6 2 6 3" xfId="7335" xr:uid="{00000000-0005-0000-0000-00009F1C0000}"/>
    <cellStyle name="Normal 12 6 2 7" xfId="7336" xr:uid="{00000000-0005-0000-0000-0000A01C0000}"/>
    <cellStyle name="Normal 12 6 2 7 2" xfId="7337" xr:uid="{00000000-0005-0000-0000-0000A11C0000}"/>
    <cellStyle name="Normal 12 6 2 7 3" xfId="7338" xr:uid="{00000000-0005-0000-0000-0000A21C0000}"/>
    <cellStyle name="Normal 12 6 2 8" xfId="7339" xr:uid="{00000000-0005-0000-0000-0000A31C0000}"/>
    <cellStyle name="Normal 12 6 2 9" xfId="7340" xr:uid="{00000000-0005-0000-0000-0000A41C0000}"/>
    <cellStyle name="Normal 12 6 3" xfId="7341" xr:uid="{00000000-0005-0000-0000-0000A51C0000}"/>
    <cellStyle name="Normal 12 6 3 2" xfId="7342" xr:uid="{00000000-0005-0000-0000-0000A61C0000}"/>
    <cellStyle name="Normal 12 6 3 3" xfId="7343" xr:uid="{00000000-0005-0000-0000-0000A71C0000}"/>
    <cellStyle name="Normal 12 6 4" xfId="7344" xr:uid="{00000000-0005-0000-0000-0000A81C0000}"/>
    <cellStyle name="Normal 12 6 4 2" xfId="7345" xr:uid="{00000000-0005-0000-0000-0000A91C0000}"/>
    <cellStyle name="Normal 12 6 4 3" xfId="7346" xr:uid="{00000000-0005-0000-0000-0000AA1C0000}"/>
    <cellStyle name="Normal 12 6 5" xfId="7347" xr:uid="{00000000-0005-0000-0000-0000AB1C0000}"/>
    <cellStyle name="Normal 12 6 5 2" xfId="7348" xr:uid="{00000000-0005-0000-0000-0000AC1C0000}"/>
    <cellStyle name="Normal 12 6 5 3" xfId="7349" xr:uid="{00000000-0005-0000-0000-0000AD1C0000}"/>
    <cellStyle name="Normal 12 6 6" xfId="7350" xr:uid="{00000000-0005-0000-0000-0000AE1C0000}"/>
    <cellStyle name="Normal 12 6 6 2" xfId="7351" xr:uid="{00000000-0005-0000-0000-0000AF1C0000}"/>
    <cellStyle name="Normal 12 6 6 3" xfId="7352" xr:uid="{00000000-0005-0000-0000-0000B01C0000}"/>
    <cellStyle name="Normal 12 6 7" xfId="7353" xr:uid="{00000000-0005-0000-0000-0000B11C0000}"/>
    <cellStyle name="Normal 12 6 7 2" xfId="7354" xr:uid="{00000000-0005-0000-0000-0000B21C0000}"/>
    <cellStyle name="Normal 12 6 7 3" xfId="7355" xr:uid="{00000000-0005-0000-0000-0000B31C0000}"/>
    <cellStyle name="Normal 12 6 8" xfId="7356" xr:uid="{00000000-0005-0000-0000-0000B41C0000}"/>
    <cellStyle name="Normal 12 6 8 2" xfId="7357" xr:uid="{00000000-0005-0000-0000-0000B51C0000}"/>
    <cellStyle name="Normal 12 6 8 3" xfId="7358" xr:uid="{00000000-0005-0000-0000-0000B61C0000}"/>
    <cellStyle name="Normal 12 6 9" xfId="7359" xr:uid="{00000000-0005-0000-0000-0000B71C0000}"/>
    <cellStyle name="Normal 12 7" xfId="7360" xr:uid="{00000000-0005-0000-0000-0000B81C0000}"/>
    <cellStyle name="Normal 12 7 10" xfId="7361" xr:uid="{00000000-0005-0000-0000-0000B91C0000}"/>
    <cellStyle name="Normal 12 7 2" xfId="7362" xr:uid="{00000000-0005-0000-0000-0000BA1C0000}"/>
    <cellStyle name="Normal 12 7 2 2" xfId="7363" xr:uid="{00000000-0005-0000-0000-0000BB1C0000}"/>
    <cellStyle name="Normal 12 7 2 2 2" xfId="7364" xr:uid="{00000000-0005-0000-0000-0000BC1C0000}"/>
    <cellStyle name="Normal 12 7 2 2 3" xfId="7365" xr:uid="{00000000-0005-0000-0000-0000BD1C0000}"/>
    <cellStyle name="Normal 12 7 2 3" xfId="7366" xr:uid="{00000000-0005-0000-0000-0000BE1C0000}"/>
    <cellStyle name="Normal 12 7 2 3 2" xfId="7367" xr:uid="{00000000-0005-0000-0000-0000BF1C0000}"/>
    <cellStyle name="Normal 12 7 2 3 3" xfId="7368" xr:uid="{00000000-0005-0000-0000-0000C01C0000}"/>
    <cellStyle name="Normal 12 7 2 4" xfId="7369" xr:uid="{00000000-0005-0000-0000-0000C11C0000}"/>
    <cellStyle name="Normal 12 7 2 4 2" xfId="7370" xr:uid="{00000000-0005-0000-0000-0000C21C0000}"/>
    <cellStyle name="Normal 12 7 2 4 3" xfId="7371" xr:uid="{00000000-0005-0000-0000-0000C31C0000}"/>
    <cellStyle name="Normal 12 7 2 5" xfId="7372" xr:uid="{00000000-0005-0000-0000-0000C41C0000}"/>
    <cellStyle name="Normal 12 7 2 5 2" xfId="7373" xr:uid="{00000000-0005-0000-0000-0000C51C0000}"/>
    <cellStyle name="Normal 12 7 2 5 3" xfId="7374" xr:uid="{00000000-0005-0000-0000-0000C61C0000}"/>
    <cellStyle name="Normal 12 7 2 6" xfId="7375" xr:uid="{00000000-0005-0000-0000-0000C71C0000}"/>
    <cellStyle name="Normal 12 7 2 6 2" xfId="7376" xr:uid="{00000000-0005-0000-0000-0000C81C0000}"/>
    <cellStyle name="Normal 12 7 2 6 3" xfId="7377" xr:uid="{00000000-0005-0000-0000-0000C91C0000}"/>
    <cellStyle name="Normal 12 7 2 7" xfId="7378" xr:uid="{00000000-0005-0000-0000-0000CA1C0000}"/>
    <cellStyle name="Normal 12 7 2 7 2" xfId="7379" xr:uid="{00000000-0005-0000-0000-0000CB1C0000}"/>
    <cellStyle name="Normal 12 7 2 7 3" xfId="7380" xr:uid="{00000000-0005-0000-0000-0000CC1C0000}"/>
    <cellStyle name="Normal 12 7 2 8" xfId="7381" xr:uid="{00000000-0005-0000-0000-0000CD1C0000}"/>
    <cellStyle name="Normal 12 7 2 9" xfId="7382" xr:uid="{00000000-0005-0000-0000-0000CE1C0000}"/>
    <cellStyle name="Normal 12 7 3" xfId="7383" xr:uid="{00000000-0005-0000-0000-0000CF1C0000}"/>
    <cellStyle name="Normal 12 7 3 2" xfId="7384" xr:uid="{00000000-0005-0000-0000-0000D01C0000}"/>
    <cellStyle name="Normal 12 7 3 3" xfId="7385" xr:uid="{00000000-0005-0000-0000-0000D11C0000}"/>
    <cellStyle name="Normal 12 7 4" xfId="7386" xr:uid="{00000000-0005-0000-0000-0000D21C0000}"/>
    <cellStyle name="Normal 12 7 4 2" xfId="7387" xr:uid="{00000000-0005-0000-0000-0000D31C0000}"/>
    <cellStyle name="Normal 12 7 4 3" xfId="7388" xr:uid="{00000000-0005-0000-0000-0000D41C0000}"/>
    <cellStyle name="Normal 12 7 5" xfId="7389" xr:uid="{00000000-0005-0000-0000-0000D51C0000}"/>
    <cellStyle name="Normal 12 7 5 2" xfId="7390" xr:uid="{00000000-0005-0000-0000-0000D61C0000}"/>
    <cellStyle name="Normal 12 7 5 3" xfId="7391" xr:uid="{00000000-0005-0000-0000-0000D71C0000}"/>
    <cellStyle name="Normal 12 7 6" xfId="7392" xr:uid="{00000000-0005-0000-0000-0000D81C0000}"/>
    <cellStyle name="Normal 12 7 6 2" xfId="7393" xr:uid="{00000000-0005-0000-0000-0000D91C0000}"/>
    <cellStyle name="Normal 12 7 6 3" xfId="7394" xr:uid="{00000000-0005-0000-0000-0000DA1C0000}"/>
    <cellStyle name="Normal 12 7 7" xfId="7395" xr:uid="{00000000-0005-0000-0000-0000DB1C0000}"/>
    <cellStyle name="Normal 12 7 7 2" xfId="7396" xr:uid="{00000000-0005-0000-0000-0000DC1C0000}"/>
    <cellStyle name="Normal 12 7 7 3" xfId="7397" xr:uid="{00000000-0005-0000-0000-0000DD1C0000}"/>
    <cellStyle name="Normal 12 7 8" xfId="7398" xr:uid="{00000000-0005-0000-0000-0000DE1C0000}"/>
    <cellStyle name="Normal 12 7 8 2" xfId="7399" xr:uid="{00000000-0005-0000-0000-0000DF1C0000}"/>
    <cellStyle name="Normal 12 7 8 3" xfId="7400" xr:uid="{00000000-0005-0000-0000-0000E01C0000}"/>
    <cellStyle name="Normal 12 7 9" xfId="7401" xr:uid="{00000000-0005-0000-0000-0000E11C0000}"/>
    <cellStyle name="Normal 12 8" xfId="7402" xr:uid="{00000000-0005-0000-0000-0000E21C0000}"/>
    <cellStyle name="Normal 12 8 2" xfId="7403" xr:uid="{00000000-0005-0000-0000-0000E31C0000}"/>
    <cellStyle name="Normal 12 8 2 2" xfId="7404" xr:uid="{00000000-0005-0000-0000-0000E41C0000}"/>
    <cellStyle name="Normal 12 8 2 3" xfId="7405" xr:uid="{00000000-0005-0000-0000-0000E51C0000}"/>
    <cellStyle name="Normal 12 8 3" xfId="7406" xr:uid="{00000000-0005-0000-0000-0000E61C0000}"/>
    <cellStyle name="Normal 12 8 3 2" xfId="7407" xr:uid="{00000000-0005-0000-0000-0000E71C0000}"/>
    <cellStyle name="Normal 12 8 3 3" xfId="7408" xr:uid="{00000000-0005-0000-0000-0000E81C0000}"/>
    <cellStyle name="Normal 12 8 4" xfId="7409" xr:uid="{00000000-0005-0000-0000-0000E91C0000}"/>
    <cellStyle name="Normal 12 8 4 2" xfId="7410" xr:uid="{00000000-0005-0000-0000-0000EA1C0000}"/>
    <cellStyle name="Normal 12 8 4 3" xfId="7411" xr:uid="{00000000-0005-0000-0000-0000EB1C0000}"/>
    <cellStyle name="Normal 12 8 5" xfId="7412" xr:uid="{00000000-0005-0000-0000-0000EC1C0000}"/>
    <cellStyle name="Normal 12 8 5 2" xfId="7413" xr:uid="{00000000-0005-0000-0000-0000ED1C0000}"/>
    <cellStyle name="Normal 12 8 5 3" xfId="7414" xr:uid="{00000000-0005-0000-0000-0000EE1C0000}"/>
    <cellStyle name="Normal 12 8 6" xfId="7415" xr:uid="{00000000-0005-0000-0000-0000EF1C0000}"/>
    <cellStyle name="Normal 12 8 6 2" xfId="7416" xr:uid="{00000000-0005-0000-0000-0000F01C0000}"/>
    <cellStyle name="Normal 12 8 6 3" xfId="7417" xr:uid="{00000000-0005-0000-0000-0000F11C0000}"/>
    <cellStyle name="Normal 12 8 7" xfId="7418" xr:uid="{00000000-0005-0000-0000-0000F21C0000}"/>
    <cellStyle name="Normal 12 8 7 2" xfId="7419" xr:uid="{00000000-0005-0000-0000-0000F31C0000}"/>
    <cellStyle name="Normal 12 8 7 3" xfId="7420" xr:uid="{00000000-0005-0000-0000-0000F41C0000}"/>
    <cellStyle name="Normal 12 8 8" xfId="7421" xr:uid="{00000000-0005-0000-0000-0000F51C0000}"/>
    <cellStyle name="Normal 12 8 9" xfId="7422" xr:uid="{00000000-0005-0000-0000-0000F61C0000}"/>
    <cellStyle name="Normal 12 9" xfId="7423" xr:uid="{00000000-0005-0000-0000-0000F71C0000}"/>
    <cellStyle name="Normal 12 9 2" xfId="7424" xr:uid="{00000000-0005-0000-0000-0000F81C0000}"/>
    <cellStyle name="Normal 12 9 3" xfId="7425" xr:uid="{00000000-0005-0000-0000-0000F91C0000}"/>
    <cellStyle name="Normal 13" xfId="7426" xr:uid="{00000000-0005-0000-0000-0000FA1C0000}"/>
    <cellStyle name="Normal 14" xfId="9" xr:uid="{00000000-0005-0000-0000-0000FB1C0000}"/>
    <cellStyle name="Normal 14 10" xfId="7427" xr:uid="{00000000-0005-0000-0000-0000FC1C0000}"/>
    <cellStyle name="Normal 14 10 2" xfId="7428" xr:uid="{00000000-0005-0000-0000-0000FD1C0000}"/>
    <cellStyle name="Normal 14 10 3" xfId="7429" xr:uid="{00000000-0005-0000-0000-0000FE1C0000}"/>
    <cellStyle name="Normal 14 11" xfId="7430" xr:uid="{00000000-0005-0000-0000-0000FF1C0000}"/>
    <cellStyle name="Normal 14 11 2" xfId="7431" xr:uid="{00000000-0005-0000-0000-0000001D0000}"/>
    <cellStyle name="Normal 14 11 3" xfId="7432" xr:uid="{00000000-0005-0000-0000-0000011D0000}"/>
    <cellStyle name="Normal 14 12" xfId="7433" xr:uid="{00000000-0005-0000-0000-0000021D0000}"/>
    <cellStyle name="Normal 14 12 2" xfId="7434" xr:uid="{00000000-0005-0000-0000-0000031D0000}"/>
    <cellStyle name="Normal 14 12 3" xfId="7435" xr:uid="{00000000-0005-0000-0000-0000041D0000}"/>
    <cellStyle name="Normal 14 13" xfId="7436" xr:uid="{00000000-0005-0000-0000-0000051D0000}"/>
    <cellStyle name="Normal 14 14" xfId="7437" xr:uid="{00000000-0005-0000-0000-0000061D0000}"/>
    <cellStyle name="Normal 14 2" xfId="7438" xr:uid="{00000000-0005-0000-0000-0000071D0000}"/>
    <cellStyle name="Normal 14 2 10" xfId="7439" xr:uid="{00000000-0005-0000-0000-0000081D0000}"/>
    <cellStyle name="Normal 14 2 10 2" xfId="7440" xr:uid="{00000000-0005-0000-0000-0000091D0000}"/>
    <cellStyle name="Normal 14 2 10 3" xfId="7441" xr:uid="{00000000-0005-0000-0000-00000A1D0000}"/>
    <cellStyle name="Normal 14 2 11" xfId="7442" xr:uid="{00000000-0005-0000-0000-00000B1D0000}"/>
    <cellStyle name="Normal 14 2 11 2" xfId="7443" xr:uid="{00000000-0005-0000-0000-00000C1D0000}"/>
    <cellStyle name="Normal 14 2 11 3" xfId="7444" xr:uid="{00000000-0005-0000-0000-00000D1D0000}"/>
    <cellStyle name="Normal 14 2 12" xfId="7445" xr:uid="{00000000-0005-0000-0000-00000E1D0000}"/>
    <cellStyle name="Normal 14 2 13" xfId="7446" xr:uid="{00000000-0005-0000-0000-00000F1D0000}"/>
    <cellStyle name="Normal 14 2 2" xfId="7447" xr:uid="{00000000-0005-0000-0000-0000101D0000}"/>
    <cellStyle name="Normal 14 2 2 10" xfId="7448" xr:uid="{00000000-0005-0000-0000-0000111D0000}"/>
    <cellStyle name="Normal 14 2 2 10 2" xfId="7449" xr:uid="{00000000-0005-0000-0000-0000121D0000}"/>
    <cellStyle name="Normal 14 2 2 10 3" xfId="7450" xr:uid="{00000000-0005-0000-0000-0000131D0000}"/>
    <cellStyle name="Normal 14 2 2 11" xfId="7451" xr:uid="{00000000-0005-0000-0000-0000141D0000}"/>
    <cellStyle name="Normal 14 2 2 12" xfId="7452" xr:uid="{00000000-0005-0000-0000-0000151D0000}"/>
    <cellStyle name="Normal 14 2 2 2" xfId="7453" xr:uid="{00000000-0005-0000-0000-0000161D0000}"/>
    <cellStyle name="Normal 14 2 2 2 10" xfId="7454" xr:uid="{00000000-0005-0000-0000-0000171D0000}"/>
    <cellStyle name="Normal 14 2 2 2 2" xfId="7455" xr:uid="{00000000-0005-0000-0000-0000181D0000}"/>
    <cellStyle name="Normal 14 2 2 2 2 2" xfId="7456" xr:uid="{00000000-0005-0000-0000-0000191D0000}"/>
    <cellStyle name="Normal 14 2 2 2 2 2 2" xfId="7457" xr:uid="{00000000-0005-0000-0000-00001A1D0000}"/>
    <cellStyle name="Normal 14 2 2 2 2 2 3" xfId="7458" xr:uid="{00000000-0005-0000-0000-00001B1D0000}"/>
    <cellStyle name="Normal 14 2 2 2 2 3" xfId="7459" xr:uid="{00000000-0005-0000-0000-00001C1D0000}"/>
    <cellStyle name="Normal 14 2 2 2 2 3 2" xfId="7460" xr:uid="{00000000-0005-0000-0000-00001D1D0000}"/>
    <cellStyle name="Normal 14 2 2 2 2 3 3" xfId="7461" xr:uid="{00000000-0005-0000-0000-00001E1D0000}"/>
    <cellStyle name="Normal 14 2 2 2 2 4" xfId="7462" xr:uid="{00000000-0005-0000-0000-00001F1D0000}"/>
    <cellStyle name="Normal 14 2 2 2 2 4 2" xfId="7463" xr:uid="{00000000-0005-0000-0000-0000201D0000}"/>
    <cellStyle name="Normal 14 2 2 2 2 4 3" xfId="7464" xr:uid="{00000000-0005-0000-0000-0000211D0000}"/>
    <cellStyle name="Normal 14 2 2 2 2 5" xfId="7465" xr:uid="{00000000-0005-0000-0000-0000221D0000}"/>
    <cellStyle name="Normal 14 2 2 2 2 5 2" xfId="7466" xr:uid="{00000000-0005-0000-0000-0000231D0000}"/>
    <cellStyle name="Normal 14 2 2 2 2 5 3" xfId="7467" xr:uid="{00000000-0005-0000-0000-0000241D0000}"/>
    <cellStyle name="Normal 14 2 2 2 2 6" xfId="7468" xr:uid="{00000000-0005-0000-0000-0000251D0000}"/>
    <cellStyle name="Normal 14 2 2 2 2 6 2" xfId="7469" xr:uid="{00000000-0005-0000-0000-0000261D0000}"/>
    <cellStyle name="Normal 14 2 2 2 2 6 3" xfId="7470" xr:uid="{00000000-0005-0000-0000-0000271D0000}"/>
    <cellStyle name="Normal 14 2 2 2 2 7" xfId="7471" xr:uid="{00000000-0005-0000-0000-0000281D0000}"/>
    <cellStyle name="Normal 14 2 2 2 2 7 2" xfId="7472" xr:uid="{00000000-0005-0000-0000-0000291D0000}"/>
    <cellStyle name="Normal 14 2 2 2 2 7 3" xfId="7473" xr:uid="{00000000-0005-0000-0000-00002A1D0000}"/>
    <cellStyle name="Normal 14 2 2 2 2 8" xfId="7474" xr:uid="{00000000-0005-0000-0000-00002B1D0000}"/>
    <cellStyle name="Normal 14 2 2 2 2 9" xfId="7475" xr:uid="{00000000-0005-0000-0000-00002C1D0000}"/>
    <cellStyle name="Normal 14 2 2 2 3" xfId="7476" xr:uid="{00000000-0005-0000-0000-00002D1D0000}"/>
    <cellStyle name="Normal 14 2 2 2 3 2" xfId="7477" xr:uid="{00000000-0005-0000-0000-00002E1D0000}"/>
    <cellStyle name="Normal 14 2 2 2 3 3" xfId="7478" xr:uid="{00000000-0005-0000-0000-00002F1D0000}"/>
    <cellStyle name="Normal 14 2 2 2 4" xfId="7479" xr:uid="{00000000-0005-0000-0000-0000301D0000}"/>
    <cellStyle name="Normal 14 2 2 2 4 2" xfId="7480" xr:uid="{00000000-0005-0000-0000-0000311D0000}"/>
    <cellStyle name="Normal 14 2 2 2 4 3" xfId="7481" xr:uid="{00000000-0005-0000-0000-0000321D0000}"/>
    <cellStyle name="Normal 14 2 2 2 5" xfId="7482" xr:uid="{00000000-0005-0000-0000-0000331D0000}"/>
    <cellStyle name="Normal 14 2 2 2 5 2" xfId="7483" xr:uid="{00000000-0005-0000-0000-0000341D0000}"/>
    <cellStyle name="Normal 14 2 2 2 5 3" xfId="7484" xr:uid="{00000000-0005-0000-0000-0000351D0000}"/>
    <cellStyle name="Normal 14 2 2 2 6" xfId="7485" xr:uid="{00000000-0005-0000-0000-0000361D0000}"/>
    <cellStyle name="Normal 14 2 2 2 6 2" xfId="7486" xr:uid="{00000000-0005-0000-0000-0000371D0000}"/>
    <cellStyle name="Normal 14 2 2 2 6 3" xfId="7487" xr:uid="{00000000-0005-0000-0000-0000381D0000}"/>
    <cellStyle name="Normal 14 2 2 2 7" xfId="7488" xr:uid="{00000000-0005-0000-0000-0000391D0000}"/>
    <cellStyle name="Normal 14 2 2 2 7 2" xfId="7489" xr:uid="{00000000-0005-0000-0000-00003A1D0000}"/>
    <cellStyle name="Normal 14 2 2 2 7 3" xfId="7490" xr:uid="{00000000-0005-0000-0000-00003B1D0000}"/>
    <cellStyle name="Normal 14 2 2 2 8" xfId="7491" xr:uid="{00000000-0005-0000-0000-00003C1D0000}"/>
    <cellStyle name="Normal 14 2 2 2 8 2" xfId="7492" xr:uid="{00000000-0005-0000-0000-00003D1D0000}"/>
    <cellStyle name="Normal 14 2 2 2 8 3" xfId="7493" xr:uid="{00000000-0005-0000-0000-00003E1D0000}"/>
    <cellStyle name="Normal 14 2 2 2 9" xfId="7494" xr:uid="{00000000-0005-0000-0000-00003F1D0000}"/>
    <cellStyle name="Normal 14 2 2 3" xfId="7495" xr:uid="{00000000-0005-0000-0000-0000401D0000}"/>
    <cellStyle name="Normal 14 2 2 3 10" xfId="7496" xr:uid="{00000000-0005-0000-0000-0000411D0000}"/>
    <cellStyle name="Normal 14 2 2 3 2" xfId="7497" xr:uid="{00000000-0005-0000-0000-0000421D0000}"/>
    <cellStyle name="Normal 14 2 2 3 2 2" xfId="7498" xr:uid="{00000000-0005-0000-0000-0000431D0000}"/>
    <cellStyle name="Normal 14 2 2 3 2 2 2" xfId="7499" xr:uid="{00000000-0005-0000-0000-0000441D0000}"/>
    <cellStyle name="Normal 14 2 2 3 2 2 3" xfId="7500" xr:uid="{00000000-0005-0000-0000-0000451D0000}"/>
    <cellStyle name="Normal 14 2 2 3 2 3" xfId="7501" xr:uid="{00000000-0005-0000-0000-0000461D0000}"/>
    <cellStyle name="Normal 14 2 2 3 2 3 2" xfId="7502" xr:uid="{00000000-0005-0000-0000-0000471D0000}"/>
    <cellStyle name="Normal 14 2 2 3 2 3 3" xfId="7503" xr:uid="{00000000-0005-0000-0000-0000481D0000}"/>
    <cellStyle name="Normal 14 2 2 3 2 4" xfId="7504" xr:uid="{00000000-0005-0000-0000-0000491D0000}"/>
    <cellStyle name="Normal 14 2 2 3 2 4 2" xfId="7505" xr:uid="{00000000-0005-0000-0000-00004A1D0000}"/>
    <cellStyle name="Normal 14 2 2 3 2 4 3" xfId="7506" xr:uid="{00000000-0005-0000-0000-00004B1D0000}"/>
    <cellStyle name="Normal 14 2 2 3 2 5" xfId="7507" xr:uid="{00000000-0005-0000-0000-00004C1D0000}"/>
    <cellStyle name="Normal 14 2 2 3 2 5 2" xfId="7508" xr:uid="{00000000-0005-0000-0000-00004D1D0000}"/>
    <cellStyle name="Normal 14 2 2 3 2 5 3" xfId="7509" xr:uid="{00000000-0005-0000-0000-00004E1D0000}"/>
    <cellStyle name="Normal 14 2 2 3 2 6" xfId="7510" xr:uid="{00000000-0005-0000-0000-00004F1D0000}"/>
    <cellStyle name="Normal 14 2 2 3 2 6 2" xfId="7511" xr:uid="{00000000-0005-0000-0000-0000501D0000}"/>
    <cellStyle name="Normal 14 2 2 3 2 6 3" xfId="7512" xr:uid="{00000000-0005-0000-0000-0000511D0000}"/>
    <cellStyle name="Normal 14 2 2 3 2 7" xfId="7513" xr:uid="{00000000-0005-0000-0000-0000521D0000}"/>
    <cellStyle name="Normal 14 2 2 3 2 7 2" xfId="7514" xr:uid="{00000000-0005-0000-0000-0000531D0000}"/>
    <cellStyle name="Normal 14 2 2 3 2 7 3" xfId="7515" xr:uid="{00000000-0005-0000-0000-0000541D0000}"/>
    <cellStyle name="Normal 14 2 2 3 2 8" xfId="7516" xr:uid="{00000000-0005-0000-0000-0000551D0000}"/>
    <cellStyle name="Normal 14 2 2 3 2 9" xfId="7517" xr:uid="{00000000-0005-0000-0000-0000561D0000}"/>
    <cellStyle name="Normal 14 2 2 3 3" xfId="7518" xr:uid="{00000000-0005-0000-0000-0000571D0000}"/>
    <cellStyle name="Normal 14 2 2 3 3 2" xfId="7519" xr:uid="{00000000-0005-0000-0000-0000581D0000}"/>
    <cellStyle name="Normal 14 2 2 3 3 3" xfId="7520" xr:uid="{00000000-0005-0000-0000-0000591D0000}"/>
    <cellStyle name="Normal 14 2 2 3 4" xfId="7521" xr:uid="{00000000-0005-0000-0000-00005A1D0000}"/>
    <cellStyle name="Normal 14 2 2 3 4 2" xfId="7522" xr:uid="{00000000-0005-0000-0000-00005B1D0000}"/>
    <cellStyle name="Normal 14 2 2 3 4 3" xfId="7523" xr:uid="{00000000-0005-0000-0000-00005C1D0000}"/>
    <cellStyle name="Normal 14 2 2 3 5" xfId="7524" xr:uid="{00000000-0005-0000-0000-00005D1D0000}"/>
    <cellStyle name="Normal 14 2 2 3 5 2" xfId="7525" xr:uid="{00000000-0005-0000-0000-00005E1D0000}"/>
    <cellStyle name="Normal 14 2 2 3 5 3" xfId="7526" xr:uid="{00000000-0005-0000-0000-00005F1D0000}"/>
    <cellStyle name="Normal 14 2 2 3 6" xfId="7527" xr:uid="{00000000-0005-0000-0000-0000601D0000}"/>
    <cellStyle name="Normal 14 2 2 3 6 2" xfId="7528" xr:uid="{00000000-0005-0000-0000-0000611D0000}"/>
    <cellStyle name="Normal 14 2 2 3 6 3" xfId="7529" xr:uid="{00000000-0005-0000-0000-0000621D0000}"/>
    <cellStyle name="Normal 14 2 2 3 7" xfId="7530" xr:uid="{00000000-0005-0000-0000-0000631D0000}"/>
    <cellStyle name="Normal 14 2 2 3 7 2" xfId="7531" xr:uid="{00000000-0005-0000-0000-0000641D0000}"/>
    <cellStyle name="Normal 14 2 2 3 7 3" xfId="7532" xr:uid="{00000000-0005-0000-0000-0000651D0000}"/>
    <cellStyle name="Normal 14 2 2 3 8" xfId="7533" xr:uid="{00000000-0005-0000-0000-0000661D0000}"/>
    <cellStyle name="Normal 14 2 2 3 8 2" xfId="7534" xr:uid="{00000000-0005-0000-0000-0000671D0000}"/>
    <cellStyle name="Normal 14 2 2 3 8 3" xfId="7535" xr:uid="{00000000-0005-0000-0000-0000681D0000}"/>
    <cellStyle name="Normal 14 2 2 3 9" xfId="7536" xr:uid="{00000000-0005-0000-0000-0000691D0000}"/>
    <cellStyle name="Normal 14 2 2 4" xfId="7537" xr:uid="{00000000-0005-0000-0000-00006A1D0000}"/>
    <cellStyle name="Normal 14 2 2 4 2" xfId="7538" xr:uid="{00000000-0005-0000-0000-00006B1D0000}"/>
    <cellStyle name="Normal 14 2 2 4 2 2" xfId="7539" xr:uid="{00000000-0005-0000-0000-00006C1D0000}"/>
    <cellStyle name="Normal 14 2 2 4 2 3" xfId="7540" xr:uid="{00000000-0005-0000-0000-00006D1D0000}"/>
    <cellStyle name="Normal 14 2 2 4 3" xfId="7541" xr:uid="{00000000-0005-0000-0000-00006E1D0000}"/>
    <cellStyle name="Normal 14 2 2 4 3 2" xfId="7542" xr:uid="{00000000-0005-0000-0000-00006F1D0000}"/>
    <cellStyle name="Normal 14 2 2 4 3 3" xfId="7543" xr:uid="{00000000-0005-0000-0000-0000701D0000}"/>
    <cellStyle name="Normal 14 2 2 4 4" xfId="7544" xr:uid="{00000000-0005-0000-0000-0000711D0000}"/>
    <cellStyle name="Normal 14 2 2 4 4 2" xfId="7545" xr:uid="{00000000-0005-0000-0000-0000721D0000}"/>
    <cellStyle name="Normal 14 2 2 4 4 3" xfId="7546" xr:uid="{00000000-0005-0000-0000-0000731D0000}"/>
    <cellStyle name="Normal 14 2 2 4 5" xfId="7547" xr:uid="{00000000-0005-0000-0000-0000741D0000}"/>
    <cellStyle name="Normal 14 2 2 4 5 2" xfId="7548" xr:uid="{00000000-0005-0000-0000-0000751D0000}"/>
    <cellStyle name="Normal 14 2 2 4 5 3" xfId="7549" xr:uid="{00000000-0005-0000-0000-0000761D0000}"/>
    <cellStyle name="Normal 14 2 2 4 6" xfId="7550" xr:uid="{00000000-0005-0000-0000-0000771D0000}"/>
    <cellStyle name="Normal 14 2 2 4 6 2" xfId="7551" xr:uid="{00000000-0005-0000-0000-0000781D0000}"/>
    <cellStyle name="Normal 14 2 2 4 6 3" xfId="7552" xr:uid="{00000000-0005-0000-0000-0000791D0000}"/>
    <cellStyle name="Normal 14 2 2 4 7" xfId="7553" xr:uid="{00000000-0005-0000-0000-00007A1D0000}"/>
    <cellStyle name="Normal 14 2 2 4 7 2" xfId="7554" xr:uid="{00000000-0005-0000-0000-00007B1D0000}"/>
    <cellStyle name="Normal 14 2 2 4 7 3" xfId="7555" xr:uid="{00000000-0005-0000-0000-00007C1D0000}"/>
    <cellStyle name="Normal 14 2 2 4 8" xfId="7556" xr:uid="{00000000-0005-0000-0000-00007D1D0000}"/>
    <cellStyle name="Normal 14 2 2 4 9" xfId="7557" xr:uid="{00000000-0005-0000-0000-00007E1D0000}"/>
    <cellStyle name="Normal 14 2 2 5" xfId="7558" xr:uid="{00000000-0005-0000-0000-00007F1D0000}"/>
    <cellStyle name="Normal 14 2 2 5 2" xfId="7559" xr:uid="{00000000-0005-0000-0000-0000801D0000}"/>
    <cellStyle name="Normal 14 2 2 5 3" xfId="7560" xr:uid="{00000000-0005-0000-0000-0000811D0000}"/>
    <cellStyle name="Normal 14 2 2 6" xfId="7561" xr:uid="{00000000-0005-0000-0000-0000821D0000}"/>
    <cellStyle name="Normal 14 2 2 6 2" xfId="7562" xr:uid="{00000000-0005-0000-0000-0000831D0000}"/>
    <cellStyle name="Normal 14 2 2 6 3" xfId="7563" xr:uid="{00000000-0005-0000-0000-0000841D0000}"/>
    <cellStyle name="Normal 14 2 2 7" xfId="7564" xr:uid="{00000000-0005-0000-0000-0000851D0000}"/>
    <cellStyle name="Normal 14 2 2 7 2" xfId="7565" xr:uid="{00000000-0005-0000-0000-0000861D0000}"/>
    <cellStyle name="Normal 14 2 2 7 3" xfId="7566" xr:uid="{00000000-0005-0000-0000-0000871D0000}"/>
    <cellStyle name="Normal 14 2 2 8" xfId="7567" xr:uid="{00000000-0005-0000-0000-0000881D0000}"/>
    <cellStyle name="Normal 14 2 2 8 2" xfId="7568" xr:uid="{00000000-0005-0000-0000-0000891D0000}"/>
    <cellStyle name="Normal 14 2 2 8 3" xfId="7569" xr:uid="{00000000-0005-0000-0000-00008A1D0000}"/>
    <cellStyle name="Normal 14 2 2 9" xfId="7570" xr:uid="{00000000-0005-0000-0000-00008B1D0000}"/>
    <cellStyle name="Normal 14 2 2 9 2" xfId="7571" xr:uid="{00000000-0005-0000-0000-00008C1D0000}"/>
    <cellStyle name="Normal 14 2 2 9 3" xfId="7572" xr:uid="{00000000-0005-0000-0000-00008D1D0000}"/>
    <cellStyle name="Normal 14 2 3" xfId="7573" xr:uid="{00000000-0005-0000-0000-00008E1D0000}"/>
    <cellStyle name="Normal 14 2 3 10" xfId="7574" xr:uid="{00000000-0005-0000-0000-00008F1D0000}"/>
    <cellStyle name="Normal 14 2 3 2" xfId="7575" xr:uid="{00000000-0005-0000-0000-0000901D0000}"/>
    <cellStyle name="Normal 14 2 3 2 2" xfId="7576" xr:uid="{00000000-0005-0000-0000-0000911D0000}"/>
    <cellStyle name="Normal 14 2 3 2 2 2" xfId="7577" xr:uid="{00000000-0005-0000-0000-0000921D0000}"/>
    <cellStyle name="Normal 14 2 3 2 2 3" xfId="7578" xr:uid="{00000000-0005-0000-0000-0000931D0000}"/>
    <cellStyle name="Normal 14 2 3 2 3" xfId="7579" xr:uid="{00000000-0005-0000-0000-0000941D0000}"/>
    <cellStyle name="Normal 14 2 3 2 3 2" xfId="7580" xr:uid="{00000000-0005-0000-0000-0000951D0000}"/>
    <cellStyle name="Normal 14 2 3 2 3 3" xfId="7581" xr:uid="{00000000-0005-0000-0000-0000961D0000}"/>
    <cellStyle name="Normal 14 2 3 2 4" xfId="7582" xr:uid="{00000000-0005-0000-0000-0000971D0000}"/>
    <cellStyle name="Normal 14 2 3 2 4 2" xfId="7583" xr:uid="{00000000-0005-0000-0000-0000981D0000}"/>
    <cellStyle name="Normal 14 2 3 2 4 3" xfId="7584" xr:uid="{00000000-0005-0000-0000-0000991D0000}"/>
    <cellStyle name="Normal 14 2 3 2 5" xfId="7585" xr:uid="{00000000-0005-0000-0000-00009A1D0000}"/>
    <cellStyle name="Normal 14 2 3 2 5 2" xfId="7586" xr:uid="{00000000-0005-0000-0000-00009B1D0000}"/>
    <cellStyle name="Normal 14 2 3 2 5 3" xfId="7587" xr:uid="{00000000-0005-0000-0000-00009C1D0000}"/>
    <cellStyle name="Normal 14 2 3 2 6" xfId="7588" xr:uid="{00000000-0005-0000-0000-00009D1D0000}"/>
    <cellStyle name="Normal 14 2 3 2 6 2" xfId="7589" xr:uid="{00000000-0005-0000-0000-00009E1D0000}"/>
    <cellStyle name="Normal 14 2 3 2 6 3" xfId="7590" xr:uid="{00000000-0005-0000-0000-00009F1D0000}"/>
    <cellStyle name="Normal 14 2 3 2 7" xfId="7591" xr:uid="{00000000-0005-0000-0000-0000A01D0000}"/>
    <cellStyle name="Normal 14 2 3 2 7 2" xfId="7592" xr:uid="{00000000-0005-0000-0000-0000A11D0000}"/>
    <cellStyle name="Normal 14 2 3 2 7 3" xfId="7593" xr:uid="{00000000-0005-0000-0000-0000A21D0000}"/>
    <cellStyle name="Normal 14 2 3 2 8" xfId="7594" xr:uid="{00000000-0005-0000-0000-0000A31D0000}"/>
    <cellStyle name="Normal 14 2 3 2 9" xfId="7595" xr:uid="{00000000-0005-0000-0000-0000A41D0000}"/>
    <cellStyle name="Normal 14 2 3 3" xfId="7596" xr:uid="{00000000-0005-0000-0000-0000A51D0000}"/>
    <cellStyle name="Normal 14 2 3 3 2" xfId="7597" xr:uid="{00000000-0005-0000-0000-0000A61D0000}"/>
    <cellStyle name="Normal 14 2 3 3 3" xfId="7598" xr:uid="{00000000-0005-0000-0000-0000A71D0000}"/>
    <cellStyle name="Normal 14 2 3 4" xfId="7599" xr:uid="{00000000-0005-0000-0000-0000A81D0000}"/>
    <cellStyle name="Normal 14 2 3 4 2" xfId="7600" xr:uid="{00000000-0005-0000-0000-0000A91D0000}"/>
    <cellStyle name="Normal 14 2 3 4 3" xfId="7601" xr:uid="{00000000-0005-0000-0000-0000AA1D0000}"/>
    <cellStyle name="Normal 14 2 3 5" xfId="7602" xr:uid="{00000000-0005-0000-0000-0000AB1D0000}"/>
    <cellStyle name="Normal 14 2 3 5 2" xfId="7603" xr:uid="{00000000-0005-0000-0000-0000AC1D0000}"/>
    <cellStyle name="Normal 14 2 3 5 3" xfId="7604" xr:uid="{00000000-0005-0000-0000-0000AD1D0000}"/>
    <cellStyle name="Normal 14 2 3 6" xfId="7605" xr:uid="{00000000-0005-0000-0000-0000AE1D0000}"/>
    <cellStyle name="Normal 14 2 3 6 2" xfId="7606" xr:uid="{00000000-0005-0000-0000-0000AF1D0000}"/>
    <cellStyle name="Normal 14 2 3 6 3" xfId="7607" xr:uid="{00000000-0005-0000-0000-0000B01D0000}"/>
    <cellStyle name="Normal 14 2 3 7" xfId="7608" xr:uid="{00000000-0005-0000-0000-0000B11D0000}"/>
    <cellStyle name="Normal 14 2 3 7 2" xfId="7609" xr:uid="{00000000-0005-0000-0000-0000B21D0000}"/>
    <cellStyle name="Normal 14 2 3 7 3" xfId="7610" xr:uid="{00000000-0005-0000-0000-0000B31D0000}"/>
    <cellStyle name="Normal 14 2 3 8" xfId="7611" xr:uid="{00000000-0005-0000-0000-0000B41D0000}"/>
    <cellStyle name="Normal 14 2 3 8 2" xfId="7612" xr:uid="{00000000-0005-0000-0000-0000B51D0000}"/>
    <cellStyle name="Normal 14 2 3 8 3" xfId="7613" xr:uid="{00000000-0005-0000-0000-0000B61D0000}"/>
    <cellStyle name="Normal 14 2 3 9" xfId="7614" xr:uid="{00000000-0005-0000-0000-0000B71D0000}"/>
    <cellStyle name="Normal 14 2 4" xfId="7615" xr:uid="{00000000-0005-0000-0000-0000B81D0000}"/>
    <cellStyle name="Normal 14 2 4 10" xfId="7616" xr:uid="{00000000-0005-0000-0000-0000B91D0000}"/>
    <cellStyle name="Normal 14 2 4 2" xfId="7617" xr:uid="{00000000-0005-0000-0000-0000BA1D0000}"/>
    <cellStyle name="Normal 14 2 4 2 2" xfId="7618" xr:uid="{00000000-0005-0000-0000-0000BB1D0000}"/>
    <cellStyle name="Normal 14 2 4 2 2 2" xfId="7619" xr:uid="{00000000-0005-0000-0000-0000BC1D0000}"/>
    <cellStyle name="Normal 14 2 4 2 2 3" xfId="7620" xr:uid="{00000000-0005-0000-0000-0000BD1D0000}"/>
    <cellStyle name="Normal 14 2 4 2 3" xfId="7621" xr:uid="{00000000-0005-0000-0000-0000BE1D0000}"/>
    <cellStyle name="Normal 14 2 4 2 3 2" xfId="7622" xr:uid="{00000000-0005-0000-0000-0000BF1D0000}"/>
    <cellStyle name="Normal 14 2 4 2 3 3" xfId="7623" xr:uid="{00000000-0005-0000-0000-0000C01D0000}"/>
    <cellStyle name="Normal 14 2 4 2 4" xfId="7624" xr:uid="{00000000-0005-0000-0000-0000C11D0000}"/>
    <cellStyle name="Normal 14 2 4 2 4 2" xfId="7625" xr:uid="{00000000-0005-0000-0000-0000C21D0000}"/>
    <cellStyle name="Normal 14 2 4 2 4 3" xfId="7626" xr:uid="{00000000-0005-0000-0000-0000C31D0000}"/>
    <cellStyle name="Normal 14 2 4 2 5" xfId="7627" xr:uid="{00000000-0005-0000-0000-0000C41D0000}"/>
    <cellStyle name="Normal 14 2 4 2 5 2" xfId="7628" xr:uid="{00000000-0005-0000-0000-0000C51D0000}"/>
    <cellStyle name="Normal 14 2 4 2 5 3" xfId="7629" xr:uid="{00000000-0005-0000-0000-0000C61D0000}"/>
    <cellStyle name="Normal 14 2 4 2 6" xfId="7630" xr:uid="{00000000-0005-0000-0000-0000C71D0000}"/>
    <cellStyle name="Normal 14 2 4 2 6 2" xfId="7631" xr:uid="{00000000-0005-0000-0000-0000C81D0000}"/>
    <cellStyle name="Normal 14 2 4 2 6 3" xfId="7632" xr:uid="{00000000-0005-0000-0000-0000C91D0000}"/>
    <cellStyle name="Normal 14 2 4 2 7" xfId="7633" xr:uid="{00000000-0005-0000-0000-0000CA1D0000}"/>
    <cellStyle name="Normal 14 2 4 2 7 2" xfId="7634" xr:uid="{00000000-0005-0000-0000-0000CB1D0000}"/>
    <cellStyle name="Normal 14 2 4 2 7 3" xfId="7635" xr:uid="{00000000-0005-0000-0000-0000CC1D0000}"/>
    <cellStyle name="Normal 14 2 4 2 8" xfId="7636" xr:uid="{00000000-0005-0000-0000-0000CD1D0000}"/>
    <cellStyle name="Normal 14 2 4 2 9" xfId="7637" xr:uid="{00000000-0005-0000-0000-0000CE1D0000}"/>
    <cellStyle name="Normal 14 2 4 3" xfId="7638" xr:uid="{00000000-0005-0000-0000-0000CF1D0000}"/>
    <cellStyle name="Normal 14 2 4 3 2" xfId="7639" xr:uid="{00000000-0005-0000-0000-0000D01D0000}"/>
    <cellStyle name="Normal 14 2 4 3 3" xfId="7640" xr:uid="{00000000-0005-0000-0000-0000D11D0000}"/>
    <cellStyle name="Normal 14 2 4 4" xfId="7641" xr:uid="{00000000-0005-0000-0000-0000D21D0000}"/>
    <cellStyle name="Normal 14 2 4 4 2" xfId="7642" xr:uid="{00000000-0005-0000-0000-0000D31D0000}"/>
    <cellStyle name="Normal 14 2 4 4 3" xfId="7643" xr:uid="{00000000-0005-0000-0000-0000D41D0000}"/>
    <cellStyle name="Normal 14 2 4 5" xfId="7644" xr:uid="{00000000-0005-0000-0000-0000D51D0000}"/>
    <cellStyle name="Normal 14 2 4 5 2" xfId="7645" xr:uid="{00000000-0005-0000-0000-0000D61D0000}"/>
    <cellStyle name="Normal 14 2 4 5 3" xfId="7646" xr:uid="{00000000-0005-0000-0000-0000D71D0000}"/>
    <cellStyle name="Normal 14 2 4 6" xfId="7647" xr:uid="{00000000-0005-0000-0000-0000D81D0000}"/>
    <cellStyle name="Normal 14 2 4 6 2" xfId="7648" xr:uid="{00000000-0005-0000-0000-0000D91D0000}"/>
    <cellStyle name="Normal 14 2 4 6 3" xfId="7649" xr:uid="{00000000-0005-0000-0000-0000DA1D0000}"/>
    <cellStyle name="Normal 14 2 4 7" xfId="7650" xr:uid="{00000000-0005-0000-0000-0000DB1D0000}"/>
    <cellStyle name="Normal 14 2 4 7 2" xfId="7651" xr:uid="{00000000-0005-0000-0000-0000DC1D0000}"/>
    <cellStyle name="Normal 14 2 4 7 3" xfId="7652" xr:uid="{00000000-0005-0000-0000-0000DD1D0000}"/>
    <cellStyle name="Normal 14 2 4 8" xfId="7653" xr:uid="{00000000-0005-0000-0000-0000DE1D0000}"/>
    <cellStyle name="Normal 14 2 4 8 2" xfId="7654" xr:uid="{00000000-0005-0000-0000-0000DF1D0000}"/>
    <cellStyle name="Normal 14 2 4 8 3" xfId="7655" xr:uid="{00000000-0005-0000-0000-0000E01D0000}"/>
    <cellStyle name="Normal 14 2 4 9" xfId="7656" xr:uid="{00000000-0005-0000-0000-0000E11D0000}"/>
    <cellStyle name="Normal 14 2 5" xfId="7657" xr:uid="{00000000-0005-0000-0000-0000E21D0000}"/>
    <cellStyle name="Normal 14 2 5 2" xfId="7658" xr:uid="{00000000-0005-0000-0000-0000E31D0000}"/>
    <cellStyle name="Normal 14 2 5 2 2" xfId="7659" xr:uid="{00000000-0005-0000-0000-0000E41D0000}"/>
    <cellStyle name="Normal 14 2 5 2 3" xfId="7660" xr:uid="{00000000-0005-0000-0000-0000E51D0000}"/>
    <cellStyle name="Normal 14 2 5 3" xfId="7661" xr:uid="{00000000-0005-0000-0000-0000E61D0000}"/>
    <cellStyle name="Normal 14 2 5 3 2" xfId="7662" xr:uid="{00000000-0005-0000-0000-0000E71D0000}"/>
    <cellStyle name="Normal 14 2 5 3 3" xfId="7663" xr:uid="{00000000-0005-0000-0000-0000E81D0000}"/>
    <cellStyle name="Normal 14 2 5 4" xfId="7664" xr:uid="{00000000-0005-0000-0000-0000E91D0000}"/>
    <cellStyle name="Normal 14 2 5 4 2" xfId="7665" xr:uid="{00000000-0005-0000-0000-0000EA1D0000}"/>
    <cellStyle name="Normal 14 2 5 4 3" xfId="7666" xr:uid="{00000000-0005-0000-0000-0000EB1D0000}"/>
    <cellStyle name="Normal 14 2 5 5" xfId="7667" xr:uid="{00000000-0005-0000-0000-0000EC1D0000}"/>
    <cellStyle name="Normal 14 2 5 5 2" xfId="7668" xr:uid="{00000000-0005-0000-0000-0000ED1D0000}"/>
    <cellStyle name="Normal 14 2 5 5 3" xfId="7669" xr:uid="{00000000-0005-0000-0000-0000EE1D0000}"/>
    <cellStyle name="Normal 14 2 5 6" xfId="7670" xr:uid="{00000000-0005-0000-0000-0000EF1D0000}"/>
    <cellStyle name="Normal 14 2 5 6 2" xfId="7671" xr:uid="{00000000-0005-0000-0000-0000F01D0000}"/>
    <cellStyle name="Normal 14 2 5 6 3" xfId="7672" xr:uid="{00000000-0005-0000-0000-0000F11D0000}"/>
    <cellStyle name="Normal 14 2 5 7" xfId="7673" xr:uid="{00000000-0005-0000-0000-0000F21D0000}"/>
    <cellStyle name="Normal 14 2 5 7 2" xfId="7674" xr:uid="{00000000-0005-0000-0000-0000F31D0000}"/>
    <cellStyle name="Normal 14 2 5 7 3" xfId="7675" xr:uid="{00000000-0005-0000-0000-0000F41D0000}"/>
    <cellStyle name="Normal 14 2 5 8" xfId="7676" xr:uid="{00000000-0005-0000-0000-0000F51D0000}"/>
    <cellStyle name="Normal 14 2 5 9" xfId="7677" xr:uid="{00000000-0005-0000-0000-0000F61D0000}"/>
    <cellStyle name="Normal 14 2 6" xfId="7678" xr:uid="{00000000-0005-0000-0000-0000F71D0000}"/>
    <cellStyle name="Normal 14 2 6 2" xfId="7679" xr:uid="{00000000-0005-0000-0000-0000F81D0000}"/>
    <cellStyle name="Normal 14 2 6 3" xfId="7680" xr:uid="{00000000-0005-0000-0000-0000F91D0000}"/>
    <cellStyle name="Normal 14 2 7" xfId="7681" xr:uid="{00000000-0005-0000-0000-0000FA1D0000}"/>
    <cellStyle name="Normal 14 2 7 2" xfId="7682" xr:uid="{00000000-0005-0000-0000-0000FB1D0000}"/>
    <cellStyle name="Normal 14 2 7 3" xfId="7683" xr:uid="{00000000-0005-0000-0000-0000FC1D0000}"/>
    <cellStyle name="Normal 14 2 8" xfId="7684" xr:uid="{00000000-0005-0000-0000-0000FD1D0000}"/>
    <cellStyle name="Normal 14 2 8 2" xfId="7685" xr:uid="{00000000-0005-0000-0000-0000FE1D0000}"/>
    <cellStyle name="Normal 14 2 8 3" xfId="7686" xr:uid="{00000000-0005-0000-0000-0000FF1D0000}"/>
    <cellStyle name="Normal 14 2 9" xfId="7687" xr:uid="{00000000-0005-0000-0000-0000001E0000}"/>
    <cellStyle name="Normal 14 2 9 2" xfId="7688" xr:uid="{00000000-0005-0000-0000-0000011E0000}"/>
    <cellStyle name="Normal 14 2 9 3" xfId="7689" xr:uid="{00000000-0005-0000-0000-0000021E0000}"/>
    <cellStyle name="Normal 14 3" xfId="7690" xr:uid="{00000000-0005-0000-0000-0000031E0000}"/>
    <cellStyle name="Normal 14 3 10" xfId="7691" xr:uid="{00000000-0005-0000-0000-0000041E0000}"/>
    <cellStyle name="Normal 14 3 10 2" xfId="7692" xr:uid="{00000000-0005-0000-0000-0000051E0000}"/>
    <cellStyle name="Normal 14 3 10 3" xfId="7693" xr:uid="{00000000-0005-0000-0000-0000061E0000}"/>
    <cellStyle name="Normal 14 3 11" xfId="7694" xr:uid="{00000000-0005-0000-0000-0000071E0000}"/>
    <cellStyle name="Normal 14 3 12" xfId="7695" xr:uid="{00000000-0005-0000-0000-0000081E0000}"/>
    <cellStyle name="Normal 14 3 2" xfId="7696" xr:uid="{00000000-0005-0000-0000-0000091E0000}"/>
    <cellStyle name="Normal 14 3 2 10" xfId="7697" xr:uid="{00000000-0005-0000-0000-00000A1E0000}"/>
    <cellStyle name="Normal 14 3 2 2" xfId="7698" xr:uid="{00000000-0005-0000-0000-00000B1E0000}"/>
    <cellStyle name="Normal 14 3 2 2 2" xfId="7699" xr:uid="{00000000-0005-0000-0000-00000C1E0000}"/>
    <cellStyle name="Normal 14 3 2 2 2 2" xfId="7700" xr:uid="{00000000-0005-0000-0000-00000D1E0000}"/>
    <cellStyle name="Normal 14 3 2 2 2 3" xfId="7701" xr:uid="{00000000-0005-0000-0000-00000E1E0000}"/>
    <cellStyle name="Normal 14 3 2 2 3" xfId="7702" xr:uid="{00000000-0005-0000-0000-00000F1E0000}"/>
    <cellStyle name="Normal 14 3 2 2 3 2" xfId="7703" xr:uid="{00000000-0005-0000-0000-0000101E0000}"/>
    <cellStyle name="Normal 14 3 2 2 3 3" xfId="7704" xr:uid="{00000000-0005-0000-0000-0000111E0000}"/>
    <cellStyle name="Normal 14 3 2 2 4" xfId="7705" xr:uid="{00000000-0005-0000-0000-0000121E0000}"/>
    <cellStyle name="Normal 14 3 2 2 4 2" xfId="7706" xr:uid="{00000000-0005-0000-0000-0000131E0000}"/>
    <cellStyle name="Normal 14 3 2 2 4 3" xfId="7707" xr:uid="{00000000-0005-0000-0000-0000141E0000}"/>
    <cellStyle name="Normal 14 3 2 2 5" xfId="7708" xr:uid="{00000000-0005-0000-0000-0000151E0000}"/>
    <cellStyle name="Normal 14 3 2 2 5 2" xfId="7709" xr:uid="{00000000-0005-0000-0000-0000161E0000}"/>
    <cellStyle name="Normal 14 3 2 2 5 3" xfId="7710" xr:uid="{00000000-0005-0000-0000-0000171E0000}"/>
    <cellStyle name="Normal 14 3 2 2 6" xfId="7711" xr:uid="{00000000-0005-0000-0000-0000181E0000}"/>
    <cellStyle name="Normal 14 3 2 2 6 2" xfId="7712" xr:uid="{00000000-0005-0000-0000-0000191E0000}"/>
    <cellStyle name="Normal 14 3 2 2 6 3" xfId="7713" xr:uid="{00000000-0005-0000-0000-00001A1E0000}"/>
    <cellStyle name="Normal 14 3 2 2 7" xfId="7714" xr:uid="{00000000-0005-0000-0000-00001B1E0000}"/>
    <cellStyle name="Normal 14 3 2 2 7 2" xfId="7715" xr:uid="{00000000-0005-0000-0000-00001C1E0000}"/>
    <cellStyle name="Normal 14 3 2 2 7 3" xfId="7716" xr:uid="{00000000-0005-0000-0000-00001D1E0000}"/>
    <cellStyle name="Normal 14 3 2 2 8" xfId="7717" xr:uid="{00000000-0005-0000-0000-00001E1E0000}"/>
    <cellStyle name="Normal 14 3 2 2 9" xfId="7718" xr:uid="{00000000-0005-0000-0000-00001F1E0000}"/>
    <cellStyle name="Normal 14 3 2 3" xfId="7719" xr:uid="{00000000-0005-0000-0000-0000201E0000}"/>
    <cellStyle name="Normal 14 3 2 3 2" xfId="7720" xr:uid="{00000000-0005-0000-0000-0000211E0000}"/>
    <cellStyle name="Normal 14 3 2 3 3" xfId="7721" xr:uid="{00000000-0005-0000-0000-0000221E0000}"/>
    <cellStyle name="Normal 14 3 2 4" xfId="7722" xr:uid="{00000000-0005-0000-0000-0000231E0000}"/>
    <cellStyle name="Normal 14 3 2 4 2" xfId="7723" xr:uid="{00000000-0005-0000-0000-0000241E0000}"/>
    <cellStyle name="Normal 14 3 2 4 3" xfId="7724" xr:uid="{00000000-0005-0000-0000-0000251E0000}"/>
    <cellStyle name="Normal 14 3 2 5" xfId="7725" xr:uid="{00000000-0005-0000-0000-0000261E0000}"/>
    <cellStyle name="Normal 14 3 2 5 2" xfId="7726" xr:uid="{00000000-0005-0000-0000-0000271E0000}"/>
    <cellStyle name="Normal 14 3 2 5 3" xfId="7727" xr:uid="{00000000-0005-0000-0000-0000281E0000}"/>
    <cellStyle name="Normal 14 3 2 6" xfId="7728" xr:uid="{00000000-0005-0000-0000-0000291E0000}"/>
    <cellStyle name="Normal 14 3 2 6 2" xfId="7729" xr:uid="{00000000-0005-0000-0000-00002A1E0000}"/>
    <cellStyle name="Normal 14 3 2 6 3" xfId="7730" xr:uid="{00000000-0005-0000-0000-00002B1E0000}"/>
    <cellStyle name="Normal 14 3 2 7" xfId="7731" xr:uid="{00000000-0005-0000-0000-00002C1E0000}"/>
    <cellStyle name="Normal 14 3 2 7 2" xfId="7732" xr:uid="{00000000-0005-0000-0000-00002D1E0000}"/>
    <cellStyle name="Normal 14 3 2 7 3" xfId="7733" xr:uid="{00000000-0005-0000-0000-00002E1E0000}"/>
    <cellStyle name="Normal 14 3 2 8" xfId="7734" xr:uid="{00000000-0005-0000-0000-00002F1E0000}"/>
    <cellStyle name="Normal 14 3 2 8 2" xfId="7735" xr:uid="{00000000-0005-0000-0000-0000301E0000}"/>
    <cellStyle name="Normal 14 3 2 8 3" xfId="7736" xr:uid="{00000000-0005-0000-0000-0000311E0000}"/>
    <cellStyle name="Normal 14 3 2 9" xfId="7737" xr:uid="{00000000-0005-0000-0000-0000321E0000}"/>
    <cellStyle name="Normal 14 3 3" xfId="7738" xr:uid="{00000000-0005-0000-0000-0000331E0000}"/>
    <cellStyle name="Normal 14 3 3 10" xfId="7739" xr:uid="{00000000-0005-0000-0000-0000341E0000}"/>
    <cellStyle name="Normal 14 3 3 2" xfId="7740" xr:uid="{00000000-0005-0000-0000-0000351E0000}"/>
    <cellStyle name="Normal 14 3 3 2 2" xfId="7741" xr:uid="{00000000-0005-0000-0000-0000361E0000}"/>
    <cellStyle name="Normal 14 3 3 2 2 2" xfId="7742" xr:uid="{00000000-0005-0000-0000-0000371E0000}"/>
    <cellStyle name="Normal 14 3 3 2 2 3" xfId="7743" xr:uid="{00000000-0005-0000-0000-0000381E0000}"/>
    <cellStyle name="Normal 14 3 3 2 3" xfId="7744" xr:uid="{00000000-0005-0000-0000-0000391E0000}"/>
    <cellStyle name="Normal 14 3 3 2 3 2" xfId="7745" xr:uid="{00000000-0005-0000-0000-00003A1E0000}"/>
    <cellStyle name="Normal 14 3 3 2 3 3" xfId="7746" xr:uid="{00000000-0005-0000-0000-00003B1E0000}"/>
    <cellStyle name="Normal 14 3 3 2 4" xfId="7747" xr:uid="{00000000-0005-0000-0000-00003C1E0000}"/>
    <cellStyle name="Normal 14 3 3 2 4 2" xfId="7748" xr:uid="{00000000-0005-0000-0000-00003D1E0000}"/>
    <cellStyle name="Normal 14 3 3 2 4 3" xfId="7749" xr:uid="{00000000-0005-0000-0000-00003E1E0000}"/>
    <cellStyle name="Normal 14 3 3 2 5" xfId="7750" xr:uid="{00000000-0005-0000-0000-00003F1E0000}"/>
    <cellStyle name="Normal 14 3 3 2 5 2" xfId="7751" xr:uid="{00000000-0005-0000-0000-0000401E0000}"/>
    <cellStyle name="Normal 14 3 3 2 5 3" xfId="7752" xr:uid="{00000000-0005-0000-0000-0000411E0000}"/>
    <cellStyle name="Normal 14 3 3 2 6" xfId="7753" xr:uid="{00000000-0005-0000-0000-0000421E0000}"/>
    <cellStyle name="Normal 14 3 3 2 6 2" xfId="7754" xr:uid="{00000000-0005-0000-0000-0000431E0000}"/>
    <cellStyle name="Normal 14 3 3 2 6 3" xfId="7755" xr:uid="{00000000-0005-0000-0000-0000441E0000}"/>
    <cellStyle name="Normal 14 3 3 2 7" xfId="7756" xr:uid="{00000000-0005-0000-0000-0000451E0000}"/>
    <cellStyle name="Normal 14 3 3 2 7 2" xfId="7757" xr:uid="{00000000-0005-0000-0000-0000461E0000}"/>
    <cellStyle name="Normal 14 3 3 2 7 3" xfId="7758" xr:uid="{00000000-0005-0000-0000-0000471E0000}"/>
    <cellStyle name="Normal 14 3 3 2 8" xfId="7759" xr:uid="{00000000-0005-0000-0000-0000481E0000}"/>
    <cellStyle name="Normal 14 3 3 2 9" xfId="7760" xr:uid="{00000000-0005-0000-0000-0000491E0000}"/>
    <cellStyle name="Normal 14 3 3 3" xfId="7761" xr:uid="{00000000-0005-0000-0000-00004A1E0000}"/>
    <cellStyle name="Normal 14 3 3 3 2" xfId="7762" xr:uid="{00000000-0005-0000-0000-00004B1E0000}"/>
    <cellStyle name="Normal 14 3 3 3 3" xfId="7763" xr:uid="{00000000-0005-0000-0000-00004C1E0000}"/>
    <cellStyle name="Normal 14 3 3 4" xfId="7764" xr:uid="{00000000-0005-0000-0000-00004D1E0000}"/>
    <cellStyle name="Normal 14 3 3 4 2" xfId="7765" xr:uid="{00000000-0005-0000-0000-00004E1E0000}"/>
    <cellStyle name="Normal 14 3 3 4 3" xfId="7766" xr:uid="{00000000-0005-0000-0000-00004F1E0000}"/>
    <cellStyle name="Normal 14 3 3 5" xfId="7767" xr:uid="{00000000-0005-0000-0000-0000501E0000}"/>
    <cellStyle name="Normal 14 3 3 5 2" xfId="7768" xr:uid="{00000000-0005-0000-0000-0000511E0000}"/>
    <cellStyle name="Normal 14 3 3 5 3" xfId="7769" xr:uid="{00000000-0005-0000-0000-0000521E0000}"/>
    <cellStyle name="Normal 14 3 3 6" xfId="7770" xr:uid="{00000000-0005-0000-0000-0000531E0000}"/>
    <cellStyle name="Normal 14 3 3 6 2" xfId="7771" xr:uid="{00000000-0005-0000-0000-0000541E0000}"/>
    <cellStyle name="Normal 14 3 3 6 3" xfId="7772" xr:uid="{00000000-0005-0000-0000-0000551E0000}"/>
    <cellStyle name="Normal 14 3 3 7" xfId="7773" xr:uid="{00000000-0005-0000-0000-0000561E0000}"/>
    <cellStyle name="Normal 14 3 3 7 2" xfId="7774" xr:uid="{00000000-0005-0000-0000-0000571E0000}"/>
    <cellStyle name="Normal 14 3 3 7 3" xfId="7775" xr:uid="{00000000-0005-0000-0000-0000581E0000}"/>
    <cellStyle name="Normal 14 3 3 8" xfId="7776" xr:uid="{00000000-0005-0000-0000-0000591E0000}"/>
    <cellStyle name="Normal 14 3 3 8 2" xfId="7777" xr:uid="{00000000-0005-0000-0000-00005A1E0000}"/>
    <cellStyle name="Normal 14 3 3 8 3" xfId="7778" xr:uid="{00000000-0005-0000-0000-00005B1E0000}"/>
    <cellStyle name="Normal 14 3 3 9" xfId="7779" xr:uid="{00000000-0005-0000-0000-00005C1E0000}"/>
    <cellStyle name="Normal 14 3 4" xfId="7780" xr:uid="{00000000-0005-0000-0000-00005D1E0000}"/>
    <cellStyle name="Normal 14 3 4 2" xfId="7781" xr:uid="{00000000-0005-0000-0000-00005E1E0000}"/>
    <cellStyle name="Normal 14 3 4 2 2" xfId="7782" xr:uid="{00000000-0005-0000-0000-00005F1E0000}"/>
    <cellStyle name="Normal 14 3 4 2 3" xfId="7783" xr:uid="{00000000-0005-0000-0000-0000601E0000}"/>
    <cellStyle name="Normal 14 3 4 3" xfId="7784" xr:uid="{00000000-0005-0000-0000-0000611E0000}"/>
    <cellStyle name="Normal 14 3 4 3 2" xfId="7785" xr:uid="{00000000-0005-0000-0000-0000621E0000}"/>
    <cellStyle name="Normal 14 3 4 3 3" xfId="7786" xr:uid="{00000000-0005-0000-0000-0000631E0000}"/>
    <cellStyle name="Normal 14 3 4 4" xfId="7787" xr:uid="{00000000-0005-0000-0000-0000641E0000}"/>
    <cellStyle name="Normal 14 3 4 4 2" xfId="7788" xr:uid="{00000000-0005-0000-0000-0000651E0000}"/>
    <cellStyle name="Normal 14 3 4 4 3" xfId="7789" xr:uid="{00000000-0005-0000-0000-0000661E0000}"/>
    <cellStyle name="Normal 14 3 4 5" xfId="7790" xr:uid="{00000000-0005-0000-0000-0000671E0000}"/>
    <cellStyle name="Normal 14 3 4 5 2" xfId="7791" xr:uid="{00000000-0005-0000-0000-0000681E0000}"/>
    <cellStyle name="Normal 14 3 4 5 3" xfId="7792" xr:uid="{00000000-0005-0000-0000-0000691E0000}"/>
    <cellStyle name="Normal 14 3 4 6" xfId="7793" xr:uid="{00000000-0005-0000-0000-00006A1E0000}"/>
    <cellStyle name="Normal 14 3 4 6 2" xfId="7794" xr:uid="{00000000-0005-0000-0000-00006B1E0000}"/>
    <cellStyle name="Normal 14 3 4 6 3" xfId="7795" xr:uid="{00000000-0005-0000-0000-00006C1E0000}"/>
    <cellStyle name="Normal 14 3 4 7" xfId="7796" xr:uid="{00000000-0005-0000-0000-00006D1E0000}"/>
    <cellStyle name="Normal 14 3 4 7 2" xfId="7797" xr:uid="{00000000-0005-0000-0000-00006E1E0000}"/>
    <cellStyle name="Normal 14 3 4 7 3" xfId="7798" xr:uid="{00000000-0005-0000-0000-00006F1E0000}"/>
    <cellStyle name="Normal 14 3 4 8" xfId="7799" xr:uid="{00000000-0005-0000-0000-0000701E0000}"/>
    <cellStyle name="Normal 14 3 4 9" xfId="7800" xr:uid="{00000000-0005-0000-0000-0000711E0000}"/>
    <cellStyle name="Normal 14 3 5" xfId="7801" xr:uid="{00000000-0005-0000-0000-0000721E0000}"/>
    <cellStyle name="Normal 14 3 5 2" xfId="7802" xr:uid="{00000000-0005-0000-0000-0000731E0000}"/>
    <cellStyle name="Normal 14 3 5 3" xfId="7803" xr:uid="{00000000-0005-0000-0000-0000741E0000}"/>
    <cellStyle name="Normal 14 3 6" xfId="7804" xr:uid="{00000000-0005-0000-0000-0000751E0000}"/>
    <cellStyle name="Normal 14 3 6 2" xfId="7805" xr:uid="{00000000-0005-0000-0000-0000761E0000}"/>
    <cellStyle name="Normal 14 3 6 3" xfId="7806" xr:uid="{00000000-0005-0000-0000-0000771E0000}"/>
    <cellStyle name="Normal 14 3 7" xfId="7807" xr:uid="{00000000-0005-0000-0000-0000781E0000}"/>
    <cellStyle name="Normal 14 3 7 2" xfId="7808" xr:uid="{00000000-0005-0000-0000-0000791E0000}"/>
    <cellStyle name="Normal 14 3 7 3" xfId="7809" xr:uid="{00000000-0005-0000-0000-00007A1E0000}"/>
    <cellStyle name="Normal 14 3 8" xfId="7810" xr:uid="{00000000-0005-0000-0000-00007B1E0000}"/>
    <cellStyle name="Normal 14 3 8 2" xfId="7811" xr:uid="{00000000-0005-0000-0000-00007C1E0000}"/>
    <cellStyle name="Normal 14 3 8 3" xfId="7812" xr:uid="{00000000-0005-0000-0000-00007D1E0000}"/>
    <cellStyle name="Normal 14 3 9" xfId="7813" xr:uid="{00000000-0005-0000-0000-00007E1E0000}"/>
    <cellStyle name="Normal 14 3 9 2" xfId="7814" xr:uid="{00000000-0005-0000-0000-00007F1E0000}"/>
    <cellStyle name="Normal 14 3 9 3" xfId="7815" xr:uid="{00000000-0005-0000-0000-0000801E0000}"/>
    <cellStyle name="Normal 14 4" xfId="7816" xr:uid="{00000000-0005-0000-0000-0000811E0000}"/>
    <cellStyle name="Normal 14 4 10" xfId="7817" xr:uid="{00000000-0005-0000-0000-0000821E0000}"/>
    <cellStyle name="Normal 14 4 2" xfId="7818" xr:uid="{00000000-0005-0000-0000-0000831E0000}"/>
    <cellStyle name="Normal 14 4 2 2" xfId="7819" xr:uid="{00000000-0005-0000-0000-0000841E0000}"/>
    <cellStyle name="Normal 14 4 2 2 2" xfId="7820" xr:uid="{00000000-0005-0000-0000-0000851E0000}"/>
    <cellStyle name="Normal 14 4 2 2 3" xfId="7821" xr:uid="{00000000-0005-0000-0000-0000861E0000}"/>
    <cellStyle name="Normal 14 4 2 3" xfId="7822" xr:uid="{00000000-0005-0000-0000-0000871E0000}"/>
    <cellStyle name="Normal 14 4 2 3 2" xfId="7823" xr:uid="{00000000-0005-0000-0000-0000881E0000}"/>
    <cellStyle name="Normal 14 4 2 3 3" xfId="7824" xr:uid="{00000000-0005-0000-0000-0000891E0000}"/>
    <cellStyle name="Normal 14 4 2 4" xfId="7825" xr:uid="{00000000-0005-0000-0000-00008A1E0000}"/>
    <cellStyle name="Normal 14 4 2 4 2" xfId="7826" xr:uid="{00000000-0005-0000-0000-00008B1E0000}"/>
    <cellStyle name="Normal 14 4 2 4 3" xfId="7827" xr:uid="{00000000-0005-0000-0000-00008C1E0000}"/>
    <cellStyle name="Normal 14 4 2 5" xfId="7828" xr:uid="{00000000-0005-0000-0000-00008D1E0000}"/>
    <cellStyle name="Normal 14 4 2 5 2" xfId="7829" xr:uid="{00000000-0005-0000-0000-00008E1E0000}"/>
    <cellStyle name="Normal 14 4 2 5 3" xfId="7830" xr:uid="{00000000-0005-0000-0000-00008F1E0000}"/>
    <cellStyle name="Normal 14 4 2 6" xfId="7831" xr:uid="{00000000-0005-0000-0000-0000901E0000}"/>
    <cellStyle name="Normal 14 4 2 6 2" xfId="7832" xr:uid="{00000000-0005-0000-0000-0000911E0000}"/>
    <cellStyle name="Normal 14 4 2 6 3" xfId="7833" xr:uid="{00000000-0005-0000-0000-0000921E0000}"/>
    <cellStyle name="Normal 14 4 2 7" xfId="7834" xr:uid="{00000000-0005-0000-0000-0000931E0000}"/>
    <cellStyle name="Normal 14 4 2 7 2" xfId="7835" xr:uid="{00000000-0005-0000-0000-0000941E0000}"/>
    <cellStyle name="Normal 14 4 2 7 3" xfId="7836" xr:uid="{00000000-0005-0000-0000-0000951E0000}"/>
    <cellStyle name="Normal 14 4 2 8" xfId="7837" xr:uid="{00000000-0005-0000-0000-0000961E0000}"/>
    <cellStyle name="Normal 14 4 2 9" xfId="7838" xr:uid="{00000000-0005-0000-0000-0000971E0000}"/>
    <cellStyle name="Normal 14 4 3" xfId="7839" xr:uid="{00000000-0005-0000-0000-0000981E0000}"/>
    <cellStyle name="Normal 14 4 3 2" xfId="7840" xr:uid="{00000000-0005-0000-0000-0000991E0000}"/>
    <cellStyle name="Normal 14 4 3 3" xfId="7841" xr:uid="{00000000-0005-0000-0000-00009A1E0000}"/>
    <cellStyle name="Normal 14 4 4" xfId="7842" xr:uid="{00000000-0005-0000-0000-00009B1E0000}"/>
    <cellStyle name="Normal 14 4 4 2" xfId="7843" xr:uid="{00000000-0005-0000-0000-00009C1E0000}"/>
    <cellStyle name="Normal 14 4 4 3" xfId="7844" xr:uid="{00000000-0005-0000-0000-00009D1E0000}"/>
    <cellStyle name="Normal 14 4 5" xfId="7845" xr:uid="{00000000-0005-0000-0000-00009E1E0000}"/>
    <cellStyle name="Normal 14 4 5 2" xfId="7846" xr:uid="{00000000-0005-0000-0000-00009F1E0000}"/>
    <cellStyle name="Normal 14 4 5 3" xfId="7847" xr:uid="{00000000-0005-0000-0000-0000A01E0000}"/>
    <cellStyle name="Normal 14 4 6" xfId="7848" xr:uid="{00000000-0005-0000-0000-0000A11E0000}"/>
    <cellStyle name="Normal 14 4 6 2" xfId="7849" xr:uid="{00000000-0005-0000-0000-0000A21E0000}"/>
    <cellStyle name="Normal 14 4 6 3" xfId="7850" xr:uid="{00000000-0005-0000-0000-0000A31E0000}"/>
    <cellStyle name="Normal 14 4 7" xfId="7851" xr:uid="{00000000-0005-0000-0000-0000A41E0000}"/>
    <cellStyle name="Normal 14 4 7 2" xfId="7852" xr:uid="{00000000-0005-0000-0000-0000A51E0000}"/>
    <cellStyle name="Normal 14 4 7 3" xfId="7853" xr:uid="{00000000-0005-0000-0000-0000A61E0000}"/>
    <cellStyle name="Normal 14 4 8" xfId="7854" xr:uid="{00000000-0005-0000-0000-0000A71E0000}"/>
    <cellStyle name="Normal 14 4 8 2" xfId="7855" xr:uid="{00000000-0005-0000-0000-0000A81E0000}"/>
    <cellStyle name="Normal 14 4 8 3" xfId="7856" xr:uid="{00000000-0005-0000-0000-0000A91E0000}"/>
    <cellStyle name="Normal 14 4 9" xfId="7857" xr:uid="{00000000-0005-0000-0000-0000AA1E0000}"/>
    <cellStyle name="Normal 14 5" xfId="7858" xr:uid="{00000000-0005-0000-0000-0000AB1E0000}"/>
    <cellStyle name="Normal 14 5 10" xfId="7859" xr:uid="{00000000-0005-0000-0000-0000AC1E0000}"/>
    <cellStyle name="Normal 14 5 2" xfId="7860" xr:uid="{00000000-0005-0000-0000-0000AD1E0000}"/>
    <cellStyle name="Normal 14 5 2 2" xfId="7861" xr:uid="{00000000-0005-0000-0000-0000AE1E0000}"/>
    <cellStyle name="Normal 14 5 2 2 2" xfId="7862" xr:uid="{00000000-0005-0000-0000-0000AF1E0000}"/>
    <cellStyle name="Normal 14 5 2 2 3" xfId="7863" xr:uid="{00000000-0005-0000-0000-0000B01E0000}"/>
    <cellStyle name="Normal 14 5 2 3" xfId="7864" xr:uid="{00000000-0005-0000-0000-0000B11E0000}"/>
    <cellStyle name="Normal 14 5 2 3 2" xfId="7865" xr:uid="{00000000-0005-0000-0000-0000B21E0000}"/>
    <cellStyle name="Normal 14 5 2 3 3" xfId="7866" xr:uid="{00000000-0005-0000-0000-0000B31E0000}"/>
    <cellStyle name="Normal 14 5 2 4" xfId="7867" xr:uid="{00000000-0005-0000-0000-0000B41E0000}"/>
    <cellStyle name="Normal 14 5 2 4 2" xfId="7868" xr:uid="{00000000-0005-0000-0000-0000B51E0000}"/>
    <cellStyle name="Normal 14 5 2 4 3" xfId="7869" xr:uid="{00000000-0005-0000-0000-0000B61E0000}"/>
    <cellStyle name="Normal 14 5 2 5" xfId="7870" xr:uid="{00000000-0005-0000-0000-0000B71E0000}"/>
    <cellStyle name="Normal 14 5 2 5 2" xfId="7871" xr:uid="{00000000-0005-0000-0000-0000B81E0000}"/>
    <cellStyle name="Normal 14 5 2 5 3" xfId="7872" xr:uid="{00000000-0005-0000-0000-0000B91E0000}"/>
    <cellStyle name="Normal 14 5 2 6" xfId="7873" xr:uid="{00000000-0005-0000-0000-0000BA1E0000}"/>
    <cellStyle name="Normal 14 5 2 6 2" xfId="7874" xr:uid="{00000000-0005-0000-0000-0000BB1E0000}"/>
    <cellStyle name="Normal 14 5 2 6 3" xfId="7875" xr:uid="{00000000-0005-0000-0000-0000BC1E0000}"/>
    <cellStyle name="Normal 14 5 2 7" xfId="7876" xr:uid="{00000000-0005-0000-0000-0000BD1E0000}"/>
    <cellStyle name="Normal 14 5 2 7 2" xfId="7877" xr:uid="{00000000-0005-0000-0000-0000BE1E0000}"/>
    <cellStyle name="Normal 14 5 2 7 3" xfId="7878" xr:uid="{00000000-0005-0000-0000-0000BF1E0000}"/>
    <cellStyle name="Normal 14 5 2 8" xfId="7879" xr:uid="{00000000-0005-0000-0000-0000C01E0000}"/>
    <cellStyle name="Normal 14 5 2 9" xfId="7880" xr:uid="{00000000-0005-0000-0000-0000C11E0000}"/>
    <cellStyle name="Normal 14 5 3" xfId="7881" xr:uid="{00000000-0005-0000-0000-0000C21E0000}"/>
    <cellStyle name="Normal 14 5 3 2" xfId="7882" xr:uid="{00000000-0005-0000-0000-0000C31E0000}"/>
    <cellStyle name="Normal 14 5 3 3" xfId="7883" xr:uid="{00000000-0005-0000-0000-0000C41E0000}"/>
    <cellStyle name="Normal 14 5 4" xfId="7884" xr:uid="{00000000-0005-0000-0000-0000C51E0000}"/>
    <cellStyle name="Normal 14 5 4 2" xfId="7885" xr:uid="{00000000-0005-0000-0000-0000C61E0000}"/>
    <cellStyle name="Normal 14 5 4 3" xfId="7886" xr:uid="{00000000-0005-0000-0000-0000C71E0000}"/>
    <cellStyle name="Normal 14 5 5" xfId="7887" xr:uid="{00000000-0005-0000-0000-0000C81E0000}"/>
    <cellStyle name="Normal 14 5 5 2" xfId="7888" xr:uid="{00000000-0005-0000-0000-0000C91E0000}"/>
    <cellStyle name="Normal 14 5 5 3" xfId="7889" xr:uid="{00000000-0005-0000-0000-0000CA1E0000}"/>
    <cellStyle name="Normal 14 5 6" xfId="7890" xr:uid="{00000000-0005-0000-0000-0000CB1E0000}"/>
    <cellStyle name="Normal 14 5 6 2" xfId="7891" xr:uid="{00000000-0005-0000-0000-0000CC1E0000}"/>
    <cellStyle name="Normal 14 5 6 3" xfId="7892" xr:uid="{00000000-0005-0000-0000-0000CD1E0000}"/>
    <cellStyle name="Normal 14 5 7" xfId="7893" xr:uid="{00000000-0005-0000-0000-0000CE1E0000}"/>
    <cellStyle name="Normal 14 5 7 2" xfId="7894" xr:uid="{00000000-0005-0000-0000-0000CF1E0000}"/>
    <cellStyle name="Normal 14 5 7 3" xfId="7895" xr:uid="{00000000-0005-0000-0000-0000D01E0000}"/>
    <cellStyle name="Normal 14 5 8" xfId="7896" xr:uid="{00000000-0005-0000-0000-0000D11E0000}"/>
    <cellStyle name="Normal 14 5 8 2" xfId="7897" xr:uid="{00000000-0005-0000-0000-0000D21E0000}"/>
    <cellStyle name="Normal 14 5 8 3" xfId="7898" xr:uid="{00000000-0005-0000-0000-0000D31E0000}"/>
    <cellStyle name="Normal 14 5 9" xfId="7899" xr:uid="{00000000-0005-0000-0000-0000D41E0000}"/>
    <cellStyle name="Normal 14 6" xfId="7900" xr:uid="{00000000-0005-0000-0000-0000D51E0000}"/>
    <cellStyle name="Normal 14 6 2" xfId="7901" xr:uid="{00000000-0005-0000-0000-0000D61E0000}"/>
    <cellStyle name="Normal 14 6 2 2" xfId="7902" xr:uid="{00000000-0005-0000-0000-0000D71E0000}"/>
    <cellStyle name="Normal 14 6 2 3" xfId="7903" xr:uid="{00000000-0005-0000-0000-0000D81E0000}"/>
    <cellStyle name="Normal 14 6 3" xfId="7904" xr:uid="{00000000-0005-0000-0000-0000D91E0000}"/>
    <cellStyle name="Normal 14 6 3 2" xfId="7905" xr:uid="{00000000-0005-0000-0000-0000DA1E0000}"/>
    <cellStyle name="Normal 14 6 3 3" xfId="7906" xr:uid="{00000000-0005-0000-0000-0000DB1E0000}"/>
    <cellStyle name="Normal 14 6 4" xfId="7907" xr:uid="{00000000-0005-0000-0000-0000DC1E0000}"/>
    <cellStyle name="Normal 14 6 4 2" xfId="7908" xr:uid="{00000000-0005-0000-0000-0000DD1E0000}"/>
    <cellStyle name="Normal 14 6 4 3" xfId="7909" xr:uid="{00000000-0005-0000-0000-0000DE1E0000}"/>
    <cellStyle name="Normal 14 6 5" xfId="7910" xr:uid="{00000000-0005-0000-0000-0000DF1E0000}"/>
    <cellStyle name="Normal 14 6 5 2" xfId="7911" xr:uid="{00000000-0005-0000-0000-0000E01E0000}"/>
    <cellStyle name="Normal 14 6 5 3" xfId="7912" xr:uid="{00000000-0005-0000-0000-0000E11E0000}"/>
    <cellStyle name="Normal 14 6 6" xfId="7913" xr:uid="{00000000-0005-0000-0000-0000E21E0000}"/>
    <cellStyle name="Normal 14 6 6 2" xfId="7914" xr:uid="{00000000-0005-0000-0000-0000E31E0000}"/>
    <cellStyle name="Normal 14 6 6 3" xfId="7915" xr:uid="{00000000-0005-0000-0000-0000E41E0000}"/>
    <cellStyle name="Normal 14 6 7" xfId="7916" xr:uid="{00000000-0005-0000-0000-0000E51E0000}"/>
    <cellStyle name="Normal 14 6 7 2" xfId="7917" xr:uid="{00000000-0005-0000-0000-0000E61E0000}"/>
    <cellStyle name="Normal 14 6 7 3" xfId="7918" xr:uid="{00000000-0005-0000-0000-0000E71E0000}"/>
    <cellStyle name="Normal 14 6 8" xfId="7919" xr:uid="{00000000-0005-0000-0000-0000E81E0000}"/>
    <cellStyle name="Normal 14 6 9" xfId="7920" xr:uid="{00000000-0005-0000-0000-0000E91E0000}"/>
    <cellStyle name="Normal 14 7" xfId="7921" xr:uid="{00000000-0005-0000-0000-0000EA1E0000}"/>
    <cellStyle name="Normal 14 7 2" xfId="7922" xr:uid="{00000000-0005-0000-0000-0000EB1E0000}"/>
    <cellStyle name="Normal 14 7 3" xfId="7923" xr:uid="{00000000-0005-0000-0000-0000EC1E0000}"/>
    <cellStyle name="Normal 14 8" xfId="7924" xr:uid="{00000000-0005-0000-0000-0000ED1E0000}"/>
    <cellStyle name="Normal 14 8 2" xfId="7925" xr:uid="{00000000-0005-0000-0000-0000EE1E0000}"/>
    <cellStyle name="Normal 14 8 3" xfId="7926" xr:uid="{00000000-0005-0000-0000-0000EF1E0000}"/>
    <cellStyle name="Normal 14 9" xfId="7927" xr:uid="{00000000-0005-0000-0000-0000F01E0000}"/>
    <cellStyle name="Normal 14 9 2" xfId="7928" xr:uid="{00000000-0005-0000-0000-0000F11E0000}"/>
    <cellStyle name="Normal 14 9 3" xfId="7929" xr:uid="{00000000-0005-0000-0000-0000F21E0000}"/>
    <cellStyle name="Normal 15" xfId="7930" xr:uid="{00000000-0005-0000-0000-0000F31E0000}"/>
    <cellStyle name="Normal 16" xfId="7931" xr:uid="{00000000-0005-0000-0000-0000F41E0000}"/>
    <cellStyle name="Normal 16 10" xfId="7932" xr:uid="{00000000-0005-0000-0000-0000F51E0000}"/>
    <cellStyle name="Normal 16 10 2" xfId="7933" xr:uid="{00000000-0005-0000-0000-0000F61E0000}"/>
    <cellStyle name="Normal 16 10 3" xfId="7934" xr:uid="{00000000-0005-0000-0000-0000F71E0000}"/>
    <cellStyle name="Normal 16 11" xfId="7935" xr:uid="{00000000-0005-0000-0000-0000F81E0000}"/>
    <cellStyle name="Normal 16 11 2" xfId="7936" xr:uid="{00000000-0005-0000-0000-0000F91E0000}"/>
    <cellStyle name="Normal 16 11 3" xfId="7937" xr:uid="{00000000-0005-0000-0000-0000FA1E0000}"/>
    <cellStyle name="Normal 16 12" xfId="7938" xr:uid="{00000000-0005-0000-0000-0000FB1E0000}"/>
    <cellStyle name="Normal 16 13" xfId="7939" xr:uid="{00000000-0005-0000-0000-0000FC1E0000}"/>
    <cellStyle name="Normal 16 2" xfId="7940" xr:uid="{00000000-0005-0000-0000-0000FD1E0000}"/>
    <cellStyle name="Normal 16 2 10" xfId="7941" xr:uid="{00000000-0005-0000-0000-0000FE1E0000}"/>
    <cellStyle name="Normal 16 2 10 2" xfId="7942" xr:uid="{00000000-0005-0000-0000-0000FF1E0000}"/>
    <cellStyle name="Normal 16 2 10 3" xfId="7943" xr:uid="{00000000-0005-0000-0000-0000001F0000}"/>
    <cellStyle name="Normal 16 2 11" xfId="7944" xr:uid="{00000000-0005-0000-0000-0000011F0000}"/>
    <cellStyle name="Normal 16 2 12" xfId="7945" xr:uid="{00000000-0005-0000-0000-0000021F0000}"/>
    <cellStyle name="Normal 16 2 2" xfId="7946" xr:uid="{00000000-0005-0000-0000-0000031F0000}"/>
    <cellStyle name="Normal 16 2 2 10" xfId="7947" xr:uid="{00000000-0005-0000-0000-0000041F0000}"/>
    <cellStyle name="Normal 16 2 2 2" xfId="7948" xr:uid="{00000000-0005-0000-0000-0000051F0000}"/>
    <cellStyle name="Normal 16 2 2 2 2" xfId="7949" xr:uid="{00000000-0005-0000-0000-0000061F0000}"/>
    <cellStyle name="Normal 16 2 2 2 2 2" xfId="7950" xr:uid="{00000000-0005-0000-0000-0000071F0000}"/>
    <cellStyle name="Normal 16 2 2 2 2 3" xfId="7951" xr:uid="{00000000-0005-0000-0000-0000081F0000}"/>
    <cellStyle name="Normal 16 2 2 2 3" xfId="7952" xr:uid="{00000000-0005-0000-0000-0000091F0000}"/>
    <cellStyle name="Normal 16 2 2 2 3 2" xfId="7953" xr:uid="{00000000-0005-0000-0000-00000A1F0000}"/>
    <cellStyle name="Normal 16 2 2 2 3 3" xfId="7954" xr:uid="{00000000-0005-0000-0000-00000B1F0000}"/>
    <cellStyle name="Normal 16 2 2 2 4" xfId="7955" xr:uid="{00000000-0005-0000-0000-00000C1F0000}"/>
    <cellStyle name="Normal 16 2 2 2 4 2" xfId="7956" xr:uid="{00000000-0005-0000-0000-00000D1F0000}"/>
    <cellStyle name="Normal 16 2 2 2 4 3" xfId="7957" xr:uid="{00000000-0005-0000-0000-00000E1F0000}"/>
    <cellStyle name="Normal 16 2 2 2 5" xfId="7958" xr:uid="{00000000-0005-0000-0000-00000F1F0000}"/>
    <cellStyle name="Normal 16 2 2 2 5 2" xfId="7959" xr:uid="{00000000-0005-0000-0000-0000101F0000}"/>
    <cellStyle name="Normal 16 2 2 2 5 3" xfId="7960" xr:uid="{00000000-0005-0000-0000-0000111F0000}"/>
    <cellStyle name="Normal 16 2 2 2 6" xfId="7961" xr:uid="{00000000-0005-0000-0000-0000121F0000}"/>
    <cellStyle name="Normal 16 2 2 2 6 2" xfId="7962" xr:uid="{00000000-0005-0000-0000-0000131F0000}"/>
    <cellStyle name="Normal 16 2 2 2 6 3" xfId="7963" xr:uid="{00000000-0005-0000-0000-0000141F0000}"/>
    <cellStyle name="Normal 16 2 2 2 7" xfId="7964" xr:uid="{00000000-0005-0000-0000-0000151F0000}"/>
    <cellStyle name="Normal 16 2 2 2 7 2" xfId="7965" xr:uid="{00000000-0005-0000-0000-0000161F0000}"/>
    <cellStyle name="Normal 16 2 2 2 7 3" xfId="7966" xr:uid="{00000000-0005-0000-0000-0000171F0000}"/>
    <cellStyle name="Normal 16 2 2 2 8" xfId="7967" xr:uid="{00000000-0005-0000-0000-0000181F0000}"/>
    <cellStyle name="Normal 16 2 2 2 9" xfId="7968" xr:uid="{00000000-0005-0000-0000-0000191F0000}"/>
    <cellStyle name="Normal 16 2 2 3" xfId="7969" xr:uid="{00000000-0005-0000-0000-00001A1F0000}"/>
    <cellStyle name="Normal 16 2 2 3 2" xfId="7970" xr:uid="{00000000-0005-0000-0000-00001B1F0000}"/>
    <cellStyle name="Normal 16 2 2 3 3" xfId="7971" xr:uid="{00000000-0005-0000-0000-00001C1F0000}"/>
    <cellStyle name="Normal 16 2 2 4" xfId="7972" xr:uid="{00000000-0005-0000-0000-00001D1F0000}"/>
    <cellStyle name="Normal 16 2 2 4 2" xfId="7973" xr:uid="{00000000-0005-0000-0000-00001E1F0000}"/>
    <cellStyle name="Normal 16 2 2 4 3" xfId="7974" xr:uid="{00000000-0005-0000-0000-00001F1F0000}"/>
    <cellStyle name="Normal 16 2 2 5" xfId="7975" xr:uid="{00000000-0005-0000-0000-0000201F0000}"/>
    <cellStyle name="Normal 16 2 2 5 2" xfId="7976" xr:uid="{00000000-0005-0000-0000-0000211F0000}"/>
    <cellStyle name="Normal 16 2 2 5 3" xfId="7977" xr:uid="{00000000-0005-0000-0000-0000221F0000}"/>
    <cellStyle name="Normal 16 2 2 6" xfId="7978" xr:uid="{00000000-0005-0000-0000-0000231F0000}"/>
    <cellStyle name="Normal 16 2 2 6 2" xfId="7979" xr:uid="{00000000-0005-0000-0000-0000241F0000}"/>
    <cellStyle name="Normal 16 2 2 6 3" xfId="7980" xr:uid="{00000000-0005-0000-0000-0000251F0000}"/>
    <cellStyle name="Normal 16 2 2 7" xfId="7981" xr:uid="{00000000-0005-0000-0000-0000261F0000}"/>
    <cellStyle name="Normal 16 2 2 7 2" xfId="7982" xr:uid="{00000000-0005-0000-0000-0000271F0000}"/>
    <cellStyle name="Normal 16 2 2 7 3" xfId="7983" xr:uid="{00000000-0005-0000-0000-0000281F0000}"/>
    <cellStyle name="Normal 16 2 2 8" xfId="7984" xr:uid="{00000000-0005-0000-0000-0000291F0000}"/>
    <cellStyle name="Normal 16 2 2 8 2" xfId="7985" xr:uid="{00000000-0005-0000-0000-00002A1F0000}"/>
    <cellStyle name="Normal 16 2 2 8 3" xfId="7986" xr:uid="{00000000-0005-0000-0000-00002B1F0000}"/>
    <cellStyle name="Normal 16 2 2 9" xfId="7987" xr:uid="{00000000-0005-0000-0000-00002C1F0000}"/>
    <cellStyle name="Normal 16 2 3" xfId="7988" xr:uid="{00000000-0005-0000-0000-00002D1F0000}"/>
    <cellStyle name="Normal 16 2 3 10" xfId="7989" xr:uid="{00000000-0005-0000-0000-00002E1F0000}"/>
    <cellStyle name="Normal 16 2 3 2" xfId="7990" xr:uid="{00000000-0005-0000-0000-00002F1F0000}"/>
    <cellStyle name="Normal 16 2 3 2 2" xfId="7991" xr:uid="{00000000-0005-0000-0000-0000301F0000}"/>
    <cellStyle name="Normal 16 2 3 2 2 2" xfId="7992" xr:uid="{00000000-0005-0000-0000-0000311F0000}"/>
    <cellStyle name="Normal 16 2 3 2 2 3" xfId="7993" xr:uid="{00000000-0005-0000-0000-0000321F0000}"/>
    <cellStyle name="Normal 16 2 3 2 3" xfId="7994" xr:uid="{00000000-0005-0000-0000-0000331F0000}"/>
    <cellStyle name="Normal 16 2 3 2 3 2" xfId="7995" xr:uid="{00000000-0005-0000-0000-0000341F0000}"/>
    <cellStyle name="Normal 16 2 3 2 3 3" xfId="7996" xr:uid="{00000000-0005-0000-0000-0000351F0000}"/>
    <cellStyle name="Normal 16 2 3 2 4" xfId="7997" xr:uid="{00000000-0005-0000-0000-0000361F0000}"/>
    <cellStyle name="Normal 16 2 3 2 4 2" xfId="7998" xr:uid="{00000000-0005-0000-0000-0000371F0000}"/>
    <cellStyle name="Normal 16 2 3 2 4 3" xfId="7999" xr:uid="{00000000-0005-0000-0000-0000381F0000}"/>
    <cellStyle name="Normal 16 2 3 2 5" xfId="8000" xr:uid="{00000000-0005-0000-0000-0000391F0000}"/>
    <cellStyle name="Normal 16 2 3 2 5 2" xfId="8001" xr:uid="{00000000-0005-0000-0000-00003A1F0000}"/>
    <cellStyle name="Normal 16 2 3 2 5 3" xfId="8002" xr:uid="{00000000-0005-0000-0000-00003B1F0000}"/>
    <cellStyle name="Normal 16 2 3 2 6" xfId="8003" xr:uid="{00000000-0005-0000-0000-00003C1F0000}"/>
    <cellStyle name="Normal 16 2 3 2 6 2" xfId="8004" xr:uid="{00000000-0005-0000-0000-00003D1F0000}"/>
    <cellStyle name="Normal 16 2 3 2 6 3" xfId="8005" xr:uid="{00000000-0005-0000-0000-00003E1F0000}"/>
    <cellStyle name="Normal 16 2 3 2 7" xfId="8006" xr:uid="{00000000-0005-0000-0000-00003F1F0000}"/>
    <cellStyle name="Normal 16 2 3 2 7 2" xfId="8007" xr:uid="{00000000-0005-0000-0000-0000401F0000}"/>
    <cellStyle name="Normal 16 2 3 2 7 3" xfId="8008" xr:uid="{00000000-0005-0000-0000-0000411F0000}"/>
    <cellStyle name="Normal 16 2 3 2 8" xfId="8009" xr:uid="{00000000-0005-0000-0000-0000421F0000}"/>
    <cellStyle name="Normal 16 2 3 2 9" xfId="8010" xr:uid="{00000000-0005-0000-0000-0000431F0000}"/>
    <cellStyle name="Normal 16 2 3 3" xfId="8011" xr:uid="{00000000-0005-0000-0000-0000441F0000}"/>
    <cellStyle name="Normal 16 2 3 3 2" xfId="8012" xr:uid="{00000000-0005-0000-0000-0000451F0000}"/>
    <cellStyle name="Normal 16 2 3 3 3" xfId="8013" xr:uid="{00000000-0005-0000-0000-0000461F0000}"/>
    <cellStyle name="Normal 16 2 3 4" xfId="8014" xr:uid="{00000000-0005-0000-0000-0000471F0000}"/>
    <cellStyle name="Normal 16 2 3 4 2" xfId="8015" xr:uid="{00000000-0005-0000-0000-0000481F0000}"/>
    <cellStyle name="Normal 16 2 3 4 3" xfId="8016" xr:uid="{00000000-0005-0000-0000-0000491F0000}"/>
    <cellStyle name="Normal 16 2 3 5" xfId="8017" xr:uid="{00000000-0005-0000-0000-00004A1F0000}"/>
    <cellStyle name="Normal 16 2 3 5 2" xfId="8018" xr:uid="{00000000-0005-0000-0000-00004B1F0000}"/>
    <cellStyle name="Normal 16 2 3 5 3" xfId="8019" xr:uid="{00000000-0005-0000-0000-00004C1F0000}"/>
    <cellStyle name="Normal 16 2 3 6" xfId="8020" xr:uid="{00000000-0005-0000-0000-00004D1F0000}"/>
    <cellStyle name="Normal 16 2 3 6 2" xfId="8021" xr:uid="{00000000-0005-0000-0000-00004E1F0000}"/>
    <cellStyle name="Normal 16 2 3 6 3" xfId="8022" xr:uid="{00000000-0005-0000-0000-00004F1F0000}"/>
    <cellStyle name="Normal 16 2 3 7" xfId="8023" xr:uid="{00000000-0005-0000-0000-0000501F0000}"/>
    <cellStyle name="Normal 16 2 3 7 2" xfId="8024" xr:uid="{00000000-0005-0000-0000-0000511F0000}"/>
    <cellStyle name="Normal 16 2 3 7 3" xfId="8025" xr:uid="{00000000-0005-0000-0000-0000521F0000}"/>
    <cellStyle name="Normal 16 2 3 8" xfId="8026" xr:uid="{00000000-0005-0000-0000-0000531F0000}"/>
    <cellStyle name="Normal 16 2 3 8 2" xfId="8027" xr:uid="{00000000-0005-0000-0000-0000541F0000}"/>
    <cellStyle name="Normal 16 2 3 8 3" xfId="8028" xr:uid="{00000000-0005-0000-0000-0000551F0000}"/>
    <cellStyle name="Normal 16 2 3 9" xfId="8029" xr:uid="{00000000-0005-0000-0000-0000561F0000}"/>
    <cellStyle name="Normal 16 2 4" xfId="8030" xr:uid="{00000000-0005-0000-0000-0000571F0000}"/>
    <cellStyle name="Normal 16 2 4 2" xfId="8031" xr:uid="{00000000-0005-0000-0000-0000581F0000}"/>
    <cellStyle name="Normal 16 2 4 2 2" xfId="8032" xr:uid="{00000000-0005-0000-0000-0000591F0000}"/>
    <cellStyle name="Normal 16 2 4 2 3" xfId="8033" xr:uid="{00000000-0005-0000-0000-00005A1F0000}"/>
    <cellStyle name="Normal 16 2 4 3" xfId="8034" xr:uid="{00000000-0005-0000-0000-00005B1F0000}"/>
    <cellStyle name="Normal 16 2 4 3 2" xfId="8035" xr:uid="{00000000-0005-0000-0000-00005C1F0000}"/>
    <cellStyle name="Normal 16 2 4 3 3" xfId="8036" xr:uid="{00000000-0005-0000-0000-00005D1F0000}"/>
    <cellStyle name="Normal 16 2 4 4" xfId="8037" xr:uid="{00000000-0005-0000-0000-00005E1F0000}"/>
    <cellStyle name="Normal 16 2 4 4 2" xfId="8038" xr:uid="{00000000-0005-0000-0000-00005F1F0000}"/>
    <cellStyle name="Normal 16 2 4 4 3" xfId="8039" xr:uid="{00000000-0005-0000-0000-0000601F0000}"/>
    <cellStyle name="Normal 16 2 4 5" xfId="8040" xr:uid="{00000000-0005-0000-0000-0000611F0000}"/>
    <cellStyle name="Normal 16 2 4 5 2" xfId="8041" xr:uid="{00000000-0005-0000-0000-0000621F0000}"/>
    <cellStyle name="Normal 16 2 4 5 3" xfId="8042" xr:uid="{00000000-0005-0000-0000-0000631F0000}"/>
    <cellStyle name="Normal 16 2 4 6" xfId="8043" xr:uid="{00000000-0005-0000-0000-0000641F0000}"/>
    <cellStyle name="Normal 16 2 4 6 2" xfId="8044" xr:uid="{00000000-0005-0000-0000-0000651F0000}"/>
    <cellStyle name="Normal 16 2 4 6 3" xfId="8045" xr:uid="{00000000-0005-0000-0000-0000661F0000}"/>
    <cellStyle name="Normal 16 2 4 7" xfId="8046" xr:uid="{00000000-0005-0000-0000-0000671F0000}"/>
    <cellStyle name="Normal 16 2 4 7 2" xfId="8047" xr:uid="{00000000-0005-0000-0000-0000681F0000}"/>
    <cellStyle name="Normal 16 2 4 7 3" xfId="8048" xr:uid="{00000000-0005-0000-0000-0000691F0000}"/>
    <cellStyle name="Normal 16 2 4 8" xfId="8049" xr:uid="{00000000-0005-0000-0000-00006A1F0000}"/>
    <cellStyle name="Normal 16 2 4 9" xfId="8050" xr:uid="{00000000-0005-0000-0000-00006B1F0000}"/>
    <cellStyle name="Normal 16 2 5" xfId="8051" xr:uid="{00000000-0005-0000-0000-00006C1F0000}"/>
    <cellStyle name="Normal 16 2 5 2" xfId="8052" xr:uid="{00000000-0005-0000-0000-00006D1F0000}"/>
    <cellStyle name="Normal 16 2 5 3" xfId="8053" xr:uid="{00000000-0005-0000-0000-00006E1F0000}"/>
    <cellStyle name="Normal 16 2 6" xfId="8054" xr:uid="{00000000-0005-0000-0000-00006F1F0000}"/>
    <cellStyle name="Normal 16 2 6 2" xfId="8055" xr:uid="{00000000-0005-0000-0000-0000701F0000}"/>
    <cellStyle name="Normal 16 2 6 3" xfId="8056" xr:uid="{00000000-0005-0000-0000-0000711F0000}"/>
    <cellStyle name="Normal 16 2 7" xfId="8057" xr:uid="{00000000-0005-0000-0000-0000721F0000}"/>
    <cellStyle name="Normal 16 2 7 2" xfId="8058" xr:uid="{00000000-0005-0000-0000-0000731F0000}"/>
    <cellStyle name="Normal 16 2 7 3" xfId="8059" xr:uid="{00000000-0005-0000-0000-0000741F0000}"/>
    <cellStyle name="Normal 16 2 8" xfId="8060" xr:uid="{00000000-0005-0000-0000-0000751F0000}"/>
    <cellStyle name="Normal 16 2 8 2" xfId="8061" xr:uid="{00000000-0005-0000-0000-0000761F0000}"/>
    <cellStyle name="Normal 16 2 8 3" xfId="8062" xr:uid="{00000000-0005-0000-0000-0000771F0000}"/>
    <cellStyle name="Normal 16 2 9" xfId="8063" xr:uid="{00000000-0005-0000-0000-0000781F0000}"/>
    <cellStyle name="Normal 16 2 9 2" xfId="8064" xr:uid="{00000000-0005-0000-0000-0000791F0000}"/>
    <cellStyle name="Normal 16 2 9 3" xfId="8065" xr:uid="{00000000-0005-0000-0000-00007A1F0000}"/>
    <cellStyle name="Normal 16 3" xfId="8066" xr:uid="{00000000-0005-0000-0000-00007B1F0000}"/>
    <cellStyle name="Normal 16 3 10" xfId="8067" xr:uid="{00000000-0005-0000-0000-00007C1F0000}"/>
    <cellStyle name="Normal 16 3 2" xfId="8068" xr:uid="{00000000-0005-0000-0000-00007D1F0000}"/>
    <cellStyle name="Normal 16 3 2 2" xfId="8069" xr:uid="{00000000-0005-0000-0000-00007E1F0000}"/>
    <cellStyle name="Normal 16 3 2 2 2" xfId="8070" xr:uid="{00000000-0005-0000-0000-00007F1F0000}"/>
    <cellStyle name="Normal 16 3 2 2 3" xfId="8071" xr:uid="{00000000-0005-0000-0000-0000801F0000}"/>
    <cellStyle name="Normal 16 3 2 3" xfId="8072" xr:uid="{00000000-0005-0000-0000-0000811F0000}"/>
    <cellStyle name="Normal 16 3 2 3 2" xfId="8073" xr:uid="{00000000-0005-0000-0000-0000821F0000}"/>
    <cellStyle name="Normal 16 3 2 3 3" xfId="8074" xr:uid="{00000000-0005-0000-0000-0000831F0000}"/>
    <cellStyle name="Normal 16 3 2 4" xfId="8075" xr:uid="{00000000-0005-0000-0000-0000841F0000}"/>
    <cellStyle name="Normal 16 3 2 4 2" xfId="8076" xr:uid="{00000000-0005-0000-0000-0000851F0000}"/>
    <cellStyle name="Normal 16 3 2 4 3" xfId="8077" xr:uid="{00000000-0005-0000-0000-0000861F0000}"/>
    <cellStyle name="Normal 16 3 2 5" xfId="8078" xr:uid="{00000000-0005-0000-0000-0000871F0000}"/>
    <cellStyle name="Normal 16 3 2 5 2" xfId="8079" xr:uid="{00000000-0005-0000-0000-0000881F0000}"/>
    <cellStyle name="Normal 16 3 2 5 3" xfId="8080" xr:uid="{00000000-0005-0000-0000-0000891F0000}"/>
    <cellStyle name="Normal 16 3 2 6" xfId="8081" xr:uid="{00000000-0005-0000-0000-00008A1F0000}"/>
    <cellStyle name="Normal 16 3 2 6 2" xfId="8082" xr:uid="{00000000-0005-0000-0000-00008B1F0000}"/>
    <cellStyle name="Normal 16 3 2 6 3" xfId="8083" xr:uid="{00000000-0005-0000-0000-00008C1F0000}"/>
    <cellStyle name="Normal 16 3 2 7" xfId="8084" xr:uid="{00000000-0005-0000-0000-00008D1F0000}"/>
    <cellStyle name="Normal 16 3 2 7 2" xfId="8085" xr:uid="{00000000-0005-0000-0000-00008E1F0000}"/>
    <cellStyle name="Normal 16 3 2 7 3" xfId="8086" xr:uid="{00000000-0005-0000-0000-00008F1F0000}"/>
    <cellStyle name="Normal 16 3 2 8" xfId="8087" xr:uid="{00000000-0005-0000-0000-0000901F0000}"/>
    <cellStyle name="Normal 16 3 2 9" xfId="8088" xr:uid="{00000000-0005-0000-0000-0000911F0000}"/>
    <cellStyle name="Normal 16 3 3" xfId="8089" xr:uid="{00000000-0005-0000-0000-0000921F0000}"/>
    <cellStyle name="Normal 16 3 3 2" xfId="8090" xr:uid="{00000000-0005-0000-0000-0000931F0000}"/>
    <cellStyle name="Normal 16 3 3 3" xfId="8091" xr:uid="{00000000-0005-0000-0000-0000941F0000}"/>
    <cellStyle name="Normal 16 3 4" xfId="8092" xr:uid="{00000000-0005-0000-0000-0000951F0000}"/>
    <cellStyle name="Normal 16 3 4 2" xfId="8093" xr:uid="{00000000-0005-0000-0000-0000961F0000}"/>
    <cellStyle name="Normal 16 3 4 3" xfId="8094" xr:uid="{00000000-0005-0000-0000-0000971F0000}"/>
    <cellStyle name="Normal 16 3 5" xfId="8095" xr:uid="{00000000-0005-0000-0000-0000981F0000}"/>
    <cellStyle name="Normal 16 3 5 2" xfId="8096" xr:uid="{00000000-0005-0000-0000-0000991F0000}"/>
    <cellStyle name="Normal 16 3 5 3" xfId="8097" xr:uid="{00000000-0005-0000-0000-00009A1F0000}"/>
    <cellStyle name="Normal 16 3 6" xfId="8098" xr:uid="{00000000-0005-0000-0000-00009B1F0000}"/>
    <cellStyle name="Normal 16 3 6 2" xfId="8099" xr:uid="{00000000-0005-0000-0000-00009C1F0000}"/>
    <cellStyle name="Normal 16 3 6 3" xfId="8100" xr:uid="{00000000-0005-0000-0000-00009D1F0000}"/>
    <cellStyle name="Normal 16 3 7" xfId="8101" xr:uid="{00000000-0005-0000-0000-00009E1F0000}"/>
    <cellStyle name="Normal 16 3 7 2" xfId="8102" xr:uid="{00000000-0005-0000-0000-00009F1F0000}"/>
    <cellStyle name="Normal 16 3 7 3" xfId="8103" xr:uid="{00000000-0005-0000-0000-0000A01F0000}"/>
    <cellStyle name="Normal 16 3 8" xfId="8104" xr:uid="{00000000-0005-0000-0000-0000A11F0000}"/>
    <cellStyle name="Normal 16 3 8 2" xfId="8105" xr:uid="{00000000-0005-0000-0000-0000A21F0000}"/>
    <cellStyle name="Normal 16 3 8 3" xfId="8106" xr:uid="{00000000-0005-0000-0000-0000A31F0000}"/>
    <cellStyle name="Normal 16 3 9" xfId="8107" xr:uid="{00000000-0005-0000-0000-0000A41F0000}"/>
    <cellStyle name="Normal 16 4" xfId="8108" xr:uid="{00000000-0005-0000-0000-0000A51F0000}"/>
    <cellStyle name="Normal 16 4 10" xfId="8109" xr:uid="{00000000-0005-0000-0000-0000A61F0000}"/>
    <cellStyle name="Normal 16 4 2" xfId="8110" xr:uid="{00000000-0005-0000-0000-0000A71F0000}"/>
    <cellStyle name="Normal 16 4 2 2" xfId="8111" xr:uid="{00000000-0005-0000-0000-0000A81F0000}"/>
    <cellStyle name="Normal 16 4 2 2 2" xfId="8112" xr:uid="{00000000-0005-0000-0000-0000A91F0000}"/>
    <cellStyle name="Normal 16 4 2 2 3" xfId="8113" xr:uid="{00000000-0005-0000-0000-0000AA1F0000}"/>
    <cellStyle name="Normal 16 4 2 3" xfId="8114" xr:uid="{00000000-0005-0000-0000-0000AB1F0000}"/>
    <cellStyle name="Normal 16 4 2 3 2" xfId="8115" xr:uid="{00000000-0005-0000-0000-0000AC1F0000}"/>
    <cellStyle name="Normal 16 4 2 3 3" xfId="8116" xr:uid="{00000000-0005-0000-0000-0000AD1F0000}"/>
    <cellStyle name="Normal 16 4 2 4" xfId="8117" xr:uid="{00000000-0005-0000-0000-0000AE1F0000}"/>
    <cellStyle name="Normal 16 4 2 4 2" xfId="8118" xr:uid="{00000000-0005-0000-0000-0000AF1F0000}"/>
    <cellStyle name="Normal 16 4 2 4 3" xfId="8119" xr:uid="{00000000-0005-0000-0000-0000B01F0000}"/>
    <cellStyle name="Normal 16 4 2 5" xfId="8120" xr:uid="{00000000-0005-0000-0000-0000B11F0000}"/>
    <cellStyle name="Normal 16 4 2 5 2" xfId="8121" xr:uid="{00000000-0005-0000-0000-0000B21F0000}"/>
    <cellStyle name="Normal 16 4 2 5 3" xfId="8122" xr:uid="{00000000-0005-0000-0000-0000B31F0000}"/>
    <cellStyle name="Normal 16 4 2 6" xfId="8123" xr:uid="{00000000-0005-0000-0000-0000B41F0000}"/>
    <cellStyle name="Normal 16 4 2 6 2" xfId="8124" xr:uid="{00000000-0005-0000-0000-0000B51F0000}"/>
    <cellStyle name="Normal 16 4 2 6 3" xfId="8125" xr:uid="{00000000-0005-0000-0000-0000B61F0000}"/>
    <cellStyle name="Normal 16 4 2 7" xfId="8126" xr:uid="{00000000-0005-0000-0000-0000B71F0000}"/>
    <cellStyle name="Normal 16 4 2 7 2" xfId="8127" xr:uid="{00000000-0005-0000-0000-0000B81F0000}"/>
    <cellStyle name="Normal 16 4 2 7 3" xfId="8128" xr:uid="{00000000-0005-0000-0000-0000B91F0000}"/>
    <cellStyle name="Normal 16 4 2 8" xfId="8129" xr:uid="{00000000-0005-0000-0000-0000BA1F0000}"/>
    <cellStyle name="Normal 16 4 2 9" xfId="8130" xr:uid="{00000000-0005-0000-0000-0000BB1F0000}"/>
    <cellStyle name="Normal 16 4 3" xfId="8131" xr:uid="{00000000-0005-0000-0000-0000BC1F0000}"/>
    <cellStyle name="Normal 16 4 3 2" xfId="8132" xr:uid="{00000000-0005-0000-0000-0000BD1F0000}"/>
    <cellStyle name="Normal 16 4 3 3" xfId="8133" xr:uid="{00000000-0005-0000-0000-0000BE1F0000}"/>
    <cellStyle name="Normal 16 4 4" xfId="8134" xr:uid="{00000000-0005-0000-0000-0000BF1F0000}"/>
    <cellStyle name="Normal 16 4 4 2" xfId="8135" xr:uid="{00000000-0005-0000-0000-0000C01F0000}"/>
    <cellStyle name="Normal 16 4 4 3" xfId="8136" xr:uid="{00000000-0005-0000-0000-0000C11F0000}"/>
    <cellStyle name="Normal 16 4 5" xfId="8137" xr:uid="{00000000-0005-0000-0000-0000C21F0000}"/>
    <cellStyle name="Normal 16 4 5 2" xfId="8138" xr:uid="{00000000-0005-0000-0000-0000C31F0000}"/>
    <cellStyle name="Normal 16 4 5 3" xfId="8139" xr:uid="{00000000-0005-0000-0000-0000C41F0000}"/>
    <cellStyle name="Normal 16 4 6" xfId="8140" xr:uid="{00000000-0005-0000-0000-0000C51F0000}"/>
    <cellStyle name="Normal 16 4 6 2" xfId="8141" xr:uid="{00000000-0005-0000-0000-0000C61F0000}"/>
    <cellStyle name="Normal 16 4 6 3" xfId="8142" xr:uid="{00000000-0005-0000-0000-0000C71F0000}"/>
    <cellStyle name="Normal 16 4 7" xfId="8143" xr:uid="{00000000-0005-0000-0000-0000C81F0000}"/>
    <cellStyle name="Normal 16 4 7 2" xfId="8144" xr:uid="{00000000-0005-0000-0000-0000C91F0000}"/>
    <cellStyle name="Normal 16 4 7 3" xfId="8145" xr:uid="{00000000-0005-0000-0000-0000CA1F0000}"/>
    <cellStyle name="Normal 16 4 8" xfId="8146" xr:uid="{00000000-0005-0000-0000-0000CB1F0000}"/>
    <cellStyle name="Normal 16 4 8 2" xfId="8147" xr:uid="{00000000-0005-0000-0000-0000CC1F0000}"/>
    <cellStyle name="Normal 16 4 8 3" xfId="8148" xr:uid="{00000000-0005-0000-0000-0000CD1F0000}"/>
    <cellStyle name="Normal 16 4 9" xfId="8149" xr:uid="{00000000-0005-0000-0000-0000CE1F0000}"/>
    <cellStyle name="Normal 16 5" xfId="8150" xr:uid="{00000000-0005-0000-0000-0000CF1F0000}"/>
    <cellStyle name="Normal 16 5 2" xfId="8151" xr:uid="{00000000-0005-0000-0000-0000D01F0000}"/>
    <cellStyle name="Normal 16 5 2 2" xfId="8152" xr:uid="{00000000-0005-0000-0000-0000D11F0000}"/>
    <cellStyle name="Normal 16 5 2 3" xfId="8153" xr:uid="{00000000-0005-0000-0000-0000D21F0000}"/>
    <cellStyle name="Normal 16 5 3" xfId="8154" xr:uid="{00000000-0005-0000-0000-0000D31F0000}"/>
    <cellStyle name="Normal 16 5 3 2" xfId="8155" xr:uid="{00000000-0005-0000-0000-0000D41F0000}"/>
    <cellStyle name="Normal 16 5 3 3" xfId="8156" xr:uid="{00000000-0005-0000-0000-0000D51F0000}"/>
    <cellStyle name="Normal 16 5 4" xfId="8157" xr:uid="{00000000-0005-0000-0000-0000D61F0000}"/>
    <cellStyle name="Normal 16 5 4 2" xfId="8158" xr:uid="{00000000-0005-0000-0000-0000D71F0000}"/>
    <cellStyle name="Normal 16 5 4 3" xfId="8159" xr:uid="{00000000-0005-0000-0000-0000D81F0000}"/>
    <cellStyle name="Normal 16 5 5" xfId="8160" xr:uid="{00000000-0005-0000-0000-0000D91F0000}"/>
    <cellStyle name="Normal 16 5 5 2" xfId="8161" xr:uid="{00000000-0005-0000-0000-0000DA1F0000}"/>
    <cellStyle name="Normal 16 5 5 3" xfId="8162" xr:uid="{00000000-0005-0000-0000-0000DB1F0000}"/>
    <cellStyle name="Normal 16 5 6" xfId="8163" xr:uid="{00000000-0005-0000-0000-0000DC1F0000}"/>
    <cellStyle name="Normal 16 5 6 2" xfId="8164" xr:uid="{00000000-0005-0000-0000-0000DD1F0000}"/>
    <cellStyle name="Normal 16 5 6 3" xfId="8165" xr:uid="{00000000-0005-0000-0000-0000DE1F0000}"/>
    <cellStyle name="Normal 16 5 7" xfId="8166" xr:uid="{00000000-0005-0000-0000-0000DF1F0000}"/>
    <cellStyle name="Normal 16 5 7 2" xfId="8167" xr:uid="{00000000-0005-0000-0000-0000E01F0000}"/>
    <cellStyle name="Normal 16 5 7 3" xfId="8168" xr:uid="{00000000-0005-0000-0000-0000E11F0000}"/>
    <cellStyle name="Normal 16 5 8" xfId="8169" xr:uid="{00000000-0005-0000-0000-0000E21F0000}"/>
    <cellStyle name="Normal 16 5 9" xfId="8170" xr:uid="{00000000-0005-0000-0000-0000E31F0000}"/>
    <cellStyle name="Normal 16 6" xfId="8171" xr:uid="{00000000-0005-0000-0000-0000E41F0000}"/>
    <cellStyle name="Normal 16 6 2" xfId="8172" xr:uid="{00000000-0005-0000-0000-0000E51F0000}"/>
    <cellStyle name="Normal 16 6 3" xfId="8173" xr:uid="{00000000-0005-0000-0000-0000E61F0000}"/>
    <cellStyle name="Normal 16 7" xfId="8174" xr:uid="{00000000-0005-0000-0000-0000E71F0000}"/>
    <cellStyle name="Normal 16 7 2" xfId="8175" xr:uid="{00000000-0005-0000-0000-0000E81F0000}"/>
    <cellStyle name="Normal 16 7 3" xfId="8176" xr:uid="{00000000-0005-0000-0000-0000E91F0000}"/>
    <cellStyle name="Normal 16 8" xfId="8177" xr:uid="{00000000-0005-0000-0000-0000EA1F0000}"/>
    <cellStyle name="Normal 16 8 2" xfId="8178" xr:uid="{00000000-0005-0000-0000-0000EB1F0000}"/>
    <cellStyle name="Normal 16 8 3" xfId="8179" xr:uid="{00000000-0005-0000-0000-0000EC1F0000}"/>
    <cellStyle name="Normal 16 9" xfId="8180" xr:uid="{00000000-0005-0000-0000-0000ED1F0000}"/>
    <cellStyle name="Normal 16 9 2" xfId="8181" xr:uid="{00000000-0005-0000-0000-0000EE1F0000}"/>
    <cellStyle name="Normal 16 9 3" xfId="8182" xr:uid="{00000000-0005-0000-0000-0000EF1F0000}"/>
    <cellStyle name="Normal 17" xfId="8183" xr:uid="{00000000-0005-0000-0000-0000F01F0000}"/>
    <cellStyle name="Normal 17 10" xfId="8184" xr:uid="{00000000-0005-0000-0000-0000F11F0000}"/>
    <cellStyle name="Normal 17 10 2" xfId="8185" xr:uid="{00000000-0005-0000-0000-0000F21F0000}"/>
    <cellStyle name="Normal 17 10 3" xfId="8186" xr:uid="{00000000-0005-0000-0000-0000F31F0000}"/>
    <cellStyle name="Normal 17 11" xfId="8187" xr:uid="{00000000-0005-0000-0000-0000F41F0000}"/>
    <cellStyle name="Normal 17 12" xfId="8188" xr:uid="{00000000-0005-0000-0000-0000F51F0000}"/>
    <cellStyle name="Normal 17 2" xfId="8189" xr:uid="{00000000-0005-0000-0000-0000F61F0000}"/>
    <cellStyle name="Normal 17 2 10" xfId="8190" xr:uid="{00000000-0005-0000-0000-0000F71F0000}"/>
    <cellStyle name="Normal 17 2 2" xfId="8191" xr:uid="{00000000-0005-0000-0000-0000F81F0000}"/>
    <cellStyle name="Normal 17 2 2 2" xfId="8192" xr:uid="{00000000-0005-0000-0000-0000F91F0000}"/>
    <cellStyle name="Normal 17 2 2 2 2" xfId="8193" xr:uid="{00000000-0005-0000-0000-0000FA1F0000}"/>
    <cellStyle name="Normal 17 2 2 2 3" xfId="8194" xr:uid="{00000000-0005-0000-0000-0000FB1F0000}"/>
    <cellStyle name="Normal 17 2 2 3" xfId="8195" xr:uid="{00000000-0005-0000-0000-0000FC1F0000}"/>
    <cellStyle name="Normal 17 2 2 3 2" xfId="8196" xr:uid="{00000000-0005-0000-0000-0000FD1F0000}"/>
    <cellStyle name="Normal 17 2 2 3 3" xfId="8197" xr:uid="{00000000-0005-0000-0000-0000FE1F0000}"/>
    <cellStyle name="Normal 17 2 2 4" xfId="8198" xr:uid="{00000000-0005-0000-0000-0000FF1F0000}"/>
    <cellStyle name="Normal 17 2 2 4 2" xfId="8199" xr:uid="{00000000-0005-0000-0000-000000200000}"/>
    <cellStyle name="Normal 17 2 2 4 3" xfId="8200" xr:uid="{00000000-0005-0000-0000-000001200000}"/>
    <cellStyle name="Normal 17 2 2 5" xfId="8201" xr:uid="{00000000-0005-0000-0000-000002200000}"/>
    <cellStyle name="Normal 17 2 2 5 2" xfId="8202" xr:uid="{00000000-0005-0000-0000-000003200000}"/>
    <cellStyle name="Normal 17 2 2 5 3" xfId="8203" xr:uid="{00000000-0005-0000-0000-000004200000}"/>
    <cellStyle name="Normal 17 2 2 6" xfId="8204" xr:uid="{00000000-0005-0000-0000-000005200000}"/>
    <cellStyle name="Normal 17 2 2 6 2" xfId="8205" xr:uid="{00000000-0005-0000-0000-000006200000}"/>
    <cellStyle name="Normal 17 2 2 6 3" xfId="8206" xr:uid="{00000000-0005-0000-0000-000007200000}"/>
    <cellStyle name="Normal 17 2 2 7" xfId="8207" xr:uid="{00000000-0005-0000-0000-000008200000}"/>
    <cellStyle name="Normal 17 2 2 7 2" xfId="8208" xr:uid="{00000000-0005-0000-0000-000009200000}"/>
    <cellStyle name="Normal 17 2 2 7 3" xfId="8209" xr:uid="{00000000-0005-0000-0000-00000A200000}"/>
    <cellStyle name="Normal 17 2 2 8" xfId="8210" xr:uid="{00000000-0005-0000-0000-00000B200000}"/>
    <cellStyle name="Normal 17 2 2 9" xfId="8211" xr:uid="{00000000-0005-0000-0000-00000C200000}"/>
    <cellStyle name="Normal 17 2 3" xfId="8212" xr:uid="{00000000-0005-0000-0000-00000D200000}"/>
    <cellStyle name="Normal 17 2 3 2" xfId="8213" xr:uid="{00000000-0005-0000-0000-00000E200000}"/>
    <cellStyle name="Normal 17 2 3 3" xfId="8214" xr:uid="{00000000-0005-0000-0000-00000F200000}"/>
    <cellStyle name="Normal 17 2 4" xfId="8215" xr:uid="{00000000-0005-0000-0000-000010200000}"/>
    <cellStyle name="Normal 17 2 4 2" xfId="8216" xr:uid="{00000000-0005-0000-0000-000011200000}"/>
    <cellStyle name="Normal 17 2 4 3" xfId="8217" xr:uid="{00000000-0005-0000-0000-000012200000}"/>
    <cellStyle name="Normal 17 2 5" xfId="8218" xr:uid="{00000000-0005-0000-0000-000013200000}"/>
    <cellStyle name="Normal 17 2 5 2" xfId="8219" xr:uid="{00000000-0005-0000-0000-000014200000}"/>
    <cellStyle name="Normal 17 2 5 3" xfId="8220" xr:uid="{00000000-0005-0000-0000-000015200000}"/>
    <cellStyle name="Normal 17 2 6" xfId="8221" xr:uid="{00000000-0005-0000-0000-000016200000}"/>
    <cellStyle name="Normal 17 2 6 2" xfId="8222" xr:uid="{00000000-0005-0000-0000-000017200000}"/>
    <cellStyle name="Normal 17 2 6 3" xfId="8223" xr:uid="{00000000-0005-0000-0000-000018200000}"/>
    <cellStyle name="Normal 17 2 7" xfId="8224" xr:uid="{00000000-0005-0000-0000-000019200000}"/>
    <cellStyle name="Normal 17 2 7 2" xfId="8225" xr:uid="{00000000-0005-0000-0000-00001A200000}"/>
    <cellStyle name="Normal 17 2 7 3" xfId="8226" xr:uid="{00000000-0005-0000-0000-00001B200000}"/>
    <cellStyle name="Normal 17 2 8" xfId="8227" xr:uid="{00000000-0005-0000-0000-00001C200000}"/>
    <cellStyle name="Normal 17 2 8 2" xfId="8228" xr:uid="{00000000-0005-0000-0000-00001D200000}"/>
    <cellStyle name="Normal 17 2 8 3" xfId="8229" xr:uid="{00000000-0005-0000-0000-00001E200000}"/>
    <cellStyle name="Normal 17 2 9" xfId="8230" xr:uid="{00000000-0005-0000-0000-00001F200000}"/>
    <cellStyle name="Normal 17 3" xfId="8231" xr:uid="{00000000-0005-0000-0000-000020200000}"/>
    <cellStyle name="Normal 17 3 10" xfId="8232" xr:uid="{00000000-0005-0000-0000-000021200000}"/>
    <cellStyle name="Normal 17 3 2" xfId="8233" xr:uid="{00000000-0005-0000-0000-000022200000}"/>
    <cellStyle name="Normal 17 3 2 2" xfId="8234" xr:uid="{00000000-0005-0000-0000-000023200000}"/>
    <cellStyle name="Normal 17 3 2 2 2" xfId="8235" xr:uid="{00000000-0005-0000-0000-000024200000}"/>
    <cellStyle name="Normal 17 3 2 2 3" xfId="8236" xr:uid="{00000000-0005-0000-0000-000025200000}"/>
    <cellStyle name="Normal 17 3 2 3" xfId="8237" xr:uid="{00000000-0005-0000-0000-000026200000}"/>
    <cellStyle name="Normal 17 3 2 3 2" xfId="8238" xr:uid="{00000000-0005-0000-0000-000027200000}"/>
    <cellStyle name="Normal 17 3 2 3 3" xfId="8239" xr:uid="{00000000-0005-0000-0000-000028200000}"/>
    <cellStyle name="Normal 17 3 2 4" xfId="8240" xr:uid="{00000000-0005-0000-0000-000029200000}"/>
    <cellStyle name="Normal 17 3 2 4 2" xfId="8241" xr:uid="{00000000-0005-0000-0000-00002A200000}"/>
    <cellStyle name="Normal 17 3 2 4 3" xfId="8242" xr:uid="{00000000-0005-0000-0000-00002B200000}"/>
    <cellStyle name="Normal 17 3 2 5" xfId="8243" xr:uid="{00000000-0005-0000-0000-00002C200000}"/>
    <cellStyle name="Normal 17 3 2 5 2" xfId="8244" xr:uid="{00000000-0005-0000-0000-00002D200000}"/>
    <cellStyle name="Normal 17 3 2 5 3" xfId="8245" xr:uid="{00000000-0005-0000-0000-00002E200000}"/>
    <cellStyle name="Normal 17 3 2 6" xfId="8246" xr:uid="{00000000-0005-0000-0000-00002F200000}"/>
    <cellStyle name="Normal 17 3 2 6 2" xfId="8247" xr:uid="{00000000-0005-0000-0000-000030200000}"/>
    <cellStyle name="Normal 17 3 2 6 3" xfId="8248" xr:uid="{00000000-0005-0000-0000-000031200000}"/>
    <cellStyle name="Normal 17 3 2 7" xfId="8249" xr:uid="{00000000-0005-0000-0000-000032200000}"/>
    <cellStyle name="Normal 17 3 2 7 2" xfId="8250" xr:uid="{00000000-0005-0000-0000-000033200000}"/>
    <cellStyle name="Normal 17 3 2 7 3" xfId="8251" xr:uid="{00000000-0005-0000-0000-000034200000}"/>
    <cellStyle name="Normal 17 3 2 8" xfId="8252" xr:uid="{00000000-0005-0000-0000-000035200000}"/>
    <cellStyle name="Normal 17 3 2 9" xfId="8253" xr:uid="{00000000-0005-0000-0000-000036200000}"/>
    <cellStyle name="Normal 17 3 3" xfId="8254" xr:uid="{00000000-0005-0000-0000-000037200000}"/>
    <cellStyle name="Normal 17 3 3 2" xfId="8255" xr:uid="{00000000-0005-0000-0000-000038200000}"/>
    <cellStyle name="Normal 17 3 3 3" xfId="8256" xr:uid="{00000000-0005-0000-0000-000039200000}"/>
    <cellStyle name="Normal 17 3 4" xfId="8257" xr:uid="{00000000-0005-0000-0000-00003A200000}"/>
    <cellStyle name="Normal 17 3 4 2" xfId="8258" xr:uid="{00000000-0005-0000-0000-00003B200000}"/>
    <cellStyle name="Normal 17 3 4 3" xfId="8259" xr:uid="{00000000-0005-0000-0000-00003C200000}"/>
    <cellStyle name="Normal 17 3 5" xfId="8260" xr:uid="{00000000-0005-0000-0000-00003D200000}"/>
    <cellStyle name="Normal 17 3 5 2" xfId="8261" xr:uid="{00000000-0005-0000-0000-00003E200000}"/>
    <cellStyle name="Normal 17 3 5 3" xfId="8262" xr:uid="{00000000-0005-0000-0000-00003F200000}"/>
    <cellStyle name="Normal 17 3 6" xfId="8263" xr:uid="{00000000-0005-0000-0000-000040200000}"/>
    <cellStyle name="Normal 17 3 6 2" xfId="8264" xr:uid="{00000000-0005-0000-0000-000041200000}"/>
    <cellStyle name="Normal 17 3 6 3" xfId="8265" xr:uid="{00000000-0005-0000-0000-000042200000}"/>
    <cellStyle name="Normal 17 3 7" xfId="8266" xr:uid="{00000000-0005-0000-0000-000043200000}"/>
    <cellStyle name="Normal 17 3 7 2" xfId="8267" xr:uid="{00000000-0005-0000-0000-000044200000}"/>
    <cellStyle name="Normal 17 3 7 3" xfId="8268" xr:uid="{00000000-0005-0000-0000-000045200000}"/>
    <cellStyle name="Normal 17 3 8" xfId="8269" xr:uid="{00000000-0005-0000-0000-000046200000}"/>
    <cellStyle name="Normal 17 3 8 2" xfId="8270" xr:uid="{00000000-0005-0000-0000-000047200000}"/>
    <cellStyle name="Normal 17 3 8 3" xfId="8271" xr:uid="{00000000-0005-0000-0000-000048200000}"/>
    <cellStyle name="Normal 17 3 9" xfId="8272" xr:uid="{00000000-0005-0000-0000-000049200000}"/>
    <cellStyle name="Normal 17 4" xfId="8273" xr:uid="{00000000-0005-0000-0000-00004A200000}"/>
    <cellStyle name="Normal 17 4 2" xfId="8274" xr:uid="{00000000-0005-0000-0000-00004B200000}"/>
    <cellStyle name="Normal 17 4 2 2" xfId="8275" xr:uid="{00000000-0005-0000-0000-00004C200000}"/>
    <cellStyle name="Normal 17 4 2 3" xfId="8276" xr:uid="{00000000-0005-0000-0000-00004D200000}"/>
    <cellStyle name="Normal 17 4 3" xfId="8277" xr:uid="{00000000-0005-0000-0000-00004E200000}"/>
    <cellStyle name="Normal 17 4 3 2" xfId="8278" xr:uid="{00000000-0005-0000-0000-00004F200000}"/>
    <cellStyle name="Normal 17 4 3 3" xfId="8279" xr:uid="{00000000-0005-0000-0000-000050200000}"/>
    <cellStyle name="Normal 17 4 4" xfId="8280" xr:uid="{00000000-0005-0000-0000-000051200000}"/>
    <cellStyle name="Normal 17 4 4 2" xfId="8281" xr:uid="{00000000-0005-0000-0000-000052200000}"/>
    <cellStyle name="Normal 17 4 4 3" xfId="8282" xr:uid="{00000000-0005-0000-0000-000053200000}"/>
    <cellStyle name="Normal 17 4 5" xfId="8283" xr:uid="{00000000-0005-0000-0000-000054200000}"/>
    <cellStyle name="Normal 17 4 5 2" xfId="8284" xr:uid="{00000000-0005-0000-0000-000055200000}"/>
    <cellStyle name="Normal 17 4 5 3" xfId="8285" xr:uid="{00000000-0005-0000-0000-000056200000}"/>
    <cellStyle name="Normal 17 4 6" xfId="8286" xr:uid="{00000000-0005-0000-0000-000057200000}"/>
    <cellStyle name="Normal 17 4 6 2" xfId="8287" xr:uid="{00000000-0005-0000-0000-000058200000}"/>
    <cellStyle name="Normal 17 4 6 3" xfId="8288" xr:uid="{00000000-0005-0000-0000-000059200000}"/>
    <cellStyle name="Normal 17 4 7" xfId="8289" xr:uid="{00000000-0005-0000-0000-00005A200000}"/>
    <cellStyle name="Normal 17 4 7 2" xfId="8290" xr:uid="{00000000-0005-0000-0000-00005B200000}"/>
    <cellStyle name="Normal 17 4 7 3" xfId="8291" xr:uid="{00000000-0005-0000-0000-00005C200000}"/>
    <cellStyle name="Normal 17 4 8" xfId="8292" xr:uid="{00000000-0005-0000-0000-00005D200000}"/>
    <cellStyle name="Normal 17 4 9" xfId="8293" xr:uid="{00000000-0005-0000-0000-00005E200000}"/>
    <cellStyle name="Normal 17 5" xfId="8294" xr:uid="{00000000-0005-0000-0000-00005F200000}"/>
    <cellStyle name="Normal 17 5 2" xfId="8295" xr:uid="{00000000-0005-0000-0000-000060200000}"/>
    <cellStyle name="Normal 17 5 3" xfId="8296" xr:uid="{00000000-0005-0000-0000-000061200000}"/>
    <cellStyle name="Normal 17 6" xfId="8297" xr:uid="{00000000-0005-0000-0000-000062200000}"/>
    <cellStyle name="Normal 17 6 2" xfId="8298" xr:uid="{00000000-0005-0000-0000-000063200000}"/>
    <cellStyle name="Normal 17 6 3" xfId="8299" xr:uid="{00000000-0005-0000-0000-000064200000}"/>
    <cellStyle name="Normal 17 7" xfId="8300" xr:uid="{00000000-0005-0000-0000-000065200000}"/>
    <cellStyle name="Normal 17 7 2" xfId="8301" xr:uid="{00000000-0005-0000-0000-000066200000}"/>
    <cellStyle name="Normal 17 7 3" xfId="8302" xr:uid="{00000000-0005-0000-0000-000067200000}"/>
    <cellStyle name="Normal 17 8" xfId="8303" xr:uid="{00000000-0005-0000-0000-000068200000}"/>
    <cellStyle name="Normal 17 8 2" xfId="8304" xr:uid="{00000000-0005-0000-0000-000069200000}"/>
    <cellStyle name="Normal 17 8 3" xfId="8305" xr:uid="{00000000-0005-0000-0000-00006A200000}"/>
    <cellStyle name="Normal 17 9" xfId="8306" xr:uid="{00000000-0005-0000-0000-00006B200000}"/>
    <cellStyle name="Normal 17 9 2" xfId="8307" xr:uid="{00000000-0005-0000-0000-00006C200000}"/>
    <cellStyle name="Normal 17 9 3" xfId="8308" xr:uid="{00000000-0005-0000-0000-00006D200000}"/>
    <cellStyle name="Normal 18" xfId="8309" xr:uid="{00000000-0005-0000-0000-00006E200000}"/>
    <cellStyle name="Normal 19" xfId="8310" xr:uid="{00000000-0005-0000-0000-00006F200000}"/>
    <cellStyle name="Normal 2" xfId="8311" xr:uid="{00000000-0005-0000-0000-000070200000}"/>
    <cellStyle name="Normal 2 10" xfId="7" xr:uid="{00000000-0005-0000-0000-000071200000}"/>
    <cellStyle name="Normal 2 10 2" xfId="8312" xr:uid="{00000000-0005-0000-0000-000072200000}"/>
    <cellStyle name="Normal 2 10 3" xfId="8313" xr:uid="{00000000-0005-0000-0000-000073200000}"/>
    <cellStyle name="Normal 2 11" xfId="8314" xr:uid="{00000000-0005-0000-0000-000074200000}"/>
    <cellStyle name="Normal 2 11 2" xfId="8315" xr:uid="{00000000-0005-0000-0000-000075200000}"/>
    <cellStyle name="Normal 2 11 3" xfId="8316" xr:uid="{00000000-0005-0000-0000-000076200000}"/>
    <cellStyle name="Normal 2 12" xfId="8317" xr:uid="{00000000-0005-0000-0000-000077200000}"/>
    <cellStyle name="Normal 2 12 2" xfId="8318" xr:uid="{00000000-0005-0000-0000-000078200000}"/>
    <cellStyle name="Normal 2 12 3" xfId="8319" xr:uid="{00000000-0005-0000-0000-000079200000}"/>
    <cellStyle name="Normal 2 13" xfId="8320" xr:uid="{00000000-0005-0000-0000-00007A200000}"/>
    <cellStyle name="Normal 2 13 2" xfId="8321" xr:uid="{00000000-0005-0000-0000-00007B200000}"/>
    <cellStyle name="Normal 2 13 3" xfId="8322" xr:uid="{00000000-0005-0000-0000-00007C200000}"/>
    <cellStyle name="Normal 2 14" xfId="8323" xr:uid="{00000000-0005-0000-0000-00007D200000}"/>
    <cellStyle name="Normal 2 14 2" xfId="8324" xr:uid="{00000000-0005-0000-0000-00007E200000}"/>
    <cellStyle name="Normal 2 14 3" xfId="8325" xr:uid="{00000000-0005-0000-0000-00007F200000}"/>
    <cellStyle name="Normal 2 15" xfId="8326" xr:uid="{00000000-0005-0000-0000-000080200000}"/>
    <cellStyle name="Normal 2 15 2" xfId="8327" xr:uid="{00000000-0005-0000-0000-000081200000}"/>
    <cellStyle name="Normal 2 15 3" xfId="8328" xr:uid="{00000000-0005-0000-0000-000082200000}"/>
    <cellStyle name="Normal 2 16" xfId="8329" xr:uid="{00000000-0005-0000-0000-000083200000}"/>
    <cellStyle name="Normal 2 17" xfId="8330" xr:uid="{00000000-0005-0000-0000-000084200000}"/>
    <cellStyle name="Normal 2 18" xfId="8331" xr:uid="{00000000-0005-0000-0000-000085200000}"/>
    <cellStyle name="Normal 2 2" xfId="8332" xr:uid="{00000000-0005-0000-0000-000086200000}"/>
    <cellStyle name="Normal 2 2 10" xfId="8333" xr:uid="{00000000-0005-0000-0000-000087200000}"/>
    <cellStyle name="Normal 2 2 10 2" xfId="8334" xr:uid="{00000000-0005-0000-0000-000088200000}"/>
    <cellStyle name="Normal 2 2 10 3" xfId="8335" xr:uid="{00000000-0005-0000-0000-000089200000}"/>
    <cellStyle name="Normal 2 2 11" xfId="8336" xr:uid="{00000000-0005-0000-0000-00008A200000}"/>
    <cellStyle name="Normal 2 2 11 2" xfId="8337" xr:uid="{00000000-0005-0000-0000-00008B200000}"/>
    <cellStyle name="Normal 2 2 11 3" xfId="8338" xr:uid="{00000000-0005-0000-0000-00008C200000}"/>
    <cellStyle name="Normal 2 2 12" xfId="8339" xr:uid="{00000000-0005-0000-0000-00008D200000}"/>
    <cellStyle name="Normal 2 2 12 2" xfId="8340" xr:uid="{00000000-0005-0000-0000-00008E200000}"/>
    <cellStyle name="Normal 2 2 12 3" xfId="8341" xr:uid="{00000000-0005-0000-0000-00008F200000}"/>
    <cellStyle name="Normal 2 2 13" xfId="8342" xr:uid="{00000000-0005-0000-0000-000090200000}"/>
    <cellStyle name="Normal 2 2 13 2" xfId="8343" xr:uid="{00000000-0005-0000-0000-000091200000}"/>
    <cellStyle name="Normal 2 2 13 3" xfId="8344" xr:uid="{00000000-0005-0000-0000-000092200000}"/>
    <cellStyle name="Normal 2 2 14" xfId="8345" xr:uid="{00000000-0005-0000-0000-000093200000}"/>
    <cellStyle name="Normal 2 2 15" xfId="8346" xr:uid="{00000000-0005-0000-0000-000094200000}"/>
    <cellStyle name="Normal 2 2 16" xfId="8347" xr:uid="{00000000-0005-0000-0000-000095200000}"/>
    <cellStyle name="Normal 2 2 17" xfId="8348" xr:uid="{00000000-0005-0000-0000-000096200000}"/>
    <cellStyle name="Normal 2 2 2" xfId="8349" xr:uid="{00000000-0005-0000-0000-000097200000}"/>
    <cellStyle name="Normal 2 2 2 2" xfId="8350" xr:uid="{00000000-0005-0000-0000-000098200000}"/>
    <cellStyle name="Normal 2 2 2 2 2" xfId="8351" xr:uid="{00000000-0005-0000-0000-000099200000}"/>
    <cellStyle name="Normal 2 2 2 2 3" xfId="8352" xr:uid="{00000000-0005-0000-0000-00009A200000}"/>
    <cellStyle name="Normal 2 2 2 2 4" xfId="8353" xr:uid="{00000000-0005-0000-0000-00009B200000}"/>
    <cellStyle name="Normal 2 2 2 2 5" xfId="8354" xr:uid="{00000000-0005-0000-0000-00009C200000}"/>
    <cellStyle name="Normal 2 2 2 3" xfId="8355" xr:uid="{00000000-0005-0000-0000-00009D200000}"/>
    <cellStyle name="Normal 2 2 2 3 2" xfId="8356" xr:uid="{00000000-0005-0000-0000-00009E200000}"/>
    <cellStyle name="Normal 2 2 2 3 3" xfId="8357" xr:uid="{00000000-0005-0000-0000-00009F200000}"/>
    <cellStyle name="Normal 2 2 2 4" xfId="8358" xr:uid="{00000000-0005-0000-0000-0000A0200000}"/>
    <cellStyle name="Normal 2 2 2 5" xfId="8359" xr:uid="{00000000-0005-0000-0000-0000A1200000}"/>
    <cellStyle name="Normal 2 2 2 6" xfId="8360" xr:uid="{00000000-0005-0000-0000-0000A2200000}"/>
    <cellStyle name="Normal 2 2 2 7" xfId="8361" xr:uid="{00000000-0005-0000-0000-0000A3200000}"/>
    <cellStyle name="Normal 2 2 2 8" xfId="8362" xr:uid="{00000000-0005-0000-0000-0000A4200000}"/>
    <cellStyle name="Normal 2 2 3" xfId="8363" xr:uid="{00000000-0005-0000-0000-0000A5200000}"/>
    <cellStyle name="Normal 2 2 3 2" xfId="8364" xr:uid="{00000000-0005-0000-0000-0000A6200000}"/>
    <cellStyle name="Normal 2 2 3 3" xfId="8365" xr:uid="{00000000-0005-0000-0000-0000A7200000}"/>
    <cellStyle name="Normal 2 2 4" xfId="8366" xr:uid="{00000000-0005-0000-0000-0000A8200000}"/>
    <cellStyle name="Normal 2 2 4 2" xfId="8367" xr:uid="{00000000-0005-0000-0000-0000A9200000}"/>
    <cellStyle name="Normal 2 2 4 3" xfId="8368" xr:uid="{00000000-0005-0000-0000-0000AA200000}"/>
    <cellStyle name="Normal 2 2 5" xfId="8369" xr:uid="{00000000-0005-0000-0000-0000AB200000}"/>
    <cellStyle name="Normal 2 2 5 2" xfId="8370" xr:uid="{00000000-0005-0000-0000-0000AC200000}"/>
    <cellStyle name="Normal 2 2 5 3" xfId="8371" xr:uid="{00000000-0005-0000-0000-0000AD200000}"/>
    <cellStyle name="Normal 2 2 6" xfId="8372" xr:uid="{00000000-0005-0000-0000-0000AE200000}"/>
    <cellStyle name="Normal 2 2 6 2" xfId="8373" xr:uid="{00000000-0005-0000-0000-0000AF200000}"/>
    <cellStyle name="Normal 2 2 6 3" xfId="8374" xr:uid="{00000000-0005-0000-0000-0000B0200000}"/>
    <cellStyle name="Normal 2 2 7" xfId="8375" xr:uid="{00000000-0005-0000-0000-0000B1200000}"/>
    <cellStyle name="Normal 2 2 7 2" xfId="8376" xr:uid="{00000000-0005-0000-0000-0000B2200000}"/>
    <cellStyle name="Normal 2 2 7 3" xfId="8377" xr:uid="{00000000-0005-0000-0000-0000B3200000}"/>
    <cellStyle name="Normal 2 2 8" xfId="8378" xr:uid="{00000000-0005-0000-0000-0000B4200000}"/>
    <cellStyle name="Normal 2 2 8 2" xfId="8379" xr:uid="{00000000-0005-0000-0000-0000B5200000}"/>
    <cellStyle name="Normal 2 2 8 3" xfId="8380" xr:uid="{00000000-0005-0000-0000-0000B6200000}"/>
    <cellStyle name="Normal 2 2 9" xfId="8381" xr:uid="{00000000-0005-0000-0000-0000B7200000}"/>
    <cellStyle name="Normal 2 2 9 2" xfId="8382" xr:uid="{00000000-0005-0000-0000-0000B8200000}"/>
    <cellStyle name="Normal 2 2 9 3" xfId="8383" xr:uid="{00000000-0005-0000-0000-0000B9200000}"/>
    <cellStyle name="Normal 2 3" xfId="8384" xr:uid="{00000000-0005-0000-0000-0000BA200000}"/>
    <cellStyle name="Normal 2 3 2" xfId="8385" xr:uid="{00000000-0005-0000-0000-0000BB200000}"/>
    <cellStyle name="Normal 2 3 3" xfId="8386" xr:uid="{00000000-0005-0000-0000-0000BC200000}"/>
    <cellStyle name="Normal 2 4" xfId="8387" xr:uid="{00000000-0005-0000-0000-0000BD200000}"/>
    <cellStyle name="Normal 2 4 2" xfId="8388" xr:uid="{00000000-0005-0000-0000-0000BE200000}"/>
    <cellStyle name="Normal 2 4 3" xfId="8389" xr:uid="{00000000-0005-0000-0000-0000BF200000}"/>
    <cellStyle name="Normal 2 5" xfId="8390" xr:uid="{00000000-0005-0000-0000-0000C0200000}"/>
    <cellStyle name="Normal 2 5 2" xfId="8391" xr:uid="{00000000-0005-0000-0000-0000C1200000}"/>
    <cellStyle name="Normal 2 5 3" xfId="8392" xr:uid="{00000000-0005-0000-0000-0000C2200000}"/>
    <cellStyle name="Normal 2 6" xfId="8393" xr:uid="{00000000-0005-0000-0000-0000C3200000}"/>
    <cellStyle name="Normal 2 6 2" xfId="8394" xr:uid="{00000000-0005-0000-0000-0000C4200000}"/>
    <cellStyle name="Normal 2 6 3" xfId="8395" xr:uid="{00000000-0005-0000-0000-0000C5200000}"/>
    <cellStyle name="Normal 2 7" xfId="8396" xr:uid="{00000000-0005-0000-0000-0000C6200000}"/>
    <cellStyle name="Normal 2 7 2" xfId="8397" xr:uid="{00000000-0005-0000-0000-0000C7200000}"/>
    <cellStyle name="Normal 2 7 3" xfId="8398" xr:uid="{00000000-0005-0000-0000-0000C8200000}"/>
    <cellStyle name="Normal 2 8" xfId="8399" xr:uid="{00000000-0005-0000-0000-0000C9200000}"/>
    <cellStyle name="Normal 2 8 2" xfId="8400" xr:uid="{00000000-0005-0000-0000-0000CA200000}"/>
    <cellStyle name="Normal 2 8 3" xfId="8401" xr:uid="{00000000-0005-0000-0000-0000CB200000}"/>
    <cellStyle name="Normal 2 9" xfId="8402" xr:uid="{00000000-0005-0000-0000-0000CC200000}"/>
    <cellStyle name="Normal 2 9 2" xfId="8403" xr:uid="{00000000-0005-0000-0000-0000CD200000}"/>
    <cellStyle name="Normal 2 9 3" xfId="8404" xr:uid="{00000000-0005-0000-0000-0000CE200000}"/>
    <cellStyle name="Normal 20" xfId="8405" xr:uid="{00000000-0005-0000-0000-0000CF200000}"/>
    <cellStyle name="Normal 21" xfId="8406" xr:uid="{00000000-0005-0000-0000-0000D0200000}"/>
    <cellStyle name="Normal 22" xfId="8407" xr:uid="{00000000-0005-0000-0000-0000D1200000}"/>
    <cellStyle name="Normal 23" xfId="8408" xr:uid="{00000000-0005-0000-0000-0000D2200000}"/>
    <cellStyle name="Normal 23 10" xfId="8409" xr:uid="{00000000-0005-0000-0000-0000D3200000}"/>
    <cellStyle name="Normal 23 10 2" xfId="8410" xr:uid="{00000000-0005-0000-0000-0000D4200000}"/>
    <cellStyle name="Normal 23 10 3" xfId="8411" xr:uid="{00000000-0005-0000-0000-0000D5200000}"/>
    <cellStyle name="Normal 23 11" xfId="8412" xr:uid="{00000000-0005-0000-0000-0000D6200000}"/>
    <cellStyle name="Normal 23 12" xfId="8413" xr:uid="{00000000-0005-0000-0000-0000D7200000}"/>
    <cellStyle name="Normal 23 2" xfId="8414" xr:uid="{00000000-0005-0000-0000-0000D8200000}"/>
    <cellStyle name="Normal 23 2 10" xfId="8415" xr:uid="{00000000-0005-0000-0000-0000D9200000}"/>
    <cellStyle name="Normal 23 2 2" xfId="8416" xr:uid="{00000000-0005-0000-0000-0000DA200000}"/>
    <cellStyle name="Normal 23 2 2 2" xfId="8417" xr:uid="{00000000-0005-0000-0000-0000DB200000}"/>
    <cellStyle name="Normal 23 2 2 2 2" xfId="8418" xr:uid="{00000000-0005-0000-0000-0000DC200000}"/>
    <cellStyle name="Normal 23 2 2 2 3" xfId="8419" xr:uid="{00000000-0005-0000-0000-0000DD200000}"/>
    <cellStyle name="Normal 23 2 2 3" xfId="8420" xr:uid="{00000000-0005-0000-0000-0000DE200000}"/>
    <cellStyle name="Normal 23 2 2 3 2" xfId="8421" xr:uid="{00000000-0005-0000-0000-0000DF200000}"/>
    <cellStyle name="Normal 23 2 2 3 3" xfId="8422" xr:uid="{00000000-0005-0000-0000-0000E0200000}"/>
    <cellStyle name="Normal 23 2 2 4" xfId="8423" xr:uid="{00000000-0005-0000-0000-0000E1200000}"/>
    <cellStyle name="Normal 23 2 2 4 2" xfId="8424" xr:uid="{00000000-0005-0000-0000-0000E2200000}"/>
    <cellStyle name="Normal 23 2 2 4 3" xfId="8425" xr:uid="{00000000-0005-0000-0000-0000E3200000}"/>
    <cellStyle name="Normal 23 2 2 5" xfId="8426" xr:uid="{00000000-0005-0000-0000-0000E4200000}"/>
    <cellStyle name="Normal 23 2 2 5 2" xfId="8427" xr:uid="{00000000-0005-0000-0000-0000E5200000}"/>
    <cellStyle name="Normal 23 2 2 5 3" xfId="8428" xr:uid="{00000000-0005-0000-0000-0000E6200000}"/>
    <cellStyle name="Normal 23 2 2 6" xfId="8429" xr:uid="{00000000-0005-0000-0000-0000E7200000}"/>
    <cellStyle name="Normal 23 2 2 6 2" xfId="8430" xr:uid="{00000000-0005-0000-0000-0000E8200000}"/>
    <cellStyle name="Normal 23 2 2 6 3" xfId="8431" xr:uid="{00000000-0005-0000-0000-0000E9200000}"/>
    <cellStyle name="Normal 23 2 2 7" xfId="8432" xr:uid="{00000000-0005-0000-0000-0000EA200000}"/>
    <cellStyle name="Normal 23 2 2 7 2" xfId="8433" xr:uid="{00000000-0005-0000-0000-0000EB200000}"/>
    <cellStyle name="Normal 23 2 2 7 3" xfId="8434" xr:uid="{00000000-0005-0000-0000-0000EC200000}"/>
    <cellStyle name="Normal 23 2 2 8" xfId="8435" xr:uid="{00000000-0005-0000-0000-0000ED200000}"/>
    <cellStyle name="Normal 23 2 2 9" xfId="8436" xr:uid="{00000000-0005-0000-0000-0000EE200000}"/>
    <cellStyle name="Normal 23 2 3" xfId="8437" xr:uid="{00000000-0005-0000-0000-0000EF200000}"/>
    <cellStyle name="Normal 23 2 3 2" xfId="8438" xr:uid="{00000000-0005-0000-0000-0000F0200000}"/>
    <cellStyle name="Normal 23 2 3 3" xfId="8439" xr:uid="{00000000-0005-0000-0000-0000F1200000}"/>
    <cellStyle name="Normal 23 2 4" xfId="8440" xr:uid="{00000000-0005-0000-0000-0000F2200000}"/>
    <cellStyle name="Normal 23 2 4 2" xfId="8441" xr:uid="{00000000-0005-0000-0000-0000F3200000}"/>
    <cellStyle name="Normal 23 2 4 3" xfId="8442" xr:uid="{00000000-0005-0000-0000-0000F4200000}"/>
    <cellStyle name="Normal 23 2 5" xfId="8443" xr:uid="{00000000-0005-0000-0000-0000F5200000}"/>
    <cellStyle name="Normal 23 2 5 2" xfId="8444" xr:uid="{00000000-0005-0000-0000-0000F6200000}"/>
    <cellStyle name="Normal 23 2 5 3" xfId="8445" xr:uid="{00000000-0005-0000-0000-0000F7200000}"/>
    <cellStyle name="Normal 23 2 6" xfId="8446" xr:uid="{00000000-0005-0000-0000-0000F8200000}"/>
    <cellStyle name="Normal 23 2 6 2" xfId="8447" xr:uid="{00000000-0005-0000-0000-0000F9200000}"/>
    <cellStyle name="Normal 23 2 6 3" xfId="8448" xr:uid="{00000000-0005-0000-0000-0000FA200000}"/>
    <cellStyle name="Normal 23 2 7" xfId="8449" xr:uid="{00000000-0005-0000-0000-0000FB200000}"/>
    <cellStyle name="Normal 23 2 7 2" xfId="8450" xr:uid="{00000000-0005-0000-0000-0000FC200000}"/>
    <cellStyle name="Normal 23 2 7 3" xfId="8451" xr:uid="{00000000-0005-0000-0000-0000FD200000}"/>
    <cellStyle name="Normal 23 2 8" xfId="8452" xr:uid="{00000000-0005-0000-0000-0000FE200000}"/>
    <cellStyle name="Normal 23 2 8 2" xfId="8453" xr:uid="{00000000-0005-0000-0000-0000FF200000}"/>
    <cellStyle name="Normal 23 2 8 3" xfId="8454" xr:uid="{00000000-0005-0000-0000-000000210000}"/>
    <cellStyle name="Normal 23 2 9" xfId="8455" xr:uid="{00000000-0005-0000-0000-000001210000}"/>
    <cellStyle name="Normal 23 3" xfId="8456" xr:uid="{00000000-0005-0000-0000-000002210000}"/>
    <cellStyle name="Normal 23 3 10" xfId="8457" xr:uid="{00000000-0005-0000-0000-000003210000}"/>
    <cellStyle name="Normal 23 3 2" xfId="8458" xr:uid="{00000000-0005-0000-0000-000004210000}"/>
    <cellStyle name="Normal 23 3 2 2" xfId="8459" xr:uid="{00000000-0005-0000-0000-000005210000}"/>
    <cellStyle name="Normal 23 3 2 2 2" xfId="8460" xr:uid="{00000000-0005-0000-0000-000006210000}"/>
    <cellStyle name="Normal 23 3 2 2 3" xfId="8461" xr:uid="{00000000-0005-0000-0000-000007210000}"/>
    <cellStyle name="Normal 23 3 2 3" xfId="8462" xr:uid="{00000000-0005-0000-0000-000008210000}"/>
    <cellStyle name="Normal 23 3 2 3 2" xfId="8463" xr:uid="{00000000-0005-0000-0000-000009210000}"/>
    <cellStyle name="Normal 23 3 2 3 3" xfId="8464" xr:uid="{00000000-0005-0000-0000-00000A210000}"/>
    <cellStyle name="Normal 23 3 2 4" xfId="8465" xr:uid="{00000000-0005-0000-0000-00000B210000}"/>
    <cellStyle name="Normal 23 3 2 4 2" xfId="8466" xr:uid="{00000000-0005-0000-0000-00000C210000}"/>
    <cellStyle name="Normal 23 3 2 4 3" xfId="8467" xr:uid="{00000000-0005-0000-0000-00000D210000}"/>
    <cellStyle name="Normal 23 3 2 5" xfId="8468" xr:uid="{00000000-0005-0000-0000-00000E210000}"/>
    <cellStyle name="Normal 23 3 2 5 2" xfId="8469" xr:uid="{00000000-0005-0000-0000-00000F210000}"/>
    <cellStyle name="Normal 23 3 2 5 3" xfId="8470" xr:uid="{00000000-0005-0000-0000-000010210000}"/>
    <cellStyle name="Normal 23 3 2 6" xfId="8471" xr:uid="{00000000-0005-0000-0000-000011210000}"/>
    <cellStyle name="Normal 23 3 2 6 2" xfId="8472" xr:uid="{00000000-0005-0000-0000-000012210000}"/>
    <cellStyle name="Normal 23 3 2 6 3" xfId="8473" xr:uid="{00000000-0005-0000-0000-000013210000}"/>
    <cellStyle name="Normal 23 3 2 7" xfId="8474" xr:uid="{00000000-0005-0000-0000-000014210000}"/>
    <cellStyle name="Normal 23 3 2 7 2" xfId="8475" xr:uid="{00000000-0005-0000-0000-000015210000}"/>
    <cellStyle name="Normal 23 3 2 7 3" xfId="8476" xr:uid="{00000000-0005-0000-0000-000016210000}"/>
    <cellStyle name="Normal 23 3 2 8" xfId="8477" xr:uid="{00000000-0005-0000-0000-000017210000}"/>
    <cellStyle name="Normal 23 3 2 9" xfId="8478" xr:uid="{00000000-0005-0000-0000-000018210000}"/>
    <cellStyle name="Normal 23 3 3" xfId="8479" xr:uid="{00000000-0005-0000-0000-000019210000}"/>
    <cellStyle name="Normal 23 3 3 2" xfId="8480" xr:uid="{00000000-0005-0000-0000-00001A210000}"/>
    <cellStyle name="Normal 23 3 3 3" xfId="8481" xr:uid="{00000000-0005-0000-0000-00001B210000}"/>
    <cellStyle name="Normal 23 3 4" xfId="8482" xr:uid="{00000000-0005-0000-0000-00001C210000}"/>
    <cellStyle name="Normal 23 3 4 2" xfId="8483" xr:uid="{00000000-0005-0000-0000-00001D210000}"/>
    <cellStyle name="Normal 23 3 4 3" xfId="8484" xr:uid="{00000000-0005-0000-0000-00001E210000}"/>
    <cellStyle name="Normal 23 3 5" xfId="8485" xr:uid="{00000000-0005-0000-0000-00001F210000}"/>
    <cellStyle name="Normal 23 3 5 2" xfId="8486" xr:uid="{00000000-0005-0000-0000-000020210000}"/>
    <cellStyle name="Normal 23 3 5 3" xfId="8487" xr:uid="{00000000-0005-0000-0000-000021210000}"/>
    <cellStyle name="Normal 23 3 6" xfId="8488" xr:uid="{00000000-0005-0000-0000-000022210000}"/>
    <cellStyle name="Normal 23 3 6 2" xfId="8489" xr:uid="{00000000-0005-0000-0000-000023210000}"/>
    <cellStyle name="Normal 23 3 6 3" xfId="8490" xr:uid="{00000000-0005-0000-0000-000024210000}"/>
    <cellStyle name="Normal 23 3 7" xfId="8491" xr:uid="{00000000-0005-0000-0000-000025210000}"/>
    <cellStyle name="Normal 23 3 7 2" xfId="8492" xr:uid="{00000000-0005-0000-0000-000026210000}"/>
    <cellStyle name="Normal 23 3 7 3" xfId="8493" xr:uid="{00000000-0005-0000-0000-000027210000}"/>
    <cellStyle name="Normal 23 3 8" xfId="8494" xr:uid="{00000000-0005-0000-0000-000028210000}"/>
    <cellStyle name="Normal 23 3 8 2" xfId="8495" xr:uid="{00000000-0005-0000-0000-000029210000}"/>
    <cellStyle name="Normal 23 3 8 3" xfId="8496" xr:uid="{00000000-0005-0000-0000-00002A210000}"/>
    <cellStyle name="Normal 23 3 9" xfId="8497" xr:uid="{00000000-0005-0000-0000-00002B210000}"/>
    <cellStyle name="Normal 23 4" xfId="8498" xr:uid="{00000000-0005-0000-0000-00002C210000}"/>
    <cellStyle name="Normal 23 4 2" xfId="8499" xr:uid="{00000000-0005-0000-0000-00002D210000}"/>
    <cellStyle name="Normal 23 4 2 2" xfId="8500" xr:uid="{00000000-0005-0000-0000-00002E210000}"/>
    <cellStyle name="Normal 23 4 2 3" xfId="8501" xr:uid="{00000000-0005-0000-0000-00002F210000}"/>
    <cellStyle name="Normal 23 4 3" xfId="8502" xr:uid="{00000000-0005-0000-0000-000030210000}"/>
    <cellStyle name="Normal 23 4 3 2" xfId="8503" xr:uid="{00000000-0005-0000-0000-000031210000}"/>
    <cellStyle name="Normal 23 4 3 3" xfId="8504" xr:uid="{00000000-0005-0000-0000-000032210000}"/>
    <cellStyle name="Normal 23 4 4" xfId="8505" xr:uid="{00000000-0005-0000-0000-000033210000}"/>
    <cellStyle name="Normal 23 4 4 2" xfId="8506" xr:uid="{00000000-0005-0000-0000-000034210000}"/>
    <cellStyle name="Normal 23 4 4 3" xfId="8507" xr:uid="{00000000-0005-0000-0000-000035210000}"/>
    <cellStyle name="Normal 23 4 5" xfId="8508" xr:uid="{00000000-0005-0000-0000-000036210000}"/>
    <cellStyle name="Normal 23 4 5 2" xfId="8509" xr:uid="{00000000-0005-0000-0000-000037210000}"/>
    <cellStyle name="Normal 23 4 5 3" xfId="8510" xr:uid="{00000000-0005-0000-0000-000038210000}"/>
    <cellStyle name="Normal 23 4 6" xfId="8511" xr:uid="{00000000-0005-0000-0000-000039210000}"/>
    <cellStyle name="Normal 23 4 6 2" xfId="8512" xr:uid="{00000000-0005-0000-0000-00003A210000}"/>
    <cellStyle name="Normal 23 4 6 3" xfId="8513" xr:uid="{00000000-0005-0000-0000-00003B210000}"/>
    <cellStyle name="Normal 23 4 7" xfId="8514" xr:uid="{00000000-0005-0000-0000-00003C210000}"/>
    <cellStyle name="Normal 23 4 7 2" xfId="8515" xr:uid="{00000000-0005-0000-0000-00003D210000}"/>
    <cellStyle name="Normal 23 4 7 3" xfId="8516" xr:uid="{00000000-0005-0000-0000-00003E210000}"/>
    <cellStyle name="Normal 23 4 8" xfId="8517" xr:uid="{00000000-0005-0000-0000-00003F210000}"/>
    <cellStyle name="Normal 23 4 9" xfId="8518" xr:uid="{00000000-0005-0000-0000-000040210000}"/>
    <cellStyle name="Normal 23 5" xfId="8519" xr:uid="{00000000-0005-0000-0000-000041210000}"/>
    <cellStyle name="Normal 23 5 2" xfId="8520" xr:uid="{00000000-0005-0000-0000-000042210000}"/>
    <cellStyle name="Normal 23 5 3" xfId="8521" xr:uid="{00000000-0005-0000-0000-000043210000}"/>
    <cellStyle name="Normal 23 6" xfId="8522" xr:uid="{00000000-0005-0000-0000-000044210000}"/>
    <cellStyle name="Normal 23 6 2" xfId="8523" xr:uid="{00000000-0005-0000-0000-000045210000}"/>
    <cellStyle name="Normal 23 6 3" xfId="8524" xr:uid="{00000000-0005-0000-0000-000046210000}"/>
    <cellStyle name="Normal 23 7" xfId="8525" xr:uid="{00000000-0005-0000-0000-000047210000}"/>
    <cellStyle name="Normal 23 7 2" xfId="8526" xr:uid="{00000000-0005-0000-0000-000048210000}"/>
    <cellStyle name="Normal 23 7 3" xfId="8527" xr:uid="{00000000-0005-0000-0000-000049210000}"/>
    <cellStyle name="Normal 23 8" xfId="8528" xr:uid="{00000000-0005-0000-0000-00004A210000}"/>
    <cellStyle name="Normal 23 8 2" xfId="8529" xr:uid="{00000000-0005-0000-0000-00004B210000}"/>
    <cellStyle name="Normal 23 8 3" xfId="8530" xr:uid="{00000000-0005-0000-0000-00004C210000}"/>
    <cellStyle name="Normal 23 9" xfId="8531" xr:uid="{00000000-0005-0000-0000-00004D210000}"/>
    <cellStyle name="Normal 23 9 2" xfId="8532" xr:uid="{00000000-0005-0000-0000-00004E210000}"/>
    <cellStyle name="Normal 23 9 3" xfId="8533" xr:uid="{00000000-0005-0000-0000-00004F210000}"/>
    <cellStyle name="Normal 24" xfId="8534" xr:uid="{00000000-0005-0000-0000-000050210000}"/>
    <cellStyle name="Normal 24 10" xfId="8535" xr:uid="{00000000-0005-0000-0000-000051210000}"/>
    <cellStyle name="Normal 24 2" xfId="8536" xr:uid="{00000000-0005-0000-0000-000052210000}"/>
    <cellStyle name="Normal 24 2 2" xfId="8537" xr:uid="{00000000-0005-0000-0000-000053210000}"/>
    <cellStyle name="Normal 24 2 2 2" xfId="8538" xr:uid="{00000000-0005-0000-0000-000054210000}"/>
    <cellStyle name="Normal 24 2 2 3" xfId="8539" xr:uid="{00000000-0005-0000-0000-000055210000}"/>
    <cellStyle name="Normal 24 2 3" xfId="8540" xr:uid="{00000000-0005-0000-0000-000056210000}"/>
    <cellStyle name="Normal 24 2 3 2" xfId="8541" xr:uid="{00000000-0005-0000-0000-000057210000}"/>
    <cellStyle name="Normal 24 2 3 3" xfId="8542" xr:uid="{00000000-0005-0000-0000-000058210000}"/>
    <cellStyle name="Normal 24 2 4" xfId="8543" xr:uid="{00000000-0005-0000-0000-000059210000}"/>
    <cellStyle name="Normal 24 2 4 2" xfId="8544" xr:uid="{00000000-0005-0000-0000-00005A210000}"/>
    <cellStyle name="Normal 24 2 4 3" xfId="8545" xr:uid="{00000000-0005-0000-0000-00005B210000}"/>
    <cellStyle name="Normal 24 2 5" xfId="8546" xr:uid="{00000000-0005-0000-0000-00005C210000}"/>
    <cellStyle name="Normal 24 2 5 2" xfId="8547" xr:uid="{00000000-0005-0000-0000-00005D210000}"/>
    <cellStyle name="Normal 24 2 5 3" xfId="8548" xr:uid="{00000000-0005-0000-0000-00005E210000}"/>
    <cellStyle name="Normal 24 2 6" xfId="8549" xr:uid="{00000000-0005-0000-0000-00005F210000}"/>
    <cellStyle name="Normal 24 2 6 2" xfId="8550" xr:uid="{00000000-0005-0000-0000-000060210000}"/>
    <cellStyle name="Normal 24 2 6 3" xfId="8551" xr:uid="{00000000-0005-0000-0000-000061210000}"/>
    <cellStyle name="Normal 24 2 7" xfId="8552" xr:uid="{00000000-0005-0000-0000-000062210000}"/>
    <cellStyle name="Normal 24 2 7 2" xfId="8553" xr:uid="{00000000-0005-0000-0000-000063210000}"/>
    <cellStyle name="Normal 24 2 7 3" xfId="8554" xr:uid="{00000000-0005-0000-0000-000064210000}"/>
    <cellStyle name="Normal 24 2 8" xfId="8555" xr:uid="{00000000-0005-0000-0000-000065210000}"/>
    <cellStyle name="Normal 24 2 9" xfId="8556" xr:uid="{00000000-0005-0000-0000-000066210000}"/>
    <cellStyle name="Normal 24 3" xfId="8557" xr:uid="{00000000-0005-0000-0000-000067210000}"/>
    <cellStyle name="Normal 24 3 2" xfId="8558" xr:uid="{00000000-0005-0000-0000-000068210000}"/>
    <cellStyle name="Normal 24 3 3" xfId="8559" xr:uid="{00000000-0005-0000-0000-000069210000}"/>
    <cellStyle name="Normal 24 4" xfId="8560" xr:uid="{00000000-0005-0000-0000-00006A210000}"/>
    <cellStyle name="Normal 24 4 2" xfId="8561" xr:uid="{00000000-0005-0000-0000-00006B210000}"/>
    <cellStyle name="Normal 24 4 3" xfId="8562" xr:uid="{00000000-0005-0000-0000-00006C210000}"/>
    <cellStyle name="Normal 24 5" xfId="8563" xr:uid="{00000000-0005-0000-0000-00006D210000}"/>
    <cellStyle name="Normal 24 5 2" xfId="8564" xr:uid="{00000000-0005-0000-0000-00006E210000}"/>
    <cellStyle name="Normal 24 5 3" xfId="8565" xr:uid="{00000000-0005-0000-0000-00006F210000}"/>
    <cellStyle name="Normal 24 6" xfId="8566" xr:uid="{00000000-0005-0000-0000-000070210000}"/>
    <cellStyle name="Normal 24 6 2" xfId="8567" xr:uid="{00000000-0005-0000-0000-000071210000}"/>
    <cellStyle name="Normal 24 6 3" xfId="8568" xr:uid="{00000000-0005-0000-0000-000072210000}"/>
    <cellStyle name="Normal 24 7" xfId="8569" xr:uid="{00000000-0005-0000-0000-000073210000}"/>
    <cellStyle name="Normal 24 7 2" xfId="8570" xr:uid="{00000000-0005-0000-0000-000074210000}"/>
    <cellStyle name="Normal 24 7 3" xfId="8571" xr:uid="{00000000-0005-0000-0000-000075210000}"/>
    <cellStyle name="Normal 24 8" xfId="8572" xr:uid="{00000000-0005-0000-0000-000076210000}"/>
    <cellStyle name="Normal 24 8 2" xfId="8573" xr:uid="{00000000-0005-0000-0000-000077210000}"/>
    <cellStyle name="Normal 24 8 3" xfId="8574" xr:uid="{00000000-0005-0000-0000-000078210000}"/>
    <cellStyle name="Normal 24 9" xfId="8575" xr:uid="{00000000-0005-0000-0000-000079210000}"/>
    <cellStyle name="Normal 25" xfId="8576" xr:uid="{00000000-0005-0000-0000-00007A210000}"/>
    <cellStyle name="Normal 25 10" xfId="8577" xr:uid="{00000000-0005-0000-0000-00007B210000}"/>
    <cellStyle name="Normal 25 2" xfId="8578" xr:uid="{00000000-0005-0000-0000-00007C210000}"/>
    <cellStyle name="Normal 25 2 2" xfId="8579" xr:uid="{00000000-0005-0000-0000-00007D210000}"/>
    <cellStyle name="Normal 25 2 2 2" xfId="8580" xr:uid="{00000000-0005-0000-0000-00007E210000}"/>
    <cellStyle name="Normal 25 2 2 3" xfId="8581" xr:uid="{00000000-0005-0000-0000-00007F210000}"/>
    <cellStyle name="Normal 25 2 3" xfId="8582" xr:uid="{00000000-0005-0000-0000-000080210000}"/>
    <cellStyle name="Normal 25 2 3 2" xfId="8583" xr:uid="{00000000-0005-0000-0000-000081210000}"/>
    <cellStyle name="Normal 25 2 3 3" xfId="8584" xr:uid="{00000000-0005-0000-0000-000082210000}"/>
    <cellStyle name="Normal 25 2 4" xfId="8585" xr:uid="{00000000-0005-0000-0000-000083210000}"/>
    <cellStyle name="Normal 25 2 4 2" xfId="8586" xr:uid="{00000000-0005-0000-0000-000084210000}"/>
    <cellStyle name="Normal 25 2 4 3" xfId="8587" xr:uid="{00000000-0005-0000-0000-000085210000}"/>
    <cellStyle name="Normal 25 2 5" xfId="8588" xr:uid="{00000000-0005-0000-0000-000086210000}"/>
    <cellStyle name="Normal 25 2 5 2" xfId="8589" xr:uid="{00000000-0005-0000-0000-000087210000}"/>
    <cellStyle name="Normal 25 2 5 3" xfId="8590" xr:uid="{00000000-0005-0000-0000-000088210000}"/>
    <cellStyle name="Normal 25 2 6" xfId="8591" xr:uid="{00000000-0005-0000-0000-000089210000}"/>
    <cellStyle name="Normal 25 2 6 2" xfId="8592" xr:uid="{00000000-0005-0000-0000-00008A210000}"/>
    <cellStyle name="Normal 25 2 6 3" xfId="8593" xr:uid="{00000000-0005-0000-0000-00008B210000}"/>
    <cellStyle name="Normal 25 2 7" xfId="8594" xr:uid="{00000000-0005-0000-0000-00008C210000}"/>
    <cellStyle name="Normal 25 2 7 2" xfId="8595" xr:uid="{00000000-0005-0000-0000-00008D210000}"/>
    <cellStyle name="Normal 25 2 7 3" xfId="8596" xr:uid="{00000000-0005-0000-0000-00008E210000}"/>
    <cellStyle name="Normal 25 2 8" xfId="8597" xr:uid="{00000000-0005-0000-0000-00008F210000}"/>
    <cellStyle name="Normal 25 2 9" xfId="8598" xr:uid="{00000000-0005-0000-0000-000090210000}"/>
    <cellStyle name="Normal 25 3" xfId="8599" xr:uid="{00000000-0005-0000-0000-000091210000}"/>
    <cellStyle name="Normal 25 3 2" xfId="8600" xr:uid="{00000000-0005-0000-0000-000092210000}"/>
    <cellStyle name="Normal 25 3 3" xfId="8601" xr:uid="{00000000-0005-0000-0000-000093210000}"/>
    <cellStyle name="Normal 25 4" xfId="8602" xr:uid="{00000000-0005-0000-0000-000094210000}"/>
    <cellStyle name="Normal 25 4 2" xfId="8603" xr:uid="{00000000-0005-0000-0000-000095210000}"/>
    <cellStyle name="Normal 25 4 3" xfId="8604" xr:uid="{00000000-0005-0000-0000-000096210000}"/>
    <cellStyle name="Normal 25 5" xfId="8605" xr:uid="{00000000-0005-0000-0000-000097210000}"/>
    <cellStyle name="Normal 25 5 2" xfId="8606" xr:uid="{00000000-0005-0000-0000-000098210000}"/>
    <cellStyle name="Normal 25 5 3" xfId="8607" xr:uid="{00000000-0005-0000-0000-000099210000}"/>
    <cellStyle name="Normal 25 6" xfId="8608" xr:uid="{00000000-0005-0000-0000-00009A210000}"/>
    <cellStyle name="Normal 25 6 2" xfId="8609" xr:uid="{00000000-0005-0000-0000-00009B210000}"/>
    <cellStyle name="Normal 25 6 3" xfId="8610" xr:uid="{00000000-0005-0000-0000-00009C210000}"/>
    <cellStyle name="Normal 25 7" xfId="8611" xr:uid="{00000000-0005-0000-0000-00009D210000}"/>
    <cellStyle name="Normal 25 7 2" xfId="8612" xr:uid="{00000000-0005-0000-0000-00009E210000}"/>
    <cellStyle name="Normal 25 7 3" xfId="8613" xr:uid="{00000000-0005-0000-0000-00009F210000}"/>
    <cellStyle name="Normal 25 8" xfId="8614" xr:uid="{00000000-0005-0000-0000-0000A0210000}"/>
    <cellStyle name="Normal 25 8 2" xfId="8615" xr:uid="{00000000-0005-0000-0000-0000A1210000}"/>
    <cellStyle name="Normal 25 8 3" xfId="8616" xr:uid="{00000000-0005-0000-0000-0000A2210000}"/>
    <cellStyle name="Normal 25 9" xfId="8617" xr:uid="{00000000-0005-0000-0000-0000A3210000}"/>
    <cellStyle name="Normal 26" xfId="8618" xr:uid="{00000000-0005-0000-0000-0000A4210000}"/>
    <cellStyle name="Normal 26 2" xfId="8619" xr:uid="{00000000-0005-0000-0000-0000A5210000}"/>
    <cellStyle name="Normal 26 2 2" xfId="8620" xr:uid="{00000000-0005-0000-0000-0000A6210000}"/>
    <cellStyle name="Normal 26 2 3" xfId="8621" xr:uid="{00000000-0005-0000-0000-0000A7210000}"/>
    <cellStyle name="Normal 26 3" xfId="8622" xr:uid="{00000000-0005-0000-0000-0000A8210000}"/>
    <cellStyle name="Normal 26 3 2" xfId="8623" xr:uid="{00000000-0005-0000-0000-0000A9210000}"/>
    <cellStyle name="Normal 26 3 3" xfId="8624" xr:uid="{00000000-0005-0000-0000-0000AA210000}"/>
    <cellStyle name="Normal 26 4" xfId="8625" xr:uid="{00000000-0005-0000-0000-0000AB210000}"/>
    <cellStyle name="Normal 26 4 2" xfId="8626" xr:uid="{00000000-0005-0000-0000-0000AC210000}"/>
    <cellStyle name="Normal 26 4 3" xfId="8627" xr:uid="{00000000-0005-0000-0000-0000AD210000}"/>
    <cellStyle name="Normal 26 5" xfId="8628" xr:uid="{00000000-0005-0000-0000-0000AE210000}"/>
    <cellStyle name="Normal 26 5 2" xfId="8629" xr:uid="{00000000-0005-0000-0000-0000AF210000}"/>
    <cellStyle name="Normal 26 5 3" xfId="8630" xr:uid="{00000000-0005-0000-0000-0000B0210000}"/>
    <cellStyle name="Normal 26 6" xfId="8631" xr:uid="{00000000-0005-0000-0000-0000B1210000}"/>
    <cellStyle name="Normal 26 6 2" xfId="8632" xr:uid="{00000000-0005-0000-0000-0000B2210000}"/>
    <cellStyle name="Normal 26 6 3" xfId="8633" xr:uid="{00000000-0005-0000-0000-0000B3210000}"/>
    <cellStyle name="Normal 26 7" xfId="8634" xr:uid="{00000000-0005-0000-0000-0000B4210000}"/>
    <cellStyle name="Normal 26 7 2" xfId="8635" xr:uid="{00000000-0005-0000-0000-0000B5210000}"/>
    <cellStyle name="Normal 26 7 3" xfId="8636" xr:uid="{00000000-0005-0000-0000-0000B6210000}"/>
    <cellStyle name="Normal 26 8" xfId="8637" xr:uid="{00000000-0005-0000-0000-0000B7210000}"/>
    <cellStyle name="Normal 26 9" xfId="8638" xr:uid="{00000000-0005-0000-0000-0000B8210000}"/>
    <cellStyle name="Normal 27" xfId="8639" xr:uid="{00000000-0005-0000-0000-0000B9210000}"/>
    <cellStyle name="Normal 28" xfId="1" xr:uid="{00000000-0005-0000-0000-0000BA210000}"/>
    <cellStyle name="Normal 3" xfId="8640" xr:uid="{00000000-0005-0000-0000-0000BB210000}"/>
    <cellStyle name="Normal 3 10" xfId="8" xr:uid="{00000000-0005-0000-0000-0000BC210000}"/>
    <cellStyle name="Normal 3 10 2" xfId="8641" xr:uid="{00000000-0005-0000-0000-0000BD210000}"/>
    <cellStyle name="Normal 3 10 3" xfId="8642" xr:uid="{00000000-0005-0000-0000-0000BE210000}"/>
    <cellStyle name="Normal 3 11" xfId="8643" xr:uid="{00000000-0005-0000-0000-0000BF210000}"/>
    <cellStyle name="Normal 3 11 2" xfId="8644" xr:uid="{00000000-0005-0000-0000-0000C0210000}"/>
    <cellStyle name="Normal 3 11 3" xfId="8645" xr:uid="{00000000-0005-0000-0000-0000C1210000}"/>
    <cellStyle name="Normal 3 12" xfId="8646" xr:uid="{00000000-0005-0000-0000-0000C2210000}"/>
    <cellStyle name="Normal 3 13" xfId="8647" xr:uid="{00000000-0005-0000-0000-0000C3210000}"/>
    <cellStyle name="Normal 3 14" xfId="8648" xr:uid="{00000000-0005-0000-0000-0000C4210000}"/>
    <cellStyle name="Normal 3 15" xfId="8649" xr:uid="{00000000-0005-0000-0000-0000C5210000}"/>
    <cellStyle name="Normal 3 2" xfId="8650" xr:uid="{00000000-0005-0000-0000-0000C6210000}"/>
    <cellStyle name="Normal 3 2 2" xfId="8651" xr:uid="{00000000-0005-0000-0000-0000C7210000}"/>
    <cellStyle name="Normal 3 2 3" xfId="8652" xr:uid="{00000000-0005-0000-0000-0000C8210000}"/>
    <cellStyle name="Normal 3 2 4" xfId="8653" xr:uid="{00000000-0005-0000-0000-0000C9210000}"/>
    <cellStyle name="Normal 3 3" xfId="8654" xr:uid="{00000000-0005-0000-0000-0000CA210000}"/>
    <cellStyle name="Normal 3 3 2" xfId="8655" xr:uid="{00000000-0005-0000-0000-0000CB210000}"/>
    <cellStyle name="Normal 3 3 3" xfId="8656" xr:uid="{00000000-0005-0000-0000-0000CC210000}"/>
    <cellStyle name="Normal 3 4" xfId="8657" xr:uid="{00000000-0005-0000-0000-0000CD210000}"/>
    <cellStyle name="Normal 3 4 2" xfId="8658" xr:uid="{00000000-0005-0000-0000-0000CE210000}"/>
    <cellStyle name="Normal 3 4 3" xfId="8659" xr:uid="{00000000-0005-0000-0000-0000CF210000}"/>
    <cellStyle name="Normal 3 5" xfId="8660" xr:uid="{00000000-0005-0000-0000-0000D0210000}"/>
    <cellStyle name="Normal 3 5 2" xfId="8661" xr:uid="{00000000-0005-0000-0000-0000D1210000}"/>
    <cellStyle name="Normal 3 5 3" xfId="8662" xr:uid="{00000000-0005-0000-0000-0000D2210000}"/>
    <cellStyle name="Normal 3 6" xfId="8663" xr:uid="{00000000-0005-0000-0000-0000D3210000}"/>
    <cellStyle name="Normal 3 6 2" xfId="8664" xr:uid="{00000000-0005-0000-0000-0000D4210000}"/>
    <cellStyle name="Normal 3 6 3" xfId="8665" xr:uid="{00000000-0005-0000-0000-0000D5210000}"/>
    <cellStyle name="Normal 3 7" xfId="8666" xr:uid="{00000000-0005-0000-0000-0000D6210000}"/>
    <cellStyle name="Normal 3 7 2" xfId="8667" xr:uid="{00000000-0005-0000-0000-0000D7210000}"/>
    <cellStyle name="Normal 3 7 3" xfId="8668" xr:uid="{00000000-0005-0000-0000-0000D8210000}"/>
    <cellStyle name="Normal 3 8" xfId="8669" xr:uid="{00000000-0005-0000-0000-0000D9210000}"/>
    <cellStyle name="Normal 3 8 2" xfId="8670" xr:uid="{00000000-0005-0000-0000-0000DA210000}"/>
    <cellStyle name="Normal 3 8 3" xfId="8671" xr:uid="{00000000-0005-0000-0000-0000DB210000}"/>
    <cellStyle name="Normal 3 9" xfId="8672" xr:uid="{00000000-0005-0000-0000-0000DC210000}"/>
    <cellStyle name="Normal 3 9 2" xfId="8673" xr:uid="{00000000-0005-0000-0000-0000DD210000}"/>
    <cellStyle name="Normal 3 9 3" xfId="8674" xr:uid="{00000000-0005-0000-0000-0000DE210000}"/>
    <cellStyle name="Normal 4" xfId="8675" xr:uid="{00000000-0005-0000-0000-0000DF210000}"/>
    <cellStyle name="Normal 4 2" xfId="8676" xr:uid="{00000000-0005-0000-0000-0000E0210000}"/>
    <cellStyle name="Normal 4 2 2" xfId="8677" xr:uid="{00000000-0005-0000-0000-0000E1210000}"/>
    <cellStyle name="Normal 4 3" xfId="8678" xr:uid="{00000000-0005-0000-0000-0000E2210000}"/>
    <cellStyle name="Normal 4 4" xfId="8679" xr:uid="{00000000-0005-0000-0000-0000E3210000}"/>
    <cellStyle name="Normal 4 5" xfId="8680" xr:uid="{00000000-0005-0000-0000-0000E4210000}"/>
    <cellStyle name="Normal 4 6" xfId="8681" xr:uid="{00000000-0005-0000-0000-0000E5210000}"/>
    <cellStyle name="Normal 5" xfId="8682" xr:uid="{00000000-0005-0000-0000-0000E6210000}"/>
    <cellStyle name="Normal 5 2" xfId="8683" xr:uid="{00000000-0005-0000-0000-0000E7210000}"/>
    <cellStyle name="Normal 5 3" xfId="8684" xr:uid="{00000000-0005-0000-0000-0000E8210000}"/>
    <cellStyle name="Normal 5 4" xfId="8685" xr:uid="{00000000-0005-0000-0000-0000E9210000}"/>
    <cellStyle name="Normal 5 5" xfId="8686" xr:uid="{00000000-0005-0000-0000-0000EA210000}"/>
    <cellStyle name="Normal 5 6" xfId="8687" xr:uid="{00000000-0005-0000-0000-0000EB210000}"/>
    <cellStyle name="Normal 6" xfId="8688" xr:uid="{00000000-0005-0000-0000-0000EC210000}"/>
    <cellStyle name="Normal 6 2" xfId="6" xr:uid="{00000000-0005-0000-0000-0000ED210000}"/>
    <cellStyle name="Normal 6 2 2" xfId="8689" xr:uid="{00000000-0005-0000-0000-0000EE210000}"/>
    <cellStyle name="Normal 6 2 3" xfId="8690" xr:uid="{00000000-0005-0000-0000-0000EF210000}"/>
    <cellStyle name="Normal 6 3" xfId="8691" xr:uid="{00000000-0005-0000-0000-0000F0210000}"/>
    <cellStyle name="Normal 6 4" xfId="8692" xr:uid="{00000000-0005-0000-0000-0000F1210000}"/>
    <cellStyle name="Normal 6 5" xfId="8693" xr:uid="{00000000-0005-0000-0000-0000F2210000}"/>
    <cellStyle name="Normal 7" xfId="8694" xr:uid="{00000000-0005-0000-0000-0000F3210000}"/>
    <cellStyle name="Normal 8" xfId="8695" xr:uid="{00000000-0005-0000-0000-0000F4210000}"/>
    <cellStyle name="Normal 8 10" xfId="8696" xr:uid="{00000000-0005-0000-0000-0000F5210000}"/>
    <cellStyle name="Normal 8 10 2" xfId="8697" xr:uid="{00000000-0005-0000-0000-0000F6210000}"/>
    <cellStyle name="Normal 8 10 3" xfId="8698" xr:uid="{00000000-0005-0000-0000-0000F7210000}"/>
    <cellStyle name="Normal 8 11" xfId="8699" xr:uid="{00000000-0005-0000-0000-0000F8210000}"/>
    <cellStyle name="Normal 8 11 2" xfId="8700" xr:uid="{00000000-0005-0000-0000-0000F9210000}"/>
    <cellStyle name="Normal 8 11 3" xfId="8701" xr:uid="{00000000-0005-0000-0000-0000FA210000}"/>
    <cellStyle name="Normal 8 12" xfId="8702" xr:uid="{00000000-0005-0000-0000-0000FB210000}"/>
    <cellStyle name="Normal 8 13" xfId="8703" xr:uid="{00000000-0005-0000-0000-0000FC210000}"/>
    <cellStyle name="Normal 8 14" xfId="8704" xr:uid="{00000000-0005-0000-0000-0000FD210000}"/>
    <cellStyle name="Normal 8 15" xfId="8705" xr:uid="{00000000-0005-0000-0000-0000FE210000}"/>
    <cellStyle name="Normal 8 16" xfId="8706" xr:uid="{00000000-0005-0000-0000-0000FF210000}"/>
    <cellStyle name="Normal 8 2" xfId="8707" xr:uid="{00000000-0005-0000-0000-000000220000}"/>
    <cellStyle name="Normal 8 2 2" xfId="8708" xr:uid="{00000000-0005-0000-0000-000001220000}"/>
    <cellStyle name="Normal 8 2 3" xfId="8709" xr:uid="{00000000-0005-0000-0000-000002220000}"/>
    <cellStyle name="Normal 8 3" xfId="8710" xr:uid="{00000000-0005-0000-0000-000003220000}"/>
    <cellStyle name="Normal 8 3 2" xfId="8711" xr:uid="{00000000-0005-0000-0000-000004220000}"/>
    <cellStyle name="Normal 8 3 3" xfId="8712" xr:uid="{00000000-0005-0000-0000-000005220000}"/>
    <cellStyle name="Normal 8 4" xfId="8713" xr:uid="{00000000-0005-0000-0000-000006220000}"/>
    <cellStyle name="Normal 8 4 2" xfId="8714" xr:uid="{00000000-0005-0000-0000-000007220000}"/>
    <cellStyle name="Normal 8 4 3" xfId="8715" xr:uid="{00000000-0005-0000-0000-000008220000}"/>
    <cellStyle name="Normal 8 5" xfId="8716" xr:uid="{00000000-0005-0000-0000-000009220000}"/>
    <cellStyle name="Normal 8 5 2" xfId="8717" xr:uid="{00000000-0005-0000-0000-00000A220000}"/>
    <cellStyle name="Normal 8 5 3" xfId="8718" xr:uid="{00000000-0005-0000-0000-00000B220000}"/>
    <cellStyle name="Normal 8 6" xfId="8719" xr:uid="{00000000-0005-0000-0000-00000C220000}"/>
    <cellStyle name="Normal 8 6 2" xfId="8720" xr:uid="{00000000-0005-0000-0000-00000D220000}"/>
    <cellStyle name="Normal 8 6 3" xfId="8721" xr:uid="{00000000-0005-0000-0000-00000E220000}"/>
    <cellStyle name="Normal 8 7" xfId="8722" xr:uid="{00000000-0005-0000-0000-00000F220000}"/>
    <cellStyle name="Normal 8 7 2" xfId="8723" xr:uid="{00000000-0005-0000-0000-000010220000}"/>
    <cellStyle name="Normal 8 7 3" xfId="8724" xr:uid="{00000000-0005-0000-0000-000011220000}"/>
    <cellStyle name="Normal 8 8" xfId="8725" xr:uid="{00000000-0005-0000-0000-000012220000}"/>
    <cellStyle name="Normal 8 8 2" xfId="8726" xr:uid="{00000000-0005-0000-0000-000013220000}"/>
    <cellStyle name="Normal 8 8 3" xfId="8727" xr:uid="{00000000-0005-0000-0000-000014220000}"/>
    <cellStyle name="Normal 8 9" xfId="8728" xr:uid="{00000000-0005-0000-0000-000015220000}"/>
    <cellStyle name="Normal 8 9 2" xfId="8729" xr:uid="{00000000-0005-0000-0000-000016220000}"/>
    <cellStyle name="Normal 8 9 3" xfId="8730" xr:uid="{00000000-0005-0000-0000-000017220000}"/>
    <cellStyle name="Normal 9" xfId="10" xr:uid="{00000000-0005-0000-0000-000018220000}"/>
    <cellStyle name="Normal 9 2" xfId="8731" xr:uid="{00000000-0005-0000-0000-000019220000}"/>
    <cellStyle name="Normal 9 3" xfId="8732" xr:uid="{00000000-0005-0000-0000-00001A220000}"/>
    <cellStyle name="Note 2" xfId="8733" xr:uid="{00000000-0005-0000-0000-00001B220000}"/>
    <cellStyle name="Note 3" xfId="8734" xr:uid="{00000000-0005-0000-0000-00001C220000}"/>
    <cellStyle name="Note 4" xfId="8735" xr:uid="{00000000-0005-0000-0000-00001D220000}"/>
    <cellStyle name="Output 2" xfId="8736" xr:uid="{00000000-0005-0000-0000-00001E220000}"/>
    <cellStyle name="Output 3" xfId="8737" xr:uid="{00000000-0005-0000-0000-00001F220000}"/>
    <cellStyle name="Output 4" xfId="8738" xr:uid="{00000000-0005-0000-0000-000020220000}"/>
    <cellStyle name="Percent 10" xfId="8739" xr:uid="{00000000-0005-0000-0000-000021220000}"/>
    <cellStyle name="Percent 10 10" xfId="4" xr:uid="{00000000-0005-0000-0000-000022220000}"/>
    <cellStyle name="Percent 10 10 2" xfId="8740" xr:uid="{00000000-0005-0000-0000-000023220000}"/>
    <cellStyle name="Percent 10 10 3" xfId="8741" xr:uid="{00000000-0005-0000-0000-000024220000}"/>
    <cellStyle name="Percent 10 11" xfId="8742" xr:uid="{00000000-0005-0000-0000-000025220000}"/>
    <cellStyle name="Percent 10 12" xfId="8743" xr:uid="{00000000-0005-0000-0000-000026220000}"/>
    <cellStyle name="Percent 10 2" xfId="8744" xr:uid="{00000000-0005-0000-0000-000027220000}"/>
    <cellStyle name="Percent 10 2 10" xfId="8745" xr:uid="{00000000-0005-0000-0000-000028220000}"/>
    <cellStyle name="Percent 10 2 2" xfId="8746" xr:uid="{00000000-0005-0000-0000-000029220000}"/>
    <cellStyle name="Percent 10 2 2 2" xfId="8747" xr:uid="{00000000-0005-0000-0000-00002A220000}"/>
    <cellStyle name="Percent 10 2 2 2 2" xfId="8748" xr:uid="{00000000-0005-0000-0000-00002B220000}"/>
    <cellStyle name="Percent 10 2 2 2 3" xfId="8749" xr:uid="{00000000-0005-0000-0000-00002C220000}"/>
    <cellStyle name="Percent 10 2 2 3" xfId="8750" xr:uid="{00000000-0005-0000-0000-00002D220000}"/>
    <cellStyle name="Percent 10 2 2 3 2" xfId="8751" xr:uid="{00000000-0005-0000-0000-00002E220000}"/>
    <cellStyle name="Percent 10 2 2 3 3" xfId="8752" xr:uid="{00000000-0005-0000-0000-00002F220000}"/>
    <cellStyle name="Percent 10 2 2 4" xfId="8753" xr:uid="{00000000-0005-0000-0000-000030220000}"/>
    <cellStyle name="Percent 10 2 2 4 2" xfId="8754" xr:uid="{00000000-0005-0000-0000-000031220000}"/>
    <cellStyle name="Percent 10 2 2 4 3" xfId="8755" xr:uid="{00000000-0005-0000-0000-000032220000}"/>
    <cellStyle name="Percent 10 2 2 5" xfId="8756" xr:uid="{00000000-0005-0000-0000-000033220000}"/>
    <cellStyle name="Percent 10 2 2 5 2" xfId="8757" xr:uid="{00000000-0005-0000-0000-000034220000}"/>
    <cellStyle name="Percent 10 2 2 5 3" xfId="8758" xr:uid="{00000000-0005-0000-0000-000035220000}"/>
    <cellStyle name="Percent 10 2 2 6" xfId="8759" xr:uid="{00000000-0005-0000-0000-000036220000}"/>
    <cellStyle name="Percent 10 2 2 6 2" xfId="8760" xr:uid="{00000000-0005-0000-0000-000037220000}"/>
    <cellStyle name="Percent 10 2 2 6 3" xfId="8761" xr:uid="{00000000-0005-0000-0000-000038220000}"/>
    <cellStyle name="Percent 10 2 2 7" xfId="8762" xr:uid="{00000000-0005-0000-0000-000039220000}"/>
    <cellStyle name="Percent 10 2 2 7 2" xfId="8763" xr:uid="{00000000-0005-0000-0000-00003A220000}"/>
    <cellStyle name="Percent 10 2 2 7 3" xfId="8764" xr:uid="{00000000-0005-0000-0000-00003B220000}"/>
    <cellStyle name="Percent 10 2 2 8" xfId="8765" xr:uid="{00000000-0005-0000-0000-00003C220000}"/>
    <cellStyle name="Percent 10 2 2 9" xfId="8766" xr:uid="{00000000-0005-0000-0000-00003D220000}"/>
    <cellStyle name="Percent 10 2 3" xfId="8767" xr:uid="{00000000-0005-0000-0000-00003E220000}"/>
    <cellStyle name="Percent 10 2 3 2" xfId="8768" xr:uid="{00000000-0005-0000-0000-00003F220000}"/>
    <cellStyle name="Percent 10 2 3 3" xfId="8769" xr:uid="{00000000-0005-0000-0000-000040220000}"/>
    <cellStyle name="Percent 10 2 4" xfId="8770" xr:uid="{00000000-0005-0000-0000-000041220000}"/>
    <cellStyle name="Percent 10 2 4 2" xfId="8771" xr:uid="{00000000-0005-0000-0000-000042220000}"/>
    <cellStyle name="Percent 10 2 4 3" xfId="8772" xr:uid="{00000000-0005-0000-0000-000043220000}"/>
    <cellStyle name="Percent 10 2 5" xfId="8773" xr:uid="{00000000-0005-0000-0000-000044220000}"/>
    <cellStyle name="Percent 10 2 5 2" xfId="8774" xr:uid="{00000000-0005-0000-0000-000045220000}"/>
    <cellStyle name="Percent 10 2 5 3" xfId="8775" xr:uid="{00000000-0005-0000-0000-000046220000}"/>
    <cellStyle name="Percent 10 2 6" xfId="8776" xr:uid="{00000000-0005-0000-0000-000047220000}"/>
    <cellStyle name="Percent 10 2 6 2" xfId="8777" xr:uid="{00000000-0005-0000-0000-000048220000}"/>
    <cellStyle name="Percent 10 2 6 3" xfId="8778" xr:uid="{00000000-0005-0000-0000-000049220000}"/>
    <cellStyle name="Percent 10 2 7" xfId="8779" xr:uid="{00000000-0005-0000-0000-00004A220000}"/>
    <cellStyle name="Percent 10 2 7 2" xfId="8780" xr:uid="{00000000-0005-0000-0000-00004B220000}"/>
    <cellStyle name="Percent 10 2 7 3" xfId="8781" xr:uid="{00000000-0005-0000-0000-00004C220000}"/>
    <cellStyle name="Percent 10 2 8" xfId="8782" xr:uid="{00000000-0005-0000-0000-00004D220000}"/>
    <cellStyle name="Percent 10 2 8 2" xfId="8783" xr:uid="{00000000-0005-0000-0000-00004E220000}"/>
    <cellStyle name="Percent 10 2 8 3" xfId="8784" xr:uid="{00000000-0005-0000-0000-00004F220000}"/>
    <cellStyle name="Percent 10 2 9" xfId="8785" xr:uid="{00000000-0005-0000-0000-000050220000}"/>
    <cellStyle name="Percent 10 3" xfId="8786" xr:uid="{00000000-0005-0000-0000-000051220000}"/>
    <cellStyle name="Percent 10 3 10" xfId="8787" xr:uid="{00000000-0005-0000-0000-000052220000}"/>
    <cellStyle name="Percent 10 3 2" xfId="8788" xr:uid="{00000000-0005-0000-0000-000053220000}"/>
    <cellStyle name="Percent 10 3 2 2" xfId="8789" xr:uid="{00000000-0005-0000-0000-000054220000}"/>
    <cellStyle name="Percent 10 3 2 2 2" xfId="8790" xr:uid="{00000000-0005-0000-0000-000055220000}"/>
    <cellStyle name="Percent 10 3 2 2 3" xfId="8791" xr:uid="{00000000-0005-0000-0000-000056220000}"/>
    <cellStyle name="Percent 10 3 2 3" xfId="8792" xr:uid="{00000000-0005-0000-0000-000057220000}"/>
    <cellStyle name="Percent 10 3 2 3 2" xfId="8793" xr:uid="{00000000-0005-0000-0000-000058220000}"/>
    <cellStyle name="Percent 10 3 2 3 3" xfId="8794" xr:uid="{00000000-0005-0000-0000-000059220000}"/>
    <cellStyle name="Percent 10 3 2 4" xfId="8795" xr:uid="{00000000-0005-0000-0000-00005A220000}"/>
    <cellStyle name="Percent 10 3 2 4 2" xfId="8796" xr:uid="{00000000-0005-0000-0000-00005B220000}"/>
    <cellStyle name="Percent 10 3 2 4 3" xfId="8797" xr:uid="{00000000-0005-0000-0000-00005C220000}"/>
    <cellStyle name="Percent 10 3 2 5" xfId="8798" xr:uid="{00000000-0005-0000-0000-00005D220000}"/>
    <cellStyle name="Percent 10 3 2 5 2" xfId="8799" xr:uid="{00000000-0005-0000-0000-00005E220000}"/>
    <cellStyle name="Percent 10 3 2 5 3" xfId="8800" xr:uid="{00000000-0005-0000-0000-00005F220000}"/>
    <cellStyle name="Percent 10 3 2 6" xfId="8801" xr:uid="{00000000-0005-0000-0000-000060220000}"/>
    <cellStyle name="Percent 10 3 2 6 2" xfId="8802" xr:uid="{00000000-0005-0000-0000-000061220000}"/>
    <cellStyle name="Percent 10 3 2 6 3" xfId="8803" xr:uid="{00000000-0005-0000-0000-000062220000}"/>
    <cellStyle name="Percent 10 3 2 7" xfId="8804" xr:uid="{00000000-0005-0000-0000-000063220000}"/>
    <cellStyle name="Percent 10 3 2 7 2" xfId="8805" xr:uid="{00000000-0005-0000-0000-000064220000}"/>
    <cellStyle name="Percent 10 3 2 7 3" xfId="8806" xr:uid="{00000000-0005-0000-0000-000065220000}"/>
    <cellStyle name="Percent 10 3 2 8" xfId="8807" xr:uid="{00000000-0005-0000-0000-000066220000}"/>
    <cellStyle name="Percent 10 3 2 9" xfId="8808" xr:uid="{00000000-0005-0000-0000-000067220000}"/>
    <cellStyle name="Percent 10 3 3" xfId="8809" xr:uid="{00000000-0005-0000-0000-000068220000}"/>
    <cellStyle name="Percent 10 3 3 2" xfId="8810" xr:uid="{00000000-0005-0000-0000-000069220000}"/>
    <cellStyle name="Percent 10 3 3 3" xfId="8811" xr:uid="{00000000-0005-0000-0000-00006A220000}"/>
    <cellStyle name="Percent 10 3 4" xfId="8812" xr:uid="{00000000-0005-0000-0000-00006B220000}"/>
    <cellStyle name="Percent 10 3 4 2" xfId="8813" xr:uid="{00000000-0005-0000-0000-00006C220000}"/>
    <cellStyle name="Percent 10 3 4 3" xfId="8814" xr:uid="{00000000-0005-0000-0000-00006D220000}"/>
    <cellStyle name="Percent 10 3 5" xfId="8815" xr:uid="{00000000-0005-0000-0000-00006E220000}"/>
    <cellStyle name="Percent 10 3 5 2" xfId="8816" xr:uid="{00000000-0005-0000-0000-00006F220000}"/>
    <cellStyle name="Percent 10 3 5 3" xfId="8817" xr:uid="{00000000-0005-0000-0000-000070220000}"/>
    <cellStyle name="Percent 10 3 6" xfId="8818" xr:uid="{00000000-0005-0000-0000-000071220000}"/>
    <cellStyle name="Percent 10 3 6 2" xfId="8819" xr:uid="{00000000-0005-0000-0000-000072220000}"/>
    <cellStyle name="Percent 10 3 6 3" xfId="8820" xr:uid="{00000000-0005-0000-0000-000073220000}"/>
    <cellStyle name="Percent 10 3 7" xfId="8821" xr:uid="{00000000-0005-0000-0000-000074220000}"/>
    <cellStyle name="Percent 10 3 7 2" xfId="8822" xr:uid="{00000000-0005-0000-0000-000075220000}"/>
    <cellStyle name="Percent 10 3 7 3" xfId="8823" xr:uid="{00000000-0005-0000-0000-000076220000}"/>
    <cellStyle name="Percent 10 3 8" xfId="8824" xr:uid="{00000000-0005-0000-0000-000077220000}"/>
    <cellStyle name="Percent 10 3 8 2" xfId="8825" xr:uid="{00000000-0005-0000-0000-000078220000}"/>
    <cellStyle name="Percent 10 3 8 3" xfId="8826" xr:uid="{00000000-0005-0000-0000-000079220000}"/>
    <cellStyle name="Percent 10 3 9" xfId="8827" xr:uid="{00000000-0005-0000-0000-00007A220000}"/>
    <cellStyle name="Percent 10 4" xfId="8828" xr:uid="{00000000-0005-0000-0000-00007B220000}"/>
    <cellStyle name="Percent 10 4 2" xfId="8829" xr:uid="{00000000-0005-0000-0000-00007C220000}"/>
    <cellStyle name="Percent 10 4 2 2" xfId="8830" xr:uid="{00000000-0005-0000-0000-00007D220000}"/>
    <cellStyle name="Percent 10 4 2 3" xfId="8831" xr:uid="{00000000-0005-0000-0000-00007E220000}"/>
    <cellStyle name="Percent 10 4 3" xfId="8832" xr:uid="{00000000-0005-0000-0000-00007F220000}"/>
    <cellStyle name="Percent 10 4 3 2" xfId="8833" xr:uid="{00000000-0005-0000-0000-000080220000}"/>
    <cellStyle name="Percent 10 4 3 3" xfId="8834" xr:uid="{00000000-0005-0000-0000-000081220000}"/>
    <cellStyle name="Percent 10 4 4" xfId="8835" xr:uid="{00000000-0005-0000-0000-000082220000}"/>
    <cellStyle name="Percent 10 4 4 2" xfId="8836" xr:uid="{00000000-0005-0000-0000-000083220000}"/>
    <cellStyle name="Percent 10 4 4 3" xfId="8837" xr:uid="{00000000-0005-0000-0000-000084220000}"/>
    <cellStyle name="Percent 10 4 5" xfId="8838" xr:uid="{00000000-0005-0000-0000-000085220000}"/>
    <cellStyle name="Percent 10 4 5 2" xfId="8839" xr:uid="{00000000-0005-0000-0000-000086220000}"/>
    <cellStyle name="Percent 10 4 5 3" xfId="8840" xr:uid="{00000000-0005-0000-0000-000087220000}"/>
    <cellStyle name="Percent 10 4 6" xfId="8841" xr:uid="{00000000-0005-0000-0000-000088220000}"/>
    <cellStyle name="Percent 10 4 6 2" xfId="8842" xr:uid="{00000000-0005-0000-0000-000089220000}"/>
    <cellStyle name="Percent 10 4 6 3" xfId="8843" xr:uid="{00000000-0005-0000-0000-00008A220000}"/>
    <cellStyle name="Percent 10 4 7" xfId="8844" xr:uid="{00000000-0005-0000-0000-00008B220000}"/>
    <cellStyle name="Percent 10 4 7 2" xfId="8845" xr:uid="{00000000-0005-0000-0000-00008C220000}"/>
    <cellStyle name="Percent 10 4 7 3" xfId="8846" xr:uid="{00000000-0005-0000-0000-00008D220000}"/>
    <cellStyle name="Percent 10 4 8" xfId="8847" xr:uid="{00000000-0005-0000-0000-00008E220000}"/>
    <cellStyle name="Percent 10 4 9" xfId="8848" xr:uid="{00000000-0005-0000-0000-00008F220000}"/>
    <cellStyle name="Percent 10 5" xfId="8849" xr:uid="{00000000-0005-0000-0000-000090220000}"/>
    <cellStyle name="Percent 10 5 2" xfId="8850" xr:uid="{00000000-0005-0000-0000-000091220000}"/>
    <cellStyle name="Percent 10 5 3" xfId="8851" xr:uid="{00000000-0005-0000-0000-000092220000}"/>
    <cellStyle name="Percent 10 6" xfId="8852" xr:uid="{00000000-0005-0000-0000-000093220000}"/>
    <cellStyle name="Percent 10 6 2" xfId="8853" xr:uid="{00000000-0005-0000-0000-000094220000}"/>
    <cellStyle name="Percent 10 6 3" xfId="8854" xr:uid="{00000000-0005-0000-0000-000095220000}"/>
    <cellStyle name="Percent 10 7" xfId="8855" xr:uid="{00000000-0005-0000-0000-000096220000}"/>
    <cellStyle name="Percent 10 7 2" xfId="8856" xr:uid="{00000000-0005-0000-0000-000097220000}"/>
    <cellStyle name="Percent 10 7 3" xfId="8857" xr:uid="{00000000-0005-0000-0000-000098220000}"/>
    <cellStyle name="Percent 10 8" xfId="8858" xr:uid="{00000000-0005-0000-0000-000099220000}"/>
    <cellStyle name="Percent 10 8 2" xfId="8859" xr:uid="{00000000-0005-0000-0000-00009A220000}"/>
    <cellStyle name="Percent 10 8 3" xfId="8860" xr:uid="{00000000-0005-0000-0000-00009B220000}"/>
    <cellStyle name="Percent 10 9" xfId="8861" xr:uid="{00000000-0005-0000-0000-00009C220000}"/>
    <cellStyle name="Percent 10 9 2" xfId="8862" xr:uid="{00000000-0005-0000-0000-00009D220000}"/>
    <cellStyle name="Percent 10 9 3" xfId="8863" xr:uid="{00000000-0005-0000-0000-00009E220000}"/>
    <cellStyle name="Percent 11" xfId="8864" xr:uid="{00000000-0005-0000-0000-00009F220000}"/>
    <cellStyle name="Percent 11 10" xfId="8865" xr:uid="{00000000-0005-0000-0000-0000A0220000}"/>
    <cellStyle name="Percent 11 11" xfId="8866" xr:uid="{00000000-0005-0000-0000-0000A1220000}"/>
    <cellStyle name="Percent 11 12" xfId="8867" xr:uid="{00000000-0005-0000-0000-0000A2220000}"/>
    <cellStyle name="Percent 11 13" xfId="8868" xr:uid="{00000000-0005-0000-0000-0000A3220000}"/>
    <cellStyle name="Percent 11 2" xfId="8869" xr:uid="{00000000-0005-0000-0000-0000A4220000}"/>
    <cellStyle name="Percent 11 3" xfId="8870" xr:uid="{00000000-0005-0000-0000-0000A5220000}"/>
    <cellStyle name="Percent 11 4" xfId="8871" xr:uid="{00000000-0005-0000-0000-0000A6220000}"/>
    <cellStyle name="Percent 11 5" xfId="8872" xr:uid="{00000000-0005-0000-0000-0000A7220000}"/>
    <cellStyle name="Percent 11 6" xfId="8873" xr:uid="{00000000-0005-0000-0000-0000A8220000}"/>
    <cellStyle name="Percent 11 7" xfId="8874" xr:uid="{00000000-0005-0000-0000-0000A9220000}"/>
    <cellStyle name="Percent 11 8" xfId="8875" xr:uid="{00000000-0005-0000-0000-0000AA220000}"/>
    <cellStyle name="Percent 11 9" xfId="8876" xr:uid="{00000000-0005-0000-0000-0000AB220000}"/>
    <cellStyle name="Percent 12" xfId="8877" xr:uid="{00000000-0005-0000-0000-0000AC220000}"/>
    <cellStyle name="Percent 13" xfId="8878" xr:uid="{00000000-0005-0000-0000-0000AD220000}"/>
    <cellStyle name="Percent 14" xfId="3" xr:uid="{00000000-0005-0000-0000-0000AE220000}"/>
    <cellStyle name="Percent 2" xfId="8879" xr:uid="{00000000-0005-0000-0000-0000AF220000}"/>
    <cellStyle name="Percent 2 2" xfId="8880" xr:uid="{00000000-0005-0000-0000-0000B0220000}"/>
    <cellStyle name="Percent 2 3" xfId="8881" xr:uid="{00000000-0005-0000-0000-0000B1220000}"/>
    <cellStyle name="Percent 2 4" xfId="8882" xr:uid="{00000000-0005-0000-0000-0000B2220000}"/>
    <cellStyle name="Percent 2 5" xfId="8883" xr:uid="{00000000-0005-0000-0000-0000B3220000}"/>
    <cellStyle name="Percent 2 6" xfId="8884" xr:uid="{00000000-0005-0000-0000-0000B4220000}"/>
    <cellStyle name="Percent 3" xfId="8885" xr:uid="{00000000-0005-0000-0000-0000B5220000}"/>
    <cellStyle name="Percent 4" xfId="8886" xr:uid="{00000000-0005-0000-0000-0000B6220000}"/>
    <cellStyle name="Percent 5" xfId="8887" xr:uid="{00000000-0005-0000-0000-0000B7220000}"/>
    <cellStyle name="Percent 6" xfId="8888" xr:uid="{00000000-0005-0000-0000-0000B8220000}"/>
    <cellStyle name="Percent 7" xfId="8889" xr:uid="{00000000-0005-0000-0000-0000B9220000}"/>
    <cellStyle name="Percent 8" xfId="8890" xr:uid="{00000000-0005-0000-0000-0000BA220000}"/>
    <cellStyle name="Percent 8 10" xfId="8891" xr:uid="{00000000-0005-0000-0000-0000BB220000}"/>
    <cellStyle name="Percent 8 10 2" xfId="8892" xr:uid="{00000000-0005-0000-0000-0000BC220000}"/>
    <cellStyle name="Percent 8 10 3" xfId="8893" xr:uid="{00000000-0005-0000-0000-0000BD220000}"/>
    <cellStyle name="Percent 8 11" xfId="8894" xr:uid="{00000000-0005-0000-0000-0000BE220000}"/>
    <cellStyle name="Percent 8 11 2" xfId="8895" xr:uid="{00000000-0005-0000-0000-0000BF220000}"/>
    <cellStyle name="Percent 8 11 3" xfId="8896" xr:uid="{00000000-0005-0000-0000-0000C0220000}"/>
    <cellStyle name="Percent 8 12" xfId="8897" xr:uid="{00000000-0005-0000-0000-0000C1220000}"/>
    <cellStyle name="Percent 8 12 2" xfId="8898" xr:uid="{00000000-0005-0000-0000-0000C2220000}"/>
    <cellStyle name="Percent 8 12 3" xfId="8899" xr:uid="{00000000-0005-0000-0000-0000C3220000}"/>
    <cellStyle name="Percent 8 13" xfId="8900" xr:uid="{00000000-0005-0000-0000-0000C4220000}"/>
    <cellStyle name="Percent 8 14" xfId="8901" xr:uid="{00000000-0005-0000-0000-0000C5220000}"/>
    <cellStyle name="Percent 8 2" xfId="8902" xr:uid="{00000000-0005-0000-0000-0000C6220000}"/>
    <cellStyle name="Percent 8 2 10" xfId="8903" xr:uid="{00000000-0005-0000-0000-0000C7220000}"/>
    <cellStyle name="Percent 8 2 10 2" xfId="8904" xr:uid="{00000000-0005-0000-0000-0000C8220000}"/>
    <cellStyle name="Percent 8 2 10 3" xfId="8905" xr:uid="{00000000-0005-0000-0000-0000C9220000}"/>
    <cellStyle name="Percent 8 2 11" xfId="8906" xr:uid="{00000000-0005-0000-0000-0000CA220000}"/>
    <cellStyle name="Percent 8 2 11 2" xfId="8907" xr:uid="{00000000-0005-0000-0000-0000CB220000}"/>
    <cellStyle name="Percent 8 2 11 3" xfId="8908" xr:uid="{00000000-0005-0000-0000-0000CC220000}"/>
    <cellStyle name="Percent 8 2 12" xfId="8909" xr:uid="{00000000-0005-0000-0000-0000CD220000}"/>
    <cellStyle name="Percent 8 2 13" xfId="8910" xr:uid="{00000000-0005-0000-0000-0000CE220000}"/>
    <cellStyle name="Percent 8 2 2" xfId="8911" xr:uid="{00000000-0005-0000-0000-0000CF220000}"/>
    <cellStyle name="Percent 8 2 2 10" xfId="8912" xr:uid="{00000000-0005-0000-0000-0000D0220000}"/>
    <cellStyle name="Percent 8 2 2 10 2" xfId="8913" xr:uid="{00000000-0005-0000-0000-0000D1220000}"/>
    <cellStyle name="Percent 8 2 2 10 3" xfId="8914" xr:uid="{00000000-0005-0000-0000-0000D2220000}"/>
    <cellStyle name="Percent 8 2 2 11" xfId="8915" xr:uid="{00000000-0005-0000-0000-0000D3220000}"/>
    <cellStyle name="Percent 8 2 2 12" xfId="8916" xr:uid="{00000000-0005-0000-0000-0000D4220000}"/>
    <cellStyle name="Percent 8 2 2 2" xfId="8917" xr:uid="{00000000-0005-0000-0000-0000D5220000}"/>
    <cellStyle name="Percent 8 2 2 2 10" xfId="8918" xr:uid="{00000000-0005-0000-0000-0000D6220000}"/>
    <cellStyle name="Percent 8 2 2 2 2" xfId="8919" xr:uid="{00000000-0005-0000-0000-0000D7220000}"/>
    <cellStyle name="Percent 8 2 2 2 2 2" xfId="8920" xr:uid="{00000000-0005-0000-0000-0000D8220000}"/>
    <cellStyle name="Percent 8 2 2 2 2 2 2" xfId="8921" xr:uid="{00000000-0005-0000-0000-0000D9220000}"/>
    <cellStyle name="Percent 8 2 2 2 2 2 3" xfId="8922" xr:uid="{00000000-0005-0000-0000-0000DA220000}"/>
    <cellStyle name="Percent 8 2 2 2 2 3" xfId="8923" xr:uid="{00000000-0005-0000-0000-0000DB220000}"/>
    <cellStyle name="Percent 8 2 2 2 2 3 2" xfId="8924" xr:uid="{00000000-0005-0000-0000-0000DC220000}"/>
    <cellStyle name="Percent 8 2 2 2 2 3 3" xfId="8925" xr:uid="{00000000-0005-0000-0000-0000DD220000}"/>
    <cellStyle name="Percent 8 2 2 2 2 4" xfId="8926" xr:uid="{00000000-0005-0000-0000-0000DE220000}"/>
    <cellStyle name="Percent 8 2 2 2 2 4 2" xfId="8927" xr:uid="{00000000-0005-0000-0000-0000DF220000}"/>
    <cellStyle name="Percent 8 2 2 2 2 4 3" xfId="8928" xr:uid="{00000000-0005-0000-0000-0000E0220000}"/>
    <cellStyle name="Percent 8 2 2 2 2 5" xfId="8929" xr:uid="{00000000-0005-0000-0000-0000E1220000}"/>
    <cellStyle name="Percent 8 2 2 2 2 5 2" xfId="8930" xr:uid="{00000000-0005-0000-0000-0000E2220000}"/>
    <cellStyle name="Percent 8 2 2 2 2 5 3" xfId="8931" xr:uid="{00000000-0005-0000-0000-0000E3220000}"/>
    <cellStyle name="Percent 8 2 2 2 2 6" xfId="8932" xr:uid="{00000000-0005-0000-0000-0000E4220000}"/>
    <cellStyle name="Percent 8 2 2 2 2 6 2" xfId="8933" xr:uid="{00000000-0005-0000-0000-0000E5220000}"/>
    <cellStyle name="Percent 8 2 2 2 2 6 3" xfId="8934" xr:uid="{00000000-0005-0000-0000-0000E6220000}"/>
    <cellStyle name="Percent 8 2 2 2 2 7" xfId="8935" xr:uid="{00000000-0005-0000-0000-0000E7220000}"/>
    <cellStyle name="Percent 8 2 2 2 2 7 2" xfId="8936" xr:uid="{00000000-0005-0000-0000-0000E8220000}"/>
    <cellStyle name="Percent 8 2 2 2 2 7 3" xfId="8937" xr:uid="{00000000-0005-0000-0000-0000E9220000}"/>
    <cellStyle name="Percent 8 2 2 2 2 8" xfId="8938" xr:uid="{00000000-0005-0000-0000-0000EA220000}"/>
    <cellStyle name="Percent 8 2 2 2 2 9" xfId="8939" xr:uid="{00000000-0005-0000-0000-0000EB220000}"/>
    <cellStyle name="Percent 8 2 2 2 3" xfId="8940" xr:uid="{00000000-0005-0000-0000-0000EC220000}"/>
    <cellStyle name="Percent 8 2 2 2 3 2" xfId="8941" xr:uid="{00000000-0005-0000-0000-0000ED220000}"/>
    <cellStyle name="Percent 8 2 2 2 3 3" xfId="8942" xr:uid="{00000000-0005-0000-0000-0000EE220000}"/>
    <cellStyle name="Percent 8 2 2 2 4" xfId="8943" xr:uid="{00000000-0005-0000-0000-0000EF220000}"/>
    <cellStyle name="Percent 8 2 2 2 4 2" xfId="8944" xr:uid="{00000000-0005-0000-0000-0000F0220000}"/>
    <cellStyle name="Percent 8 2 2 2 4 3" xfId="8945" xr:uid="{00000000-0005-0000-0000-0000F1220000}"/>
    <cellStyle name="Percent 8 2 2 2 5" xfId="8946" xr:uid="{00000000-0005-0000-0000-0000F2220000}"/>
    <cellStyle name="Percent 8 2 2 2 5 2" xfId="8947" xr:uid="{00000000-0005-0000-0000-0000F3220000}"/>
    <cellStyle name="Percent 8 2 2 2 5 3" xfId="8948" xr:uid="{00000000-0005-0000-0000-0000F4220000}"/>
    <cellStyle name="Percent 8 2 2 2 6" xfId="8949" xr:uid="{00000000-0005-0000-0000-0000F5220000}"/>
    <cellStyle name="Percent 8 2 2 2 6 2" xfId="8950" xr:uid="{00000000-0005-0000-0000-0000F6220000}"/>
    <cellStyle name="Percent 8 2 2 2 6 3" xfId="8951" xr:uid="{00000000-0005-0000-0000-0000F7220000}"/>
    <cellStyle name="Percent 8 2 2 2 7" xfId="8952" xr:uid="{00000000-0005-0000-0000-0000F8220000}"/>
    <cellStyle name="Percent 8 2 2 2 7 2" xfId="8953" xr:uid="{00000000-0005-0000-0000-0000F9220000}"/>
    <cellStyle name="Percent 8 2 2 2 7 3" xfId="8954" xr:uid="{00000000-0005-0000-0000-0000FA220000}"/>
    <cellStyle name="Percent 8 2 2 2 8" xfId="8955" xr:uid="{00000000-0005-0000-0000-0000FB220000}"/>
    <cellStyle name="Percent 8 2 2 2 8 2" xfId="8956" xr:uid="{00000000-0005-0000-0000-0000FC220000}"/>
    <cellStyle name="Percent 8 2 2 2 8 3" xfId="8957" xr:uid="{00000000-0005-0000-0000-0000FD220000}"/>
    <cellStyle name="Percent 8 2 2 2 9" xfId="8958" xr:uid="{00000000-0005-0000-0000-0000FE220000}"/>
    <cellStyle name="Percent 8 2 2 3" xfId="8959" xr:uid="{00000000-0005-0000-0000-0000FF220000}"/>
    <cellStyle name="Percent 8 2 2 3 10" xfId="8960" xr:uid="{00000000-0005-0000-0000-000000230000}"/>
    <cellStyle name="Percent 8 2 2 3 2" xfId="8961" xr:uid="{00000000-0005-0000-0000-000001230000}"/>
    <cellStyle name="Percent 8 2 2 3 2 2" xfId="8962" xr:uid="{00000000-0005-0000-0000-000002230000}"/>
    <cellStyle name="Percent 8 2 2 3 2 2 2" xfId="8963" xr:uid="{00000000-0005-0000-0000-000003230000}"/>
    <cellStyle name="Percent 8 2 2 3 2 2 3" xfId="8964" xr:uid="{00000000-0005-0000-0000-000004230000}"/>
    <cellStyle name="Percent 8 2 2 3 2 3" xfId="8965" xr:uid="{00000000-0005-0000-0000-000005230000}"/>
    <cellStyle name="Percent 8 2 2 3 2 3 2" xfId="8966" xr:uid="{00000000-0005-0000-0000-000006230000}"/>
    <cellStyle name="Percent 8 2 2 3 2 3 3" xfId="8967" xr:uid="{00000000-0005-0000-0000-000007230000}"/>
    <cellStyle name="Percent 8 2 2 3 2 4" xfId="8968" xr:uid="{00000000-0005-0000-0000-000008230000}"/>
    <cellStyle name="Percent 8 2 2 3 2 4 2" xfId="8969" xr:uid="{00000000-0005-0000-0000-000009230000}"/>
    <cellStyle name="Percent 8 2 2 3 2 4 3" xfId="8970" xr:uid="{00000000-0005-0000-0000-00000A230000}"/>
    <cellStyle name="Percent 8 2 2 3 2 5" xfId="8971" xr:uid="{00000000-0005-0000-0000-00000B230000}"/>
    <cellStyle name="Percent 8 2 2 3 2 5 2" xfId="8972" xr:uid="{00000000-0005-0000-0000-00000C230000}"/>
    <cellStyle name="Percent 8 2 2 3 2 5 3" xfId="8973" xr:uid="{00000000-0005-0000-0000-00000D230000}"/>
    <cellStyle name="Percent 8 2 2 3 2 6" xfId="8974" xr:uid="{00000000-0005-0000-0000-00000E230000}"/>
    <cellStyle name="Percent 8 2 2 3 2 6 2" xfId="8975" xr:uid="{00000000-0005-0000-0000-00000F230000}"/>
    <cellStyle name="Percent 8 2 2 3 2 6 3" xfId="8976" xr:uid="{00000000-0005-0000-0000-000010230000}"/>
    <cellStyle name="Percent 8 2 2 3 2 7" xfId="8977" xr:uid="{00000000-0005-0000-0000-000011230000}"/>
    <cellStyle name="Percent 8 2 2 3 2 7 2" xfId="8978" xr:uid="{00000000-0005-0000-0000-000012230000}"/>
    <cellStyle name="Percent 8 2 2 3 2 7 3" xfId="8979" xr:uid="{00000000-0005-0000-0000-000013230000}"/>
    <cellStyle name="Percent 8 2 2 3 2 8" xfId="8980" xr:uid="{00000000-0005-0000-0000-000014230000}"/>
    <cellStyle name="Percent 8 2 2 3 2 9" xfId="8981" xr:uid="{00000000-0005-0000-0000-000015230000}"/>
    <cellStyle name="Percent 8 2 2 3 3" xfId="8982" xr:uid="{00000000-0005-0000-0000-000016230000}"/>
    <cellStyle name="Percent 8 2 2 3 3 2" xfId="8983" xr:uid="{00000000-0005-0000-0000-000017230000}"/>
    <cellStyle name="Percent 8 2 2 3 3 3" xfId="8984" xr:uid="{00000000-0005-0000-0000-000018230000}"/>
    <cellStyle name="Percent 8 2 2 3 4" xfId="8985" xr:uid="{00000000-0005-0000-0000-000019230000}"/>
    <cellStyle name="Percent 8 2 2 3 4 2" xfId="8986" xr:uid="{00000000-0005-0000-0000-00001A230000}"/>
    <cellStyle name="Percent 8 2 2 3 4 3" xfId="8987" xr:uid="{00000000-0005-0000-0000-00001B230000}"/>
    <cellStyle name="Percent 8 2 2 3 5" xfId="8988" xr:uid="{00000000-0005-0000-0000-00001C230000}"/>
    <cellStyle name="Percent 8 2 2 3 5 2" xfId="8989" xr:uid="{00000000-0005-0000-0000-00001D230000}"/>
    <cellStyle name="Percent 8 2 2 3 5 3" xfId="8990" xr:uid="{00000000-0005-0000-0000-00001E230000}"/>
    <cellStyle name="Percent 8 2 2 3 6" xfId="8991" xr:uid="{00000000-0005-0000-0000-00001F230000}"/>
    <cellStyle name="Percent 8 2 2 3 6 2" xfId="8992" xr:uid="{00000000-0005-0000-0000-000020230000}"/>
    <cellStyle name="Percent 8 2 2 3 6 3" xfId="8993" xr:uid="{00000000-0005-0000-0000-000021230000}"/>
    <cellStyle name="Percent 8 2 2 3 7" xfId="8994" xr:uid="{00000000-0005-0000-0000-000022230000}"/>
    <cellStyle name="Percent 8 2 2 3 7 2" xfId="8995" xr:uid="{00000000-0005-0000-0000-000023230000}"/>
    <cellStyle name="Percent 8 2 2 3 7 3" xfId="8996" xr:uid="{00000000-0005-0000-0000-000024230000}"/>
    <cellStyle name="Percent 8 2 2 3 8" xfId="8997" xr:uid="{00000000-0005-0000-0000-000025230000}"/>
    <cellStyle name="Percent 8 2 2 3 8 2" xfId="8998" xr:uid="{00000000-0005-0000-0000-000026230000}"/>
    <cellStyle name="Percent 8 2 2 3 8 3" xfId="8999" xr:uid="{00000000-0005-0000-0000-000027230000}"/>
    <cellStyle name="Percent 8 2 2 3 9" xfId="9000" xr:uid="{00000000-0005-0000-0000-000028230000}"/>
    <cellStyle name="Percent 8 2 2 4" xfId="9001" xr:uid="{00000000-0005-0000-0000-000029230000}"/>
    <cellStyle name="Percent 8 2 2 4 2" xfId="9002" xr:uid="{00000000-0005-0000-0000-00002A230000}"/>
    <cellStyle name="Percent 8 2 2 4 2 2" xfId="9003" xr:uid="{00000000-0005-0000-0000-00002B230000}"/>
    <cellStyle name="Percent 8 2 2 4 2 3" xfId="9004" xr:uid="{00000000-0005-0000-0000-00002C230000}"/>
    <cellStyle name="Percent 8 2 2 4 3" xfId="9005" xr:uid="{00000000-0005-0000-0000-00002D230000}"/>
    <cellStyle name="Percent 8 2 2 4 3 2" xfId="9006" xr:uid="{00000000-0005-0000-0000-00002E230000}"/>
    <cellStyle name="Percent 8 2 2 4 3 3" xfId="9007" xr:uid="{00000000-0005-0000-0000-00002F230000}"/>
    <cellStyle name="Percent 8 2 2 4 4" xfId="9008" xr:uid="{00000000-0005-0000-0000-000030230000}"/>
    <cellStyle name="Percent 8 2 2 4 4 2" xfId="9009" xr:uid="{00000000-0005-0000-0000-000031230000}"/>
    <cellStyle name="Percent 8 2 2 4 4 3" xfId="9010" xr:uid="{00000000-0005-0000-0000-000032230000}"/>
    <cellStyle name="Percent 8 2 2 4 5" xfId="9011" xr:uid="{00000000-0005-0000-0000-000033230000}"/>
    <cellStyle name="Percent 8 2 2 4 5 2" xfId="9012" xr:uid="{00000000-0005-0000-0000-000034230000}"/>
    <cellStyle name="Percent 8 2 2 4 5 3" xfId="9013" xr:uid="{00000000-0005-0000-0000-000035230000}"/>
    <cellStyle name="Percent 8 2 2 4 6" xfId="9014" xr:uid="{00000000-0005-0000-0000-000036230000}"/>
    <cellStyle name="Percent 8 2 2 4 6 2" xfId="9015" xr:uid="{00000000-0005-0000-0000-000037230000}"/>
    <cellStyle name="Percent 8 2 2 4 6 3" xfId="9016" xr:uid="{00000000-0005-0000-0000-000038230000}"/>
    <cellStyle name="Percent 8 2 2 4 7" xfId="9017" xr:uid="{00000000-0005-0000-0000-000039230000}"/>
    <cellStyle name="Percent 8 2 2 4 7 2" xfId="9018" xr:uid="{00000000-0005-0000-0000-00003A230000}"/>
    <cellStyle name="Percent 8 2 2 4 7 3" xfId="9019" xr:uid="{00000000-0005-0000-0000-00003B230000}"/>
    <cellStyle name="Percent 8 2 2 4 8" xfId="9020" xr:uid="{00000000-0005-0000-0000-00003C230000}"/>
    <cellStyle name="Percent 8 2 2 4 9" xfId="9021" xr:uid="{00000000-0005-0000-0000-00003D230000}"/>
    <cellStyle name="Percent 8 2 2 5" xfId="9022" xr:uid="{00000000-0005-0000-0000-00003E230000}"/>
    <cellStyle name="Percent 8 2 2 5 2" xfId="9023" xr:uid="{00000000-0005-0000-0000-00003F230000}"/>
    <cellStyle name="Percent 8 2 2 5 3" xfId="9024" xr:uid="{00000000-0005-0000-0000-000040230000}"/>
    <cellStyle name="Percent 8 2 2 6" xfId="9025" xr:uid="{00000000-0005-0000-0000-000041230000}"/>
    <cellStyle name="Percent 8 2 2 6 2" xfId="9026" xr:uid="{00000000-0005-0000-0000-000042230000}"/>
    <cellStyle name="Percent 8 2 2 6 3" xfId="9027" xr:uid="{00000000-0005-0000-0000-000043230000}"/>
    <cellStyle name="Percent 8 2 2 7" xfId="9028" xr:uid="{00000000-0005-0000-0000-000044230000}"/>
    <cellStyle name="Percent 8 2 2 7 2" xfId="9029" xr:uid="{00000000-0005-0000-0000-000045230000}"/>
    <cellStyle name="Percent 8 2 2 7 3" xfId="9030" xr:uid="{00000000-0005-0000-0000-000046230000}"/>
    <cellStyle name="Percent 8 2 2 8" xfId="9031" xr:uid="{00000000-0005-0000-0000-000047230000}"/>
    <cellStyle name="Percent 8 2 2 8 2" xfId="9032" xr:uid="{00000000-0005-0000-0000-000048230000}"/>
    <cellStyle name="Percent 8 2 2 8 3" xfId="9033" xr:uid="{00000000-0005-0000-0000-000049230000}"/>
    <cellStyle name="Percent 8 2 2 9" xfId="9034" xr:uid="{00000000-0005-0000-0000-00004A230000}"/>
    <cellStyle name="Percent 8 2 2 9 2" xfId="9035" xr:uid="{00000000-0005-0000-0000-00004B230000}"/>
    <cellStyle name="Percent 8 2 2 9 3" xfId="9036" xr:uid="{00000000-0005-0000-0000-00004C230000}"/>
    <cellStyle name="Percent 8 2 3" xfId="9037" xr:uid="{00000000-0005-0000-0000-00004D230000}"/>
    <cellStyle name="Percent 8 2 3 10" xfId="9038" xr:uid="{00000000-0005-0000-0000-00004E230000}"/>
    <cellStyle name="Percent 8 2 3 2" xfId="9039" xr:uid="{00000000-0005-0000-0000-00004F230000}"/>
    <cellStyle name="Percent 8 2 3 2 2" xfId="9040" xr:uid="{00000000-0005-0000-0000-000050230000}"/>
    <cellStyle name="Percent 8 2 3 2 2 2" xfId="9041" xr:uid="{00000000-0005-0000-0000-000051230000}"/>
    <cellStyle name="Percent 8 2 3 2 2 3" xfId="9042" xr:uid="{00000000-0005-0000-0000-000052230000}"/>
    <cellStyle name="Percent 8 2 3 2 3" xfId="9043" xr:uid="{00000000-0005-0000-0000-000053230000}"/>
    <cellStyle name="Percent 8 2 3 2 3 2" xfId="9044" xr:uid="{00000000-0005-0000-0000-000054230000}"/>
    <cellStyle name="Percent 8 2 3 2 3 3" xfId="9045" xr:uid="{00000000-0005-0000-0000-000055230000}"/>
    <cellStyle name="Percent 8 2 3 2 4" xfId="9046" xr:uid="{00000000-0005-0000-0000-000056230000}"/>
    <cellStyle name="Percent 8 2 3 2 4 2" xfId="9047" xr:uid="{00000000-0005-0000-0000-000057230000}"/>
    <cellStyle name="Percent 8 2 3 2 4 3" xfId="9048" xr:uid="{00000000-0005-0000-0000-000058230000}"/>
    <cellStyle name="Percent 8 2 3 2 5" xfId="9049" xr:uid="{00000000-0005-0000-0000-000059230000}"/>
    <cellStyle name="Percent 8 2 3 2 5 2" xfId="9050" xr:uid="{00000000-0005-0000-0000-00005A230000}"/>
    <cellStyle name="Percent 8 2 3 2 5 3" xfId="9051" xr:uid="{00000000-0005-0000-0000-00005B230000}"/>
    <cellStyle name="Percent 8 2 3 2 6" xfId="9052" xr:uid="{00000000-0005-0000-0000-00005C230000}"/>
    <cellStyle name="Percent 8 2 3 2 6 2" xfId="9053" xr:uid="{00000000-0005-0000-0000-00005D230000}"/>
    <cellStyle name="Percent 8 2 3 2 6 3" xfId="9054" xr:uid="{00000000-0005-0000-0000-00005E230000}"/>
    <cellStyle name="Percent 8 2 3 2 7" xfId="9055" xr:uid="{00000000-0005-0000-0000-00005F230000}"/>
    <cellStyle name="Percent 8 2 3 2 7 2" xfId="9056" xr:uid="{00000000-0005-0000-0000-000060230000}"/>
    <cellStyle name="Percent 8 2 3 2 7 3" xfId="9057" xr:uid="{00000000-0005-0000-0000-000061230000}"/>
    <cellStyle name="Percent 8 2 3 2 8" xfId="9058" xr:uid="{00000000-0005-0000-0000-000062230000}"/>
    <cellStyle name="Percent 8 2 3 2 9" xfId="9059" xr:uid="{00000000-0005-0000-0000-000063230000}"/>
    <cellStyle name="Percent 8 2 3 3" xfId="9060" xr:uid="{00000000-0005-0000-0000-000064230000}"/>
    <cellStyle name="Percent 8 2 3 3 2" xfId="9061" xr:uid="{00000000-0005-0000-0000-000065230000}"/>
    <cellStyle name="Percent 8 2 3 3 3" xfId="9062" xr:uid="{00000000-0005-0000-0000-000066230000}"/>
    <cellStyle name="Percent 8 2 3 4" xfId="9063" xr:uid="{00000000-0005-0000-0000-000067230000}"/>
    <cellStyle name="Percent 8 2 3 4 2" xfId="9064" xr:uid="{00000000-0005-0000-0000-000068230000}"/>
    <cellStyle name="Percent 8 2 3 4 3" xfId="9065" xr:uid="{00000000-0005-0000-0000-000069230000}"/>
    <cellStyle name="Percent 8 2 3 5" xfId="9066" xr:uid="{00000000-0005-0000-0000-00006A230000}"/>
    <cellStyle name="Percent 8 2 3 5 2" xfId="9067" xr:uid="{00000000-0005-0000-0000-00006B230000}"/>
    <cellStyle name="Percent 8 2 3 5 3" xfId="9068" xr:uid="{00000000-0005-0000-0000-00006C230000}"/>
    <cellStyle name="Percent 8 2 3 6" xfId="9069" xr:uid="{00000000-0005-0000-0000-00006D230000}"/>
    <cellStyle name="Percent 8 2 3 6 2" xfId="9070" xr:uid="{00000000-0005-0000-0000-00006E230000}"/>
    <cellStyle name="Percent 8 2 3 6 3" xfId="9071" xr:uid="{00000000-0005-0000-0000-00006F230000}"/>
    <cellStyle name="Percent 8 2 3 7" xfId="9072" xr:uid="{00000000-0005-0000-0000-000070230000}"/>
    <cellStyle name="Percent 8 2 3 7 2" xfId="9073" xr:uid="{00000000-0005-0000-0000-000071230000}"/>
    <cellStyle name="Percent 8 2 3 7 3" xfId="9074" xr:uid="{00000000-0005-0000-0000-000072230000}"/>
    <cellStyle name="Percent 8 2 3 8" xfId="9075" xr:uid="{00000000-0005-0000-0000-000073230000}"/>
    <cellStyle name="Percent 8 2 3 8 2" xfId="9076" xr:uid="{00000000-0005-0000-0000-000074230000}"/>
    <cellStyle name="Percent 8 2 3 8 3" xfId="9077" xr:uid="{00000000-0005-0000-0000-000075230000}"/>
    <cellStyle name="Percent 8 2 3 9" xfId="9078" xr:uid="{00000000-0005-0000-0000-000076230000}"/>
    <cellStyle name="Percent 8 2 4" xfId="9079" xr:uid="{00000000-0005-0000-0000-000077230000}"/>
    <cellStyle name="Percent 8 2 4 10" xfId="9080" xr:uid="{00000000-0005-0000-0000-000078230000}"/>
    <cellStyle name="Percent 8 2 4 2" xfId="9081" xr:uid="{00000000-0005-0000-0000-000079230000}"/>
    <cellStyle name="Percent 8 2 4 2 2" xfId="9082" xr:uid="{00000000-0005-0000-0000-00007A230000}"/>
    <cellStyle name="Percent 8 2 4 2 2 2" xfId="9083" xr:uid="{00000000-0005-0000-0000-00007B230000}"/>
    <cellStyle name="Percent 8 2 4 2 2 3" xfId="9084" xr:uid="{00000000-0005-0000-0000-00007C230000}"/>
    <cellStyle name="Percent 8 2 4 2 3" xfId="9085" xr:uid="{00000000-0005-0000-0000-00007D230000}"/>
    <cellStyle name="Percent 8 2 4 2 3 2" xfId="9086" xr:uid="{00000000-0005-0000-0000-00007E230000}"/>
    <cellStyle name="Percent 8 2 4 2 3 3" xfId="9087" xr:uid="{00000000-0005-0000-0000-00007F230000}"/>
    <cellStyle name="Percent 8 2 4 2 4" xfId="9088" xr:uid="{00000000-0005-0000-0000-000080230000}"/>
    <cellStyle name="Percent 8 2 4 2 4 2" xfId="9089" xr:uid="{00000000-0005-0000-0000-000081230000}"/>
    <cellStyle name="Percent 8 2 4 2 4 3" xfId="9090" xr:uid="{00000000-0005-0000-0000-000082230000}"/>
    <cellStyle name="Percent 8 2 4 2 5" xfId="9091" xr:uid="{00000000-0005-0000-0000-000083230000}"/>
    <cellStyle name="Percent 8 2 4 2 5 2" xfId="9092" xr:uid="{00000000-0005-0000-0000-000084230000}"/>
    <cellStyle name="Percent 8 2 4 2 5 3" xfId="9093" xr:uid="{00000000-0005-0000-0000-000085230000}"/>
    <cellStyle name="Percent 8 2 4 2 6" xfId="9094" xr:uid="{00000000-0005-0000-0000-000086230000}"/>
    <cellStyle name="Percent 8 2 4 2 6 2" xfId="9095" xr:uid="{00000000-0005-0000-0000-000087230000}"/>
    <cellStyle name="Percent 8 2 4 2 6 3" xfId="9096" xr:uid="{00000000-0005-0000-0000-000088230000}"/>
    <cellStyle name="Percent 8 2 4 2 7" xfId="9097" xr:uid="{00000000-0005-0000-0000-000089230000}"/>
    <cellStyle name="Percent 8 2 4 2 7 2" xfId="9098" xr:uid="{00000000-0005-0000-0000-00008A230000}"/>
    <cellStyle name="Percent 8 2 4 2 7 3" xfId="9099" xr:uid="{00000000-0005-0000-0000-00008B230000}"/>
    <cellStyle name="Percent 8 2 4 2 8" xfId="9100" xr:uid="{00000000-0005-0000-0000-00008C230000}"/>
    <cellStyle name="Percent 8 2 4 2 9" xfId="9101" xr:uid="{00000000-0005-0000-0000-00008D230000}"/>
    <cellStyle name="Percent 8 2 4 3" xfId="9102" xr:uid="{00000000-0005-0000-0000-00008E230000}"/>
    <cellStyle name="Percent 8 2 4 3 2" xfId="9103" xr:uid="{00000000-0005-0000-0000-00008F230000}"/>
    <cellStyle name="Percent 8 2 4 3 3" xfId="9104" xr:uid="{00000000-0005-0000-0000-000090230000}"/>
    <cellStyle name="Percent 8 2 4 4" xfId="9105" xr:uid="{00000000-0005-0000-0000-000091230000}"/>
    <cellStyle name="Percent 8 2 4 4 2" xfId="9106" xr:uid="{00000000-0005-0000-0000-000092230000}"/>
    <cellStyle name="Percent 8 2 4 4 3" xfId="9107" xr:uid="{00000000-0005-0000-0000-000093230000}"/>
    <cellStyle name="Percent 8 2 4 5" xfId="9108" xr:uid="{00000000-0005-0000-0000-000094230000}"/>
    <cellStyle name="Percent 8 2 4 5 2" xfId="9109" xr:uid="{00000000-0005-0000-0000-000095230000}"/>
    <cellStyle name="Percent 8 2 4 5 3" xfId="9110" xr:uid="{00000000-0005-0000-0000-000096230000}"/>
    <cellStyle name="Percent 8 2 4 6" xfId="9111" xr:uid="{00000000-0005-0000-0000-000097230000}"/>
    <cellStyle name="Percent 8 2 4 6 2" xfId="9112" xr:uid="{00000000-0005-0000-0000-000098230000}"/>
    <cellStyle name="Percent 8 2 4 6 3" xfId="9113" xr:uid="{00000000-0005-0000-0000-000099230000}"/>
    <cellStyle name="Percent 8 2 4 7" xfId="9114" xr:uid="{00000000-0005-0000-0000-00009A230000}"/>
    <cellStyle name="Percent 8 2 4 7 2" xfId="9115" xr:uid="{00000000-0005-0000-0000-00009B230000}"/>
    <cellStyle name="Percent 8 2 4 7 3" xfId="9116" xr:uid="{00000000-0005-0000-0000-00009C230000}"/>
    <cellStyle name="Percent 8 2 4 8" xfId="9117" xr:uid="{00000000-0005-0000-0000-00009D230000}"/>
    <cellStyle name="Percent 8 2 4 8 2" xfId="9118" xr:uid="{00000000-0005-0000-0000-00009E230000}"/>
    <cellStyle name="Percent 8 2 4 8 3" xfId="9119" xr:uid="{00000000-0005-0000-0000-00009F230000}"/>
    <cellStyle name="Percent 8 2 4 9" xfId="9120" xr:uid="{00000000-0005-0000-0000-0000A0230000}"/>
    <cellStyle name="Percent 8 2 5" xfId="9121" xr:uid="{00000000-0005-0000-0000-0000A1230000}"/>
    <cellStyle name="Percent 8 2 5 2" xfId="9122" xr:uid="{00000000-0005-0000-0000-0000A2230000}"/>
    <cellStyle name="Percent 8 2 5 2 2" xfId="9123" xr:uid="{00000000-0005-0000-0000-0000A3230000}"/>
    <cellStyle name="Percent 8 2 5 2 3" xfId="9124" xr:uid="{00000000-0005-0000-0000-0000A4230000}"/>
    <cellStyle name="Percent 8 2 5 3" xfId="9125" xr:uid="{00000000-0005-0000-0000-0000A5230000}"/>
    <cellStyle name="Percent 8 2 5 3 2" xfId="9126" xr:uid="{00000000-0005-0000-0000-0000A6230000}"/>
    <cellStyle name="Percent 8 2 5 3 3" xfId="9127" xr:uid="{00000000-0005-0000-0000-0000A7230000}"/>
    <cellStyle name="Percent 8 2 5 4" xfId="9128" xr:uid="{00000000-0005-0000-0000-0000A8230000}"/>
    <cellStyle name="Percent 8 2 5 4 2" xfId="9129" xr:uid="{00000000-0005-0000-0000-0000A9230000}"/>
    <cellStyle name="Percent 8 2 5 4 3" xfId="9130" xr:uid="{00000000-0005-0000-0000-0000AA230000}"/>
    <cellStyle name="Percent 8 2 5 5" xfId="9131" xr:uid="{00000000-0005-0000-0000-0000AB230000}"/>
    <cellStyle name="Percent 8 2 5 5 2" xfId="9132" xr:uid="{00000000-0005-0000-0000-0000AC230000}"/>
    <cellStyle name="Percent 8 2 5 5 3" xfId="9133" xr:uid="{00000000-0005-0000-0000-0000AD230000}"/>
    <cellStyle name="Percent 8 2 5 6" xfId="9134" xr:uid="{00000000-0005-0000-0000-0000AE230000}"/>
    <cellStyle name="Percent 8 2 5 6 2" xfId="9135" xr:uid="{00000000-0005-0000-0000-0000AF230000}"/>
    <cellStyle name="Percent 8 2 5 6 3" xfId="9136" xr:uid="{00000000-0005-0000-0000-0000B0230000}"/>
    <cellStyle name="Percent 8 2 5 7" xfId="9137" xr:uid="{00000000-0005-0000-0000-0000B1230000}"/>
    <cellStyle name="Percent 8 2 5 7 2" xfId="9138" xr:uid="{00000000-0005-0000-0000-0000B2230000}"/>
    <cellStyle name="Percent 8 2 5 7 3" xfId="9139" xr:uid="{00000000-0005-0000-0000-0000B3230000}"/>
    <cellStyle name="Percent 8 2 5 8" xfId="9140" xr:uid="{00000000-0005-0000-0000-0000B4230000}"/>
    <cellStyle name="Percent 8 2 5 9" xfId="9141" xr:uid="{00000000-0005-0000-0000-0000B5230000}"/>
    <cellStyle name="Percent 8 2 6" xfId="9142" xr:uid="{00000000-0005-0000-0000-0000B6230000}"/>
    <cellStyle name="Percent 8 2 6 2" xfId="9143" xr:uid="{00000000-0005-0000-0000-0000B7230000}"/>
    <cellStyle name="Percent 8 2 6 3" xfId="9144" xr:uid="{00000000-0005-0000-0000-0000B8230000}"/>
    <cellStyle name="Percent 8 2 7" xfId="9145" xr:uid="{00000000-0005-0000-0000-0000B9230000}"/>
    <cellStyle name="Percent 8 2 7 2" xfId="9146" xr:uid="{00000000-0005-0000-0000-0000BA230000}"/>
    <cellStyle name="Percent 8 2 7 3" xfId="9147" xr:uid="{00000000-0005-0000-0000-0000BB230000}"/>
    <cellStyle name="Percent 8 2 8" xfId="9148" xr:uid="{00000000-0005-0000-0000-0000BC230000}"/>
    <cellStyle name="Percent 8 2 8 2" xfId="9149" xr:uid="{00000000-0005-0000-0000-0000BD230000}"/>
    <cellStyle name="Percent 8 2 8 3" xfId="9150" xr:uid="{00000000-0005-0000-0000-0000BE230000}"/>
    <cellStyle name="Percent 8 2 9" xfId="9151" xr:uid="{00000000-0005-0000-0000-0000BF230000}"/>
    <cellStyle name="Percent 8 2 9 2" xfId="9152" xr:uid="{00000000-0005-0000-0000-0000C0230000}"/>
    <cellStyle name="Percent 8 2 9 3" xfId="9153" xr:uid="{00000000-0005-0000-0000-0000C1230000}"/>
    <cellStyle name="Percent 8 3" xfId="9154" xr:uid="{00000000-0005-0000-0000-0000C2230000}"/>
    <cellStyle name="Percent 8 3 10" xfId="9155" xr:uid="{00000000-0005-0000-0000-0000C3230000}"/>
    <cellStyle name="Percent 8 3 10 2" xfId="9156" xr:uid="{00000000-0005-0000-0000-0000C4230000}"/>
    <cellStyle name="Percent 8 3 10 3" xfId="9157" xr:uid="{00000000-0005-0000-0000-0000C5230000}"/>
    <cellStyle name="Percent 8 3 11" xfId="9158" xr:uid="{00000000-0005-0000-0000-0000C6230000}"/>
    <cellStyle name="Percent 8 3 12" xfId="9159" xr:uid="{00000000-0005-0000-0000-0000C7230000}"/>
    <cellStyle name="Percent 8 3 2" xfId="9160" xr:uid="{00000000-0005-0000-0000-0000C8230000}"/>
    <cellStyle name="Percent 8 3 2 10" xfId="9161" xr:uid="{00000000-0005-0000-0000-0000C9230000}"/>
    <cellStyle name="Percent 8 3 2 2" xfId="9162" xr:uid="{00000000-0005-0000-0000-0000CA230000}"/>
    <cellStyle name="Percent 8 3 2 2 2" xfId="9163" xr:uid="{00000000-0005-0000-0000-0000CB230000}"/>
    <cellStyle name="Percent 8 3 2 2 2 2" xfId="9164" xr:uid="{00000000-0005-0000-0000-0000CC230000}"/>
    <cellStyle name="Percent 8 3 2 2 2 3" xfId="9165" xr:uid="{00000000-0005-0000-0000-0000CD230000}"/>
    <cellStyle name="Percent 8 3 2 2 3" xfId="9166" xr:uid="{00000000-0005-0000-0000-0000CE230000}"/>
    <cellStyle name="Percent 8 3 2 2 3 2" xfId="9167" xr:uid="{00000000-0005-0000-0000-0000CF230000}"/>
    <cellStyle name="Percent 8 3 2 2 3 3" xfId="9168" xr:uid="{00000000-0005-0000-0000-0000D0230000}"/>
    <cellStyle name="Percent 8 3 2 2 4" xfId="9169" xr:uid="{00000000-0005-0000-0000-0000D1230000}"/>
    <cellStyle name="Percent 8 3 2 2 4 2" xfId="9170" xr:uid="{00000000-0005-0000-0000-0000D2230000}"/>
    <cellStyle name="Percent 8 3 2 2 4 3" xfId="9171" xr:uid="{00000000-0005-0000-0000-0000D3230000}"/>
    <cellStyle name="Percent 8 3 2 2 5" xfId="9172" xr:uid="{00000000-0005-0000-0000-0000D4230000}"/>
    <cellStyle name="Percent 8 3 2 2 5 2" xfId="9173" xr:uid="{00000000-0005-0000-0000-0000D5230000}"/>
    <cellStyle name="Percent 8 3 2 2 5 3" xfId="9174" xr:uid="{00000000-0005-0000-0000-0000D6230000}"/>
    <cellStyle name="Percent 8 3 2 2 6" xfId="9175" xr:uid="{00000000-0005-0000-0000-0000D7230000}"/>
    <cellStyle name="Percent 8 3 2 2 6 2" xfId="9176" xr:uid="{00000000-0005-0000-0000-0000D8230000}"/>
    <cellStyle name="Percent 8 3 2 2 6 3" xfId="9177" xr:uid="{00000000-0005-0000-0000-0000D9230000}"/>
    <cellStyle name="Percent 8 3 2 2 7" xfId="9178" xr:uid="{00000000-0005-0000-0000-0000DA230000}"/>
    <cellStyle name="Percent 8 3 2 2 7 2" xfId="9179" xr:uid="{00000000-0005-0000-0000-0000DB230000}"/>
    <cellStyle name="Percent 8 3 2 2 7 3" xfId="9180" xr:uid="{00000000-0005-0000-0000-0000DC230000}"/>
    <cellStyle name="Percent 8 3 2 2 8" xfId="9181" xr:uid="{00000000-0005-0000-0000-0000DD230000}"/>
    <cellStyle name="Percent 8 3 2 2 9" xfId="9182" xr:uid="{00000000-0005-0000-0000-0000DE230000}"/>
    <cellStyle name="Percent 8 3 2 3" xfId="9183" xr:uid="{00000000-0005-0000-0000-0000DF230000}"/>
    <cellStyle name="Percent 8 3 2 3 2" xfId="9184" xr:uid="{00000000-0005-0000-0000-0000E0230000}"/>
    <cellStyle name="Percent 8 3 2 3 3" xfId="9185" xr:uid="{00000000-0005-0000-0000-0000E1230000}"/>
    <cellStyle name="Percent 8 3 2 4" xfId="9186" xr:uid="{00000000-0005-0000-0000-0000E2230000}"/>
    <cellStyle name="Percent 8 3 2 4 2" xfId="9187" xr:uid="{00000000-0005-0000-0000-0000E3230000}"/>
    <cellStyle name="Percent 8 3 2 4 3" xfId="9188" xr:uid="{00000000-0005-0000-0000-0000E4230000}"/>
    <cellStyle name="Percent 8 3 2 5" xfId="9189" xr:uid="{00000000-0005-0000-0000-0000E5230000}"/>
    <cellStyle name="Percent 8 3 2 5 2" xfId="9190" xr:uid="{00000000-0005-0000-0000-0000E6230000}"/>
    <cellStyle name="Percent 8 3 2 5 3" xfId="9191" xr:uid="{00000000-0005-0000-0000-0000E7230000}"/>
    <cellStyle name="Percent 8 3 2 6" xfId="9192" xr:uid="{00000000-0005-0000-0000-0000E8230000}"/>
    <cellStyle name="Percent 8 3 2 6 2" xfId="9193" xr:uid="{00000000-0005-0000-0000-0000E9230000}"/>
    <cellStyle name="Percent 8 3 2 6 3" xfId="9194" xr:uid="{00000000-0005-0000-0000-0000EA230000}"/>
    <cellStyle name="Percent 8 3 2 7" xfId="9195" xr:uid="{00000000-0005-0000-0000-0000EB230000}"/>
    <cellStyle name="Percent 8 3 2 7 2" xfId="9196" xr:uid="{00000000-0005-0000-0000-0000EC230000}"/>
    <cellStyle name="Percent 8 3 2 7 3" xfId="9197" xr:uid="{00000000-0005-0000-0000-0000ED230000}"/>
    <cellStyle name="Percent 8 3 2 8" xfId="9198" xr:uid="{00000000-0005-0000-0000-0000EE230000}"/>
    <cellStyle name="Percent 8 3 2 8 2" xfId="9199" xr:uid="{00000000-0005-0000-0000-0000EF230000}"/>
    <cellStyle name="Percent 8 3 2 8 3" xfId="9200" xr:uid="{00000000-0005-0000-0000-0000F0230000}"/>
    <cellStyle name="Percent 8 3 2 9" xfId="9201" xr:uid="{00000000-0005-0000-0000-0000F1230000}"/>
    <cellStyle name="Percent 8 3 3" xfId="9202" xr:uid="{00000000-0005-0000-0000-0000F2230000}"/>
    <cellStyle name="Percent 8 3 3 10" xfId="9203" xr:uid="{00000000-0005-0000-0000-0000F3230000}"/>
    <cellStyle name="Percent 8 3 3 2" xfId="9204" xr:uid="{00000000-0005-0000-0000-0000F4230000}"/>
    <cellStyle name="Percent 8 3 3 2 2" xfId="9205" xr:uid="{00000000-0005-0000-0000-0000F5230000}"/>
    <cellStyle name="Percent 8 3 3 2 2 2" xfId="9206" xr:uid="{00000000-0005-0000-0000-0000F6230000}"/>
    <cellStyle name="Percent 8 3 3 2 2 3" xfId="9207" xr:uid="{00000000-0005-0000-0000-0000F7230000}"/>
    <cellStyle name="Percent 8 3 3 2 3" xfId="9208" xr:uid="{00000000-0005-0000-0000-0000F8230000}"/>
    <cellStyle name="Percent 8 3 3 2 3 2" xfId="9209" xr:uid="{00000000-0005-0000-0000-0000F9230000}"/>
    <cellStyle name="Percent 8 3 3 2 3 3" xfId="9210" xr:uid="{00000000-0005-0000-0000-0000FA230000}"/>
    <cellStyle name="Percent 8 3 3 2 4" xfId="9211" xr:uid="{00000000-0005-0000-0000-0000FB230000}"/>
    <cellStyle name="Percent 8 3 3 2 4 2" xfId="9212" xr:uid="{00000000-0005-0000-0000-0000FC230000}"/>
    <cellStyle name="Percent 8 3 3 2 4 3" xfId="9213" xr:uid="{00000000-0005-0000-0000-0000FD230000}"/>
    <cellStyle name="Percent 8 3 3 2 5" xfId="9214" xr:uid="{00000000-0005-0000-0000-0000FE230000}"/>
    <cellStyle name="Percent 8 3 3 2 5 2" xfId="9215" xr:uid="{00000000-0005-0000-0000-0000FF230000}"/>
    <cellStyle name="Percent 8 3 3 2 5 3" xfId="9216" xr:uid="{00000000-0005-0000-0000-000000240000}"/>
    <cellStyle name="Percent 8 3 3 2 6" xfId="9217" xr:uid="{00000000-0005-0000-0000-000001240000}"/>
    <cellStyle name="Percent 8 3 3 2 6 2" xfId="9218" xr:uid="{00000000-0005-0000-0000-000002240000}"/>
    <cellStyle name="Percent 8 3 3 2 6 3" xfId="9219" xr:uid="{00000000-0005-0000-0000-000003240000}"/>
    <cellStyle name="Percent 8 3 3 2 7" xfId="9220" xr:uid="{00000000-0005-0000-0000-000004240000}"/>
    <cellStyle name="Percent 8 3 3 2 7 2" xfId="9221" xr:uid="{00000000-0005-0000-0000-000005240000}"/>
    <cellStyle name="Percent 8 3 3 2 7 3" xfId="9222" xr:uid="{00000000-0005-0000-0000-000006240000}"/>
    <cellStyle name="Percent 8 3 3 2 8" xfId="9223" xr:uid="{00000000-0005-0000-0000-000007240000}"/>
    <cellStyle name="Percent 8 3 3 2 9" xfId="9224" xr:uid="{00000000-0005-0000-0000-000008240000}"/>
    <cellStyle name="Percent 8 3 3 3" xfId="9225" xr:uid="{00000000-0005-0000-0000-000009240000}"/>
    <cellStyle name="Percent 8 3 3 3 2" xfId="9226" xr:uid="{00000000-0005-0000-0000-00000A240000}"/>
    <cellStyle name="Percent 8 3 3 3 3" xfId="9227" xr:uid="{00000000-0005-0000-0000-00000B240000}"/>
    <cellStyle name="Percent 8 3 3 4" xfId="9228" xr:uid="{00000000-0005-0000-0000-00000C240000}"/>
    <cellStyle name="Percent 8 3 3 4 2" xfId="9229" xr:uid="{00000000-0005-0000-0000-00000D240000}"/>
    <cellStyle name="Percent 8 3 3 4 3" xfId="9230" xr:uid="{00000000-0005-0000-0000-00000E240000}"/>
    <cellStyle name="Percent 8 3 3 5" xfId="9231" xr:uid="{00000000-0005-0000-0000-00000F240000}"/>
    <cellStyle name="Percent 8 3 3 5 2" xfId="9232" xr:uid="{00000000-0005-0000-0000-000010240000}"/>
    <cellStyle name="Percent 8 3 3 5 3" xfId="9233" xr:uid="{00000000-0005-0000-0000-000011240000}"/>
    <cellStyle name="Percent 8 3 3 6" xfId="9234" xr:uid="{00000000-0005-0000-0000-000012240000}"/>
    <cellStyle name="Percent 8 3 3 6 2" xfId="9235" xr:uid="{00000000-0005-0000-0000-000013240000}"/>
    <cellStyle name="Percent 8 3 3 6 3" xfId="9236" xr:uid="{00000000-0005-0000-0000-000014240000}"/>
    <cellStyle name="Percent 8 3 3 7" xfId="9237" xr:uid="{00000000-0005-0000-0000-000015240000}"/>
    <cellStyle name="Percent 8 3 3 7 2" xfId="9238" xr:uid="{00000000-0005-0000-0000-000016240000}"/>
    <cellStyle name="Percent 8 3 3 7 3" xfId="9239" xr:uid="{00000000-0005-0000-0000-000017240000}"/>
    <cellStyle name="Percent 8 3 3 8" xfId="9240" xr:uid="{00000000-0005-0000-0000-000018240000}"/>
    <cellStyle name="Percent 8 3 3 8 2" xfId="9241" xr:uid="{00000000-0005-0000-0000-000019240000}"/>
    <cellStyle name="Percent 8 3 3 8 3" xfId="9242" xr:uid="{00000000-0005-0000-0000-00001A240000}"/>
    <cellStyle name="Percent 8 3 3 9" xfId="9243" xr:uid="{00000000-0005-0000-0000-00001B240000}"/>
    <cellStyle name="Percent 8 3 4" xfId="9244" xr:uid="{00000000-0005-0000-0000-00001C240000}"/>
    <cellStyle name="Percent 8 3 4 2" xfId="9245" xr:uid="{00000000-0005-0000-0000-00001D240000}"/>
    <cellStyle name="Percent 8 3 4 2 2" xfId="9246" xr:uid="{00000000-0005-0000-0000-00001E240000}"/>
    <cellStyle name="Percent 8 3 4 2 3" xfId="9247" xr:uid="{00000000-0005-0000-0000-00001F240000}"/>
    <cellStyle name="Percent 8 3 4 3" xfId="9248" xr:uid="{00000000-0005-0000-0000-000020240000}"/>
    <cellStyle name="Percent 8 3 4 3 2" xfId="9249" xr:uid="{00000000-0005-0000-0000-000021240000}"/>
    <cellStyle name="Percent 8 3 4 3 3" xfId="9250" xr:uid="{00000000-0005-0000-0000-000022240000}"/>
    <cellStyle name="Percent 8 3 4 4" xfId="9251" xr:uid="{00000000-0005-0000-0000-000023240000}"/>
    <cellStyle name="Percent 8 3 4 4 2" xfId="9252" xr:uid="{00000000-0005-0000-0000-000024240000}"/>
    <cellStyle name="Percent 8 3 4 4 3" xfId="9253" xr:uid="{00000000-0005-0000-0000-000025240000}"/>
    <cellStyle name="Percent 8 3 4 5" xfId="9254" xr:uid="{00000000-0005-0000-0000-000026240000}"/>
    <cellStyle name="Percent 8 3 4 5 2" xfId="9255" xr:uid="{00000000-0005-0000-0000-000027240000}"/>
    <cellStyle name="Percent 8 3 4 5 3" xfId="9256" xr:uid="{00000000-0005-0000-0000-000028240000}"/>
    <cellStyle name="Percent 8 3 4 6" xfId="9257" xr:uid="{00000000-0005-0000-0000-000029240000}"/>
    <cellStyle name="Percent 8 3 4 6 2" xfId="9258" xr:uid="{00000000-0005-0000-0000-00002A240000}"/>
    <cellStyle name="Percent 8 3 4 6 3" xfId="9259" xr:uid="{00000000-0005-0000-0000-00002B240000}"/>
    <cellStyle name="Percent 8 3 4 7" xfId="9260" xr:uid="{00000000-0005-0000-0000-00002C240000}"/>
    <cellStyle name="Percent 8 3 4 7 2" xfId="9261" xr:uid="{00000000-0005-0000-0000-00002D240000}"/>
    <cellStyle name="Percent 8 3 4 7 3" xfId="9262" xr:uid="{00000000-0005-0000-0000-00002E240000}"/>
    <cellStyle name="Percent 8 3 4 8" xfId="9263" xr:uid="{00000000-0005-0000-0000-00002F240000}"/>
    <cellStyle name="Percent 8 3 4 9" xfId="9264" xr:uid="{00000000-0005-0000-0000-000030240000}"/>
    <cellStyle name="Percent 8 3 5" xfId="9265" xr:uid="{00000000-0005-0000-0000-000031240000}"/>
    <cellStyle name="Percent 8 3 5 2" xfId="9266" xr:uid="{00000000-0005-0000-0000-000032240000}"/>
    <cellStyle name="Percent 8 3 5 3" xfId="9267" xr:uid="{00000000-0005-0000-0000-000033240000}"/>
    <cellStyle name="Percent 8 3 6" xfId="9268" xr:uid="{00000000-0005-0000-0000-000034240000}"/>
    <cellStyle name="Percent 8 3 6 2" xfId="9269" xr:uid="{00000000-0005-0000-0000-000035240000}"/>
    <cellStyle name="Percent 8 3 6 3" xfId="9270" xr:uid="{00000000-0005-0000-0000-000036240000}"/>
    <cellStyle name="Percent 8 3 7" xfId="9271" xr:uid="{00000000-0005-0000-0000-000037240000}"/>
    <cellStyle name="Percent 8 3 7 2" xfId="9272" xr:uid="{00000000-0005-0000-0000-000038240000}"/>
    <cellStyle name="Percent 8 3 7 3" xfId="9273" xr:uid="{00000000-0005-0000-0000-000039240000}"/>
    <cellStyle name="Percent 8 3 8" xfId="9274" xr:uid="{00000000-0005-0000-0000-00003A240000}"/>
    <cellStyle name="Percent 8 3 8 2" xfId="9275" xr:uid="{00000000-0005-0000-0000-00003B240000}"/>
    <cellStyle name="Percent 8 3 8 3" xfId="9276" xr:uid="{00000000-0005-0000-0000-00003C240000}"/>
    <cellStyle name="Percent 8 3 9" xfId="9277" xr:uid="{00000000-0005-0000-0000-00003D240000}"/>
    <cellStyle name="Percent 8 3 9 2" xfId="9278" xr:uid="{00000000-0005-0000-0000-00003E240000}"/>
    <cellStyle name="Percent 8 3 9 3" xfId="9279" xr:uid="{00000000-0005-0000-0000-00003F240000}"/>
    <cellStyle name="Percent 8 4" xfId="9280" xr:uid="{00000000-0005-0000-0000-000040240000}"/>
    <cellStyle name="Percent 8 4 10" xfId="9281" xr:uid="{00000000-0005-0000-0000-000041240000}"/>
    <cellStyle name="Percent 8 4 2" xfId="9282" xr:uid="{00000000-0005-0000-0000-000042240000}"/>
    <cellStyle name="Percent 8 4 2 2" xfId="9283" xr:uid="{00000000-0005-0000-0000-000043240000}"/>
    <cellStyle name="Percent 8 4 2 2 2" xfId="9284" xr:uid="{00000000-0005-0000-0000-000044240000}"/>
    <cellStyle name="Percent 8 4 2 2 3" xfId="9285" xr:uid="{00000000-0005-0000-0000-000045240000}"/>
    <cellStyle name="Percent 8 4 2 3" xfId="9286" xr:uid="{00000000-0005-0000-0000-000046240000}"/>
    <cellStyle name="Percent 8 4 2 3 2" xfId="9287" xr:uid="{00000000-0005-0000-0000-000047240000}"/>
    <cellStyle name="Percent 8 4 2 3 3" xfId="9288" xr:uid="{00000000-0005-0000-0000-000048240000}"/>
    <cellStyle name="Percent 8 4 2 4" xfId="9289" xr:uid="{00000000-0005-0000-0000-000049240000}"/>
    <cellStyle name="Percent 8 4 2 4 2" xfId="9290" xr:uid="{00000000-0005-0000-0000-00004A240000}"/>
    <cellStyle name="Percent 8 4 2 4 3" xfId="9291" xr:uid="{00000000-0005-0000-0000-00004B240000}"/>
    <cellStyle name="Percent 8 4 2 5" xfId="9292" xr:uid="{00000000-0005-0000-0000-00004C240000}"/>
    <cellStyle name="Percent 8 4 2 5 2" xfId="9293" xr:uid="{00000000-0005-0000-0000-00004D240000}"/>
    <cellStyle name="Percent 8 4 2 5 3" xfId="9294" xr:uid="{00000000-0005-0000-0000-00004E240000}"/>
    <cellStyle name="Percent 8 4 2 6" xfId="9295" xr:uid="{00000000-0005-0000-0000-00004F240000}"/>
    <cellStyle name="Percent 8 4 2 6 2" xfId="9296" xr:uid="{00000000-0005-0000-0000-000050240000}"/>
    <cellStyle name="Percent 8 4 2 6 3" xfId="9297" xr:uid="{00000000-0005-0000-0000-000051240000}"/>
    <cellStyle name="Percent 8 4 2 7" xfId="9298" xr:uid="{00000000-0005-0000-0000-000052240000}"/>
    <cellStyle name="Percent 8 4 2 7 2" xfId="9299" xr:uid="{00000000-0005-0000-0000-000053240000}"/>
    <cellStyle name="Percent 8 4 2 7 3" xfId="9300" xr:uid="{00000000-0005-0000-0000-000054240000}"/>
    <cellStyle name="Percent 8 4 2 8" xfId="9301" xr:uid="{00000000-0005-0000-0000-000055240000}"/>
    <cellStyle name="Percent 8 4 2 9" xfId="9302" xr:uid="{00000000-0005-0000-0000-000056240000}"/>
    <cellStyle name="Percent 8 4 3" xfId="9303" xr:uid="{00000000-0005-0000-0000-000057240000}"/>
    <cellStyle name="Percent 8 4 3 2" xfId="9304" xr:uid="{00000000-0005-0000-0000-000058240000}"/>
    <cellStyle name="Percent 8 4 3 3" xfId="9305" xr:uid="{00000000-0005-0000-0000-000059240000}"/>
    <cellStyle name="Percent 8 4 4" xfId="9306" xr:uid="{00000000-0005-0000-0000-00005A240000}"/>
    <cellStyle name="Percent 8 4 4 2" xfId="9307" xr:uid="{00000000-0005-0000-0000-00005B240000}"/>
    <cellStyle name="Percent 8 4 4 3" xfId="9308" xr:uid="{00000000-0005-0000-0000-00005C240000}"/>
    <cellStyle name="Percent 8 4 5" xfId="9309" xr:uid="{00000000-0005-0000-0000-00005D240000}"/>
    <cellStyle name="Percent 8 4 5 2" xfId="9310" xr:uid="{00000000-0005-0000-0000-00005E240000}"/>
    <cellStyle name="Percent 8 4 5 3" xfId="9311" xr:uid="{00000000-0005-0000-0000-00005F240000}"/>
    <cellStyle name="Percent 8 4 6" xfId="9312" xr:uid="{00000000-0005-0000-0000-000060240000}"/>
    <cellStyle name="Percent 8 4 6 2" xfId="9313" xr:uid="{00000000-0005-0000-0000-000061240000}"/>
    <cellStyle name="Percent 8 4 6 3" xfId="9314" xr:uid="{00000000-0005-0000-0000-000062240000}"/>
    <cellStyle name="Percent 8 4 7" xfId="9315" xr:uid="{00000000-0005-0000-0000-000063240000}"/>
    <cellStyle name="Percent 8 4 7 2" xfId="9316" xr:uid="{00000000-0005-0000-0000-000064240000}"/>
    <cellStyle name="Percent 8 4 7 3" xfId="9317" xr:uid="{00000000-0005-0000-0000-000065240000}"/>
    <cellStyle name="Percent 8 4 8" xfId="9318" xr:uid="{00000000-0005-0000-0000-000066240000}"/>
    <cellStyle name="Percent 8 4 8 2" xfId="9319" xr:uid="{00000000-0005-0000-0000-000067240000}"/>
    <cellStyle name="Percent 8 4 8 3" xfId="9320" xr:uid="{00000000-0005-0000-0000-000068240000}"/>
    <cellStyle name="Percent 8 4 9" xfId="9321" xr:uid="{00000000-0005-0000-0000-000069240000}"/>
    <cellStyle name="Percent 8 5" xfId="9322" xr:uid="{00000000-0005-0000-0000-00006A240000}"/>
    <cellStyle name="Percent 8 5 10" xfId="9323" xr:uid="{00000000-0005-0000-0000-00006B240000}"/>
    <cellStyle name="Percent 8 5 2" xfId="9324" xr:uid="{00000000-0005-0000-0000-00006C240000}"/>
    <cellStyle name="Percent 8 5 2 2" xfId="9325" xr:uid="{00000000-0005-0000-0000-00006D240000}"/>
    <cellStyle name="Percent 8 5 2 2 2" xfId="9326" xr:uid="{00000000-0005-0000-0000-00006E240000}"/>
    <cellStyle name="Percent 8 5 2 2 3" xfId="9327" xr:uid="{00000000-0005-0000-0000-00006F240000}"/>
    <cellStyle name="Percent 8 5 2 3" xfId="9328" xr:uid="{00000000-0005-0000-0000-000070240000}"/>
    <cellStyle name="Percent 8 5 2 3 2" xfId="9329" xr:uid="{00000000-0005-0000-0000-000071240000}"/>
    <cellStyle name="Percent 8 5 2 3 3" xfId="9330" xr:uid="{00000000-0005-0000-0000-000072240000}"/>
    <cellStyle name="Percent 8 5 2 4" xfId="9331" xr:uid="{00000000-0005-0000-0000-000073240000}"/>
    <cellStyle name="Percent 8 5 2 4 2" xfId="9332" xr:uid="{00000000-0005-0000-0000-000074240000}"/>
    <cellStyle name="Percent 8 5 2 4 3" xfId="9333" xr:uid="{00000000-0005-0000-0000-000075240000}"/>
    <cellStyle name="Percent 8 5 2 5" xfId="9334" xr:uid="{00000000-0005-0000-0000-000076240000}"/>
    <cellStyle name="Percent 8 5 2 5 2" xfId="9335" xr:uid="{00000000-0005-0000-0000-000077240000}"/>
    <cellStyle name="Percent 8 5 2 5 3" xfId="9336" xr:uid="{00000000-0005-0000-0000-000078240000}"/>
    <cellStyle name="Percent 8 5 2 6" xfId="9337" xr:uid="{00000000-0005-0000-0000-000079240000}"/>
    <cellStyle name="Percent 8 5 2 6 2" xfId="9338" xr:uid="{00000000-0005-0000-0000-00007A240000}"/>
    <cellStyle name="Percent 8 5 2 6 3" xfId="9339" xr:uid="{00000000-0005-0000-0000-00007B240000}"/>
    <cellStyle name="Percent 8 5 2 7" xfId="9340" xr:uid="{00000000-0005-0000-0000-00007C240000}"/>
    <cellStyle name="Percent 8 5 2 7 2" xfId="9341" xr:uid="{00000000-0005-0000-0000-00007D240000}"/>
    <cellStyle name="Percent 8 5 2 7 3" xfId="9342" xr:uid="{00000000-0005-0000-0000-00007E240000}"/>
    <cellStyle name="Percent 8 5 2 8" xfId="9343" xr:uid="{00000000-0005-0000-0000-00007F240000}"/>
    <cellStyle name="Percent 8 5 2 9" xfId="9344" xr:uid="{00000000-0005-0000-0000-000080240000}"/>
    <cellStyle name="Percent 8 5 3" xfId="9345" xr:uid="{00000000-0005-0000-0000-000081240000}"/>
    <cellStyle name="Percent 8 5 3 2" xfId="9346" xr:uid="{00000000-0005-0000-0000-000082240000}"/>
    <cellStyle name="Percent 8 5 3 3" xfId="9347" xr:uid="{00000000-0005-0000-0000-000083240000}"/>
    <cellStyle name="Percent 8 5 4" xfId="9348" xr:uid="{00000000-0005-0000-0000-000084240000}"/>
    <cellStyle name="Percent 8 5 4 2" xfId="9349" xr:uid="{00000000-0005-0000-0000-000085240000}"/>
    <cellStyle name="Percent 8 5 4 3" xfId="9350" xr:uid="{00000000-0005-0000-0000-000086240000}"/>
    <cellStyle name="Percent 8 5 5" xfId="9351" xr:uid="{00000000-0005-0000-0000-000087240000}"/>
    <cellStyle name="Percent 8 5 5 2" xfId="9352" xr:uid="{00000000-0005-0000-0000-000088240000}"/>
    <cellStyle name="Percent 8 5 5 3" xfId="9353" xr:uid="{00000000-0005-0000-0000-000089240000}"/>
    <cellStyle name="Percent 8 5 6" xfId="9354" xr:uid="{00000000-0005-0000-0000-00008A240000}"/>
    <cellStyle name="Percent 8 5 6 2" xfId="9355" xr:uid="{00000000-0005-0000-0000-00008B240000}"/>
    <cellStyle name="Percent 8 5 6 3" xfId="9356" xr:uid="{00000000-0005-0000-0000-00008C240000}"/>
    <cellStyle name="Percent 8 5 7" xfId="9357" xr:uid="{00000000-0005-0000-0000-00008D240000}"/>
    <cellStyle name="Percent 8 5 7 2" xfId="9358" xr:uid="{00000000-0005-0000-0000-00008E240000}"/>
    <cellStyle name="Percent 8 5 7 3" xfId="9359" xr:uid="{00000000-0005-0000-0000-00008F240000}"/>
    <cellStyle name="Percent 8 5 8" xfId="9360" xr:uid="{00000000-0005-0000-0000-000090240000}"/>
    <cellStyle name="Percent 8 5 8 2" xfId="9361" xr:uid="{00000000-0005-0000-0000-000091240000}"/>
    <cellStyle name="Percent 8 5 8 3" xfId="9362" xr:uid="{00000000-0005-0000-0000-000092240000}"/>
    <cellStyle name="Percent 8 5 9" xfId="9363" xr:uid="{00000000-0005-0000-0000-000093240000}"/>
    <cellStyle name="Percent 8 6" xfId="9364" xr:uid="{00000000-0005-0000-0000-000094240000}"/>
    <cellStyle name="Percent 8 6 2" xfId="9365" xr:uid="{00000000-0005-0000-0000-000095240000}"/>
    <cellStyle name="Percent 8 6 2 2" xfId="9366" xr:uid="{00000000-0005-0000-0000-000096240000}"/>
    <cellStyle name="Percent 8 6 2 3" xfId="9367" xr:uid="{00000000-0005-0000-0000-000097240000}"/>
    <cellStyle name="Percent 8 6 3" xfId="9368" xr:uid="{00000000-0005-0000-0000-000098240000}"/>
    <cellStyle name="Percent 8 6 3 2" xfId="9369" xr:uid="{00000000-0005-0000-0000-000099240000}"/>
    <cellStyle name="Percent 8 6 3 3" xfId="9370" xr:uid="{00000000-0005-0000-0000-00009A240000}"/>
    <cellStyle name="Percent 8 6 4" xfId="9371" xr:uid="{00000000-0005-0000-0000-00009B240000}"/>
    <cellStyle name="Percent 8 6 4 2" xfId="9372" xr:uid="{00000000-0005-0000-0000-00009C240000}"/>
    <cellStyle name="Percent 8 6 4 3" xfId="9373" xr:uid="{00000000-0005-0000-0000-00009D240000}"/>
    <cellStyle name="Percent 8 6 5" xfId="9374" xr:uid="{00000000-0005-0000-0000-00009E240000}"/>
    <cellStyle name="Percent 8 6 5 2" xfId="9375" xr:uid="{00000000-0005-0000-0000-00009F240000}"/>
    <cellStyle name="Percent 8 6 5 3" xfId="9376" xr:uid="{00000000-0005-0000-0000-0000A0240000}"/>
    <cellStyle name="Percent 8 6 6" xfId="9377" xr:uid="{00000000-0005-0000-0000-0000A1240000}"/>
    <cellStyle name="Percent 8 6 6 2" xfId="9378" xr:uid="{00000000-0005-0000-0000-0000A2240000}"/>
    <cellStyle name="Percent 8 6 6 3" xfId="9379" xr:uid="{00000000-0005-0000-0000-0000A3240000}"/>
    <cellStyle name="Percent 8 6 7" xfId="9380" xr:uid="{00000000-0005-0000-0000-0000A4240000}"/>
    <cellStyle name="Percent 8 6 7 2" xfId="9381" xr:uid="{00000000-0005-0000-0000-0000A5240000}"/>
    <cellStyle name="Percent 8 6 7 3" xfId="9382" xr:uid="{00000000-0005-0000-0000-0000A6240000}"/>
    <cellStyle name="Percent 8 6 8" xfId="9383" xr:uid="{00000000-0005-0000-0000-0000A7240000}"/>
    <cellStyle name="Percent 8 6 9" xfId="9384" xr:uid="{00000000-0005-0000-0000-0000A8240000}"/>
    <cellStyle name="Percent 8 7" xfId="9385" xr:uid="{00000000-0005-0000-0000-0000A9240000}"/>
    <cellStyle name="Percent 8 7 2" xfId="9386" xr:uid="{00000000-0005-0000-0000-0000AA240000}"/>
    <cellStyle name="Percent 8 7 3" xfId="9387" xr:uid="{00000000-0005-0000-0000-0000AB240000}"/>
    <cellStyle name="Percent 8 8" xfId="9388" xr:uid="{00000000-0005-0000-0000-0000AC240000}"/>
    <cellStyle name="Percent 8 8 2" xfId="9389" xr:uid="{00000000-0005-0000-0000-0000AD240000}"/>
    <cellStyle name="Percent 8 8 3" xfId="9390" xr:uid="{00000000-0005-0000-0000-0000AE240000}"/>
    <cellStyle name="Percent 8 9" xfId="9391" xr:uid="{00000000-0005-0000-0000-0000AF240000}"/>
    <cellStyle name="Percent 8 9 2" xfId="9392" xr:uid="{00000000-0005-0000-0000-0000B0240000}"/>
    <cellStyle name="Percent 8 9 3" xfId="9393" xr:uid="{00000000-0005-0000-0000-0000B1240000}"/>
    <cellStyle name="Percent 9" xfId="9394" xr:uid="{00000000-0005-0000-0000-0000B2240000}"/>
    <cellStyle name="Title 2" xfId="9395" xr:uid="{00000000-0005-0000-0000-0000B3240000}"/>
    <cellStyle name="Title 3" xfId="9396" xr:uid="{00000000-0005-0000-0000-0000B4240000}"/>
    <cellStyle name="Title 4" xfId="9397" xr:uid="{00000000-0005-0000-0000-0000B5240000}"/>
    <cellStyle name="Total 2" xfId="9398" xr:uid="{00000000-0005-0000-0000-0000B6240000}"/>
    <cellStyle name="Total 3" xfId="9399" xr:uid="{00000000-0005-0000-0000-0000B7240000}"/>
    <cellStyle name="Total 4" xfId="9400" xr:uid="{00000000-0005-0000-0000-0000B8240000}"/>
    <cellStyle name="Warning Text 2" xfId="9401" xr:uid="{00000000-0005-0000-0000-0000B9240000}"/>
    <cellStyle name="Warning Text 3" xfId="9402" xr:uid="{00000000-0005-0000-0000-0000BA240000}"/>
    <cellStyle name="Warning Text 4" xfId="9403" xr:uid="{00000000-0005-0000-0000-0000BB240000}"/>
  </cellStyles>
  <dxfs count="0"/>
  <tableStyles count="0" defaultTableStyle="TableStyleMedium2" defaultPivotStyle="PivotStyleLight16"/>
  <colors>
    <mruColors>
      <color rgb="FFCCC0D9"/>
      <color rgb="FF797979"/>
      <color rgb="FFC1C5CA"/>
      <color rgb="FF9293A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307975</xdr:colOff>
      <xdr:row>12</xdr:row>
      <xdr:rowOff>95250</xdr:rowOff>
    </xdr:from>
    <xdr:to>
      <xdr:col>6</xdr:col>
      <xdr:colOff>460375</xdr:colOff>
      <xdr:row>14</xdr:row>
      <xdr:rowOff>138430</xdr:rowOff>
    </xdr:to>
    <xdr:sp macro="" textlink="">
      <xdr:nvSpPr>
        <xdr:cNvPr id="20" name="Rectangle 19">
          <a:extLst>
            <a:ext uri="{FF2B5EF4-FFF2-40B4-BE49-F238E27FC236}">
              <a16:creationId xmlns:a16="http://schemas.microsoft.com/office/drawing/2014/main" id="{1AA57EFD-62FF-4CBB-8667-55F87896CFDE}"/>
            </a:ext>
          </a:extLst>
        </xdr:cNvPr>
        <xdr:cNvSpPr/>
      </xdr:nvSpPr>
      <xdr:spPr>
        <a:xfrm>
          <a:off x="8842375" y="4095750"/>
          <a:ext cx="1371600" cy="424180"/>
        </a:xfrm>
        <a:prstGeom prst="rect">
          <a:avLst/>
        </a:prstGeom>
        <a:solidFill>
          <a:srgbClr val="D3F0E0"/>
        </a:solidFill>
        <a:ln>
          <a:solidFill>
            <a:srgbClr val="86BF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Continue</a:t>
          </a:r>
        </a:p>
      </xdr:txBody>
    </xdr:sp>
    <xdr:clientData/>
  </xdr:twoCellAnchor>
  <xdr:twoCellAnchor>
    <xdr:from>
      <xdr:col>6</xdr:col>
      <xdr:colOff>584200</xdr:colOff>
      <xdr:row>12</xdr:row>
      <xdr:rowOff>76200</xdr:rowOff>
    </xdr:from>
    <xdr:to>
      <xdr:col>9</xdr:col>
      <xdr:colOff>127000</xdr:colOff>
      <xdr:row>14</xdr:row>
      <xdr:rowOff>119380</xdr:rowOff>
    </xdr:to>
    <xdr:sp macro="" textlink="">
      <xdr:nvSpPr>
        <xdr:cNvPr id="21" name="Rectangle 20">
          <a:extLst>
            <a:ext uri="{FF2B5EF4-FFF2-40B4-BE49-F238E27FC236}">
              <a16:creationId xmlns:a16="http://schemas.microsoft.com/office/drawing/2014/main" id="{41AB2C8C-3F67-400E-B7BD-2F0287310052}"/>
            </a:ext>
          </a:extLst>
        </xdr:cNvPr>
        <xdr:cNvSpPr/>
      </xdr:nvSpPr>
      <xdr:spPr>
        <a:xfrm>
          <a:off x="10337800" y="4076700"/>
          <a:ext cx="1371600" cy="424180"/>
        </a:xfrm>
        <a:prstGeom prst="rect">
          <a:avLst/>
        </a:prstGeom>
        <a:solidFill>
          <a:schemeClr val="bg1"/>
        </a:solidFill>
        <a:ln>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Continue</a:t>
          </a:r>
        </a:p>
      </xdr:txBody>
    </xdr:sp>
    <xdr:clientData/>
  </xdr:twoCellAnchor>
  <xdr:twoCellAnchor>
    <xdr:from>
      <xdr:col>4</xdr:col>
      <xdr:colOff>339725</xdr:colOff>
      <xdr:row>16</xdr:row>
      <xdr:rowOff>76200</xdr:rowOff>
    </xdr:from>
    <xdr:to>
      <xdr:col>6</xdr:col>
      <xdr:colOff>492125</xdr:colOff>
      <xdr:row>18</xdr:row>
      <xdr:rowOff>119380</xdr:rowOff>
    </xdr:to>
    <xdr:sp macro="" textlink="">
      <xdr:nvSpPr>
        <xdr:cNvPr id="22" name="Rectangle 21">
          <a:extLst>
            <a:ext uri="{FF2B5EF4-FFF2-40B4-BE49-F238E27FC236}">
              <a16:creationId xmlns:a16="http://schemas.microsoft.com/office/drawing/2014/main" id="{72D6E15B-EB7E-476D-8CF4-348EECA576B7}"/>
            </a:ext>
          </a:extLst>
        </xdr:cNvPr>
        <xdr:cNvSpPr/>
      </xdr:nvSpPr>
      <xdr:spPr>
        <a:xfrm>
          <a:off x="8874125" y="4838700"/>
          <a:ext cx="1371600" cy="424180"/>
        </a:xfrm>
        <a:prstGeom prst="rect">
          <a:avLst/>
        </a:prstGeom>
        <a:solidFill>
          <a:srgbClr val="D3F0E0"/>
        </a:solidFill>
        <a:ln>
          <a:solidFill>
            <a:srgbClr val="86BF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Cancel</a:t>
          </a:r>
        </a:p>
      </xdr:txBody>
    </xdr:sp>
    <xdr:clientData/>
  </xdr:twoCellAnchor>
  <xdr:twoCellAnchor>
    <xdr:from>
      <xdr:col>7</xdr:col>
      <xdr:colOff>25400</xdr:colOff>
      <xdr:row>16</xdr:row>
      <xdr:rowOff>82550</xdr:rowOff>
    </xdr:from>
    <xdr:to>
      <xdr:col>9</xdr:col>
      <xdr:colOff>177800</xdr:colOff>
      <xdr:row>18</xdr:row>
      <xdr:rowOff>125730</xdr:rowOff>
    </xdr:to>
    <xdr:sp macro="" textlink="">
      <xdr:nvSpPr>
        <xdr:cNvPr id="23" name="Rectangle 22">
          <a:extLst>
            <a:ext uri="{FF2B5EF4-FFF2-40B4-BE49-F238E27FC236}">
              <a16:creationId xmlns:a16="http://schemas.microsoft.com/office/drawing/2014/main" id="{021718FC-BC30-4DE3-9A98-49ACF51F15CB}"/>
            </a:ext>
          </a:extLst>
        </xdr:cNvPr>
        <xdr:cNvSpPr/>
      </xdr:nvSpPr>
      <xdr:spPr>
        <a:xfrm>
          <a:off x="10388600" y="4845050"/>
          <a:ext cx="1371600" cy="424180"/>
        </a:xfrm>
        <a:prstGeom prst="rect">
          <a:avLst/>
        </a:prstGeom>
        <a:solidFill>
          <a:schemeClr val="bg1"/>
        </a:solidFill>
        <a:ln>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Cancel</a:t>
          </a:r>
        </a:p>
      </xdr:txBody>
    </xdr:sp>
    <xdr:clientData/>
  </xdr:twoCellAnchor>
  <xdr:twoCellAnchor>
    <xdr:from>
      <xdr:col>3</xdr:col>
      <xdr:colOff>600075</xdr:colOff>
      <xdr:row>20</xdr:row>
      <xdr:rowOff>114300</xdr:rowOff>
    </xdr:from>
    <xdr:to>
      <xdr:col>5</xdr:col>
      <xdr:colOff>158115</xdr:colOff>
      <xdr:row>22</xdr:row>
      <xdr:rowOff>157480</xdr:rowOff>
    </xdr:to>
    <xdr:sp macro="" textlink="">
      <xdr:nvSpPr>
        <xdr:cNvPr id="24" name="Rectangle 23">
          <a:extLst>
            <a:ext uri="{FF2B5EF4-FFF2-40B4-BE49-F238E27FC236}">
              <a16:creationId xmlns:a16="http://schemas.microsoft.com/office/drawing/2014/main" id="{3FA64913-33AF-44E8-990C-4749AC900582}"/>
            </a:ext>
          </a:extLst>
        </xdr:cNvPr>
        <xdr:cNvSpPr/>
      </xdr:nvSpPr>
      <xdr:spPr>
        <a:xfrm>
          <a:off x="8524875" y="5638800"/>
          <a:ext cx="777240" cy="424180"/>
        </a:xfrm>
        <a:prstGeom prst="rect">
          <a:avLst/>
        </a:prstGeom>
        <a:solidFill>
          <a:srgbClr val="D3F0E0"/>
        </a:solidFill>
        <a:ln>
          <a:solidFill>
            <a:srgbClr val="86BF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Add</a:t>
          </a:r>
        </a:p>
      </xdr:txBody>
    </xdr:sp>
    <xdr:clientData/>
  </xdr:twoCellAnchor>
  <xdr:twoCellAnchor>
    <xdr:from>
      <xdr:col>7</xdr:col>
      <xdr:colOff>114300</xdr:colOff>
      <xdr:row>20</xdr:row>
      <xdr:rowOff>95250</xdr:rowOff>
    </xdr:from>
    <xdr:to>
      <xdr:col>8</xdr:col>
      <xdr:colOff>281940</xdr:colOff>
      <xdr:row>22</xdr:row>
      <xdr:rowOff>138430</xdr:rowOff>
    </xdr:to>
    <xdr:sp macro="" textlink="">
      <xdr:nvSpPr>
        <xdr:cNvPr id="25" name="Rectangle 24">
          <a:extLst>
            <a:ext uri="{FF2B5EF4-FFF2-40B4-BE49-F238E27FC236}">
              <a16:creationId xmlns:a16="http://schemas.microsoft.com/office/drawing/2014/main" id="{C282BF74-762C-4381-BB4C-D6F35979D629}"/>
            </a:ext>
          </a:extLst>
        </xdr:cNvPr>
        <xdr:cNvSpPr/>
      </xdr:nvSpPr>
      <xdr:spPr>
        <a:xfrm>
          <a:off x="10477500" y="5619750"/>
          <a:ext cx="777240" cy="424180"/>
        </a:xfrm>
        <a:prstGeom prst="rect">
          <a:avLst/>
        </a:prstGeom>
        <a:solidFill>
          <a:schemeClr val="bg1"/>
        </a:solidFill>
        <a:ln>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Add</a:t>
          </a:r>
        </a:p>
      </xdr:txBody>
    </xdr:sp>
    <xdr:clientData/>
  </xdr:twoCellAnchor>
  <xdr:twoCellAnchor>
    <xdr:from>
      <xdr:col>7</xdr:col>
      <xdr:colOff>146050</xdr:colOff>
      <xdr:row>23</xdr:row>
      <xdr:rowOff>146050</xdr:rowOff>
    </xdr:from>
    <xdr:to>
      <xdr:col>8</xdr:col>
      <xdr:colOff>313690</xdr:colOff>
      <xdr:row>25</xdr:row>
      <xdr:rowOff>189230</xdr:rowOff>
    </xdr:to>
    <xdr:sp macro="" textlink="">
      <xdr:nvSpPr>
        <xdr:cNvPr id="26" name="Rectangle 25">
          <a:extLst>
            <a:ext uri="{FF2B5EF4-FFF2-40B4-BE49-F238E27FC236}">
              <a16:creationId xmlns:a16="http://schemas.microsoft.com/office/drawing/2014/main" id="{F971779C-992B-456E-ACA9-02A546CC7889}"/>
            </a:ext>
          </a:extLst>
        </xdr:cNvPr>
        <xdr:cNvSpPr/>
      </xdr:nvSpPr>
      <xdr:spPr>
        <a:xfrm>
          <a:off x="10509250" y="6242050"/>
          <a:ext cx="777240" cy="424180"/>
        </a:xfrm>
        <a:prstGeom prst="rect">
          <a:avLst/>
        </a:prstGeom>
        <a:solidFill>
          <a:schemeClr val="bg1"/>
        </a:solidFill>
        <a:ln>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Remove</a:t>
          </a:r>
        </a:p>
      </xdr:txBody>
    </xdr:sp>
    <xdr:clientData/>
  </xdr:twoCellAnchor>
  <xdr:twoCellAnchor>
    <xdr:from>
      <xdr:col>4</xdr:col>
      <xdr:colOff>3175</xdr:colOff>
      <xdr:row>23</xdr:row>
      <xdr:rowOff>171450</xdr:rowOff>
    </xdr:from>
    <xdr:to>
      <xdr:col>5</xdr:col>
      <xdr:colOff>170815</xdr:colOff>
      <xdr:row>26</xdr:row>
      <xdr:rowOff>24130</xdr:rowOff>
    </xdr:to>
    <xdr:sp macro="" textlink="">
      <xdr:nvSpPr>
        <xdr:cNvPr id="27" name="Rectangle 26">
          <a:extLst>
            <a:ext uri="{FF2B5EF4-FFF2-40B4-BE49-F238E27FC236}">
              <a16:creationId xmlns:a16="http://schemas.microsoft.com/office/drawing/2014/main" id="{DEA8EF19-F372-4135-8113-D0B26E59805D}"/>
            </a:ext>
          </a:extLst>
        </xdr:cNvPr>
        <xdr:cNvSpPr/>
      </xdr:nvSpPr>
      <xdr:spPr>
        <a:xfrm>
          <a:off x="8537575" y="6267450"/>
          <a:ext cx="777240" cy="424180"/>
        </a:xfrm>
        <a:prstGeom prst="rect">
          <a:avLst/>
        </a:prstGeom>
        <a:solidFill>
          <a:srgbClr val="D3F0E0"/>
        </a:solidFill>
        <a:ln>
          <a:solidFill>
            <a:srgbClr val="86BF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Remove</a:t>
          </a:r>
        </a:p>
      </xdr:txBody>
    </xdr:sp>
    <xdr:clientData/>
  </xdr:twoCellAnchor>
  <xdr:twoCellAnchor>
    <xdr:from>
      <xdr:col>4</xdr:col>
      <xdr:colOff>231775</xdr:colOff>
      <xdr:row>9</xdr:row>
      <xdr:rowOff>76200</xdr:rowOff>
    </xdr:from>
    <xdr:to>
      <xdr:col>6</xdr:col>
      <xdr:colOff>384175</xdr:colOff>
      <xdr:row>11</xdr:row>
      <xdr:rowOff>74930</xdr:rowOff>
    </xdr:to>
    <xdr:sp macro="" textlink="">
      <xdr:nvSpPr>
        <xdr:cNvPr id="28" name="Rectangle 27">
          <a:extLst>
            <a:ext uri="{FF2B5EF4-FFF2-40B4-BE49-F238E27FC236}">
              <a16:creationId xmlns:a16="http://schemas.microsoft.com/office/drawing/2014/main" id="{5D6619AB-FF0A-43EF-9AF6-FA98049F8A64}"/>
            </a:ext>
          </a:extLst>
        </xdr:cNvPr>
        <xdr:cNvSpPr/>
      </xdr:nvSpPr>
      <xdr:spPr>
        <a:xfrm>
          <a:off x="8766175" y="3505200"/>
          <a:ext cx="1371600" cy="379730"/>
        </a:xfrm>
        <a:prstGeom prst="rect">
          <a:avLst/>
        </a:prstGeom>
        <a:solidFill>
          <a:srgbClr val="D3F0E0"/>
        </a:solidFill>
        <a:ln>
          <a:solidFill>
            <a:srgbClr val="86BF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Import</a:t>
          </a:r>
        </a:p>
      </xdr:txBody>
    </xdr:sp>
    <xdr:clientData/>
  </xdr:twoCellAnchor>
  <xdr:twoCellAnchor>
    <xdr:from>
      <xdr:col>6</xdr:col>
      <xdr:colOff>508000</xdr:colOff>
      <xdr:row>9</xdr:row>
      <xdr:rowOff>50800</xdr:rowOff>
    </xdr:from>
    <xdr:to>
      <xdr:col>9</xdr:col>
      <xdr:colOff>50800</xdr:colOff>
      <xdr:row>11</xdr:row>
      <xdr:rowOff>74930</xdr:rowOff>
    </xdr:to>
    <xdr:sp macro="" textlink="">
      <xdr:nvSpPr>
        <xdr:cNvPr id="29" name="Rectangle 28">
          <a:extLst>
            <a:ext uri="{FF2B5EF4-FFF2-40B4-BE49-F238E27FC236}">
              <a16:creationId xmlns:a16="http://schemas.microsoft.com/office/drawing/2014/main" id="{60804988-39FC-43D5-8A49-C34689BF4989}"/>
            </a:ext>
          </a:extLst>
        </xdr:cNvPr>
        <xdr:cNvSpPr/>
      </xdr:nvSpPr>
      <xdr:spPr>
        <a:xfrm>
          <a:off x="10261600" y="3479800"/>
          <a:ext cx="1371600" cy="405130"/>
        </a:xfrm>
        <a:prstGeom prst="rect">
          <a:avLst/>
        </a:prstGeom>
        <a:solidFill>
          <a:schemeClr val="bg1"/>
        </a:solidFill>
        <a:ln>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Import</a:t>
          </a:r>
        </a:p>
      </xdr:txBody>
    </xdr:sp>
    <xdr:clientData/>
  </xdr:twoCellAnchor>
  <xdr:twoCellAnchor>
    <xdr:from>
      <xdr:col>4</xdr:col>
      <xdr:colOff>238125</xdr:colOff>
      <xdr:row>5</xdr:row>
      <xdr:rowOff>88900</xdr:rowOff>
    </xdr:from>
    <xdr:to>
      <xdr:col>6</xdr:col>
      <xdr:colOff>390525</xdr:colOff>
      <xdr:row>7</xdr:row>
      <xdr:rowOff>132080</xdr:rowOff>
    </xdr:to>
    <xdr:sp macro="" textlink="">
      <xdr:nvSpPr>
        <xdr:cNvPr id="30" name="Rectangle 29">
          <a:extLst>
            <a:ext uri="{FF2B5EF4-FFF2-40B4-BE49-F238E27FC236}">
              <a16:creationId xmlns:a16="http://schemas.microsoft.com/office/drawing/2014/main" id="{F2AD37BE-462A-4AA8-A29E-892577E760A1}"/>
            </a:ext>
          </a:extLst>
        </xdr:cNvPr>
        <xdr:cNvSpPr/>
      </xdr:nvSpPr>
      <xdr:spPr>
        <a:xfrm>
          <a:off x="8772525" y="2755900"/>
          <a:ext cx="1371600" cy="424180"/>
        </a:xfrm>
        <a:prstGeom prst="rect">
          <a:avLst/>
        </a:prstGeom>
        <a:solidFill>
          <a:srgbClr val="D3F0E0"/>
        </a:solidFill>
        <a:ln>
          <a:solidFill>
            <a:srgbClr val="86BF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Skip</a:t>
          </a:r>
          <a:r>
            <a:rPr lang="en-US" sz="1400" baseline="0">
              <a:solidFill>
                <a:srgbClr val="464646"/>
              </a:solidFill>
            </a:rPr>
            <a:t> File</a:t>
          </a:r>
          <a:endParaRPr lang="en-US" sz="1400">
            <a:solidFill>
              <a:srgbClr val="464646"/>
            </a:solidFill>
          </a:endParaRPr>
        </a:p>
      </xdr:txBody>
    </xdr:sp>
    <xdr:clientData/>
  </xdr:twoCellAnchor>
  <xdr:twoCellAnchor>
    <xdr:from>
      <xdr:col>6</xdr:col>
      <xdr:colOff>514350</xdr:colOff>
      <xdr:row>5</xdr:row>
      <xdr:rowOff>63500</xdr:rowOff>
    </xdr:from>
    <xdr:to>
      <xdr:col>9</xdr:col>
      <xdr:colOff>57150</xdr:colOff>
      <xdr:row>7</xdr:row>
      <xdr:rowOff>113030</xdr:rowOff>
    </xdr:to>
    <xdr:sp macro="" textlink="">
      <xdr:nvSpPr>
        <xdr:cNvPr id="31" name="Rectangle 30">
          <a:extLst>
            <a:ext uri="{FF2B5EF4-FFF2-40B4-BE49-F238E27FC236}">
              <a16:creationId xmlns:a16="http://schemas.microsoft.com/office/drawing/2014/main" id="{F483E6B9-09D2-4F17-B829-508A77092D1A}"/>
            </a:ext>
          </a:extLst>
        </xdr:cNvPr>
        <xdr:cNvSpPr/>
      </xdr:nvSpPr>
      <xdr:spPr>
        <a:xfrm>
          <a:off x="10267950" y="2730500"/>
          <a:ext cx="1371600" cy="430530"/>
        </a:xfrm>
        <a:prstGeom prst="rect">
          <a:avLst/>
        </a:prstGeom>
        <a:solidFill>
          <a:schemeClr val="bg1"/>
        </a:solidFill>
        <a:ln>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Skip File</a:t>
          </a:r>
        </a:p>
      </xdr:txBody>
    </xdr:sp>
    <xdr:clientData/>
  </xdr:twoCellAnchor>
  <xdr:twoCellAnchor>
    <xdr:from>
      <xdr:col>4</xdr:col>
      <xdr:colOff>301625</xdr:colOff>
      <xdr:row>1</xdr:row>
      <xdr:rowOff>12700</xdr:rowOff>
    </xdr:from>
    <xdr:to>
      <xdr:col>6</xdr:col>
      <xdr:colOff>454025</xdr:colOff>
      <xdr:row>3</xdr:row>
      <xdr:rowOff>55880</xdr:rowOff>
    </xdr:to>
    <xdr:sp macro="" textlink="">
      <xdr:nvSpPr>
        <xdr:cNvPr id="32" name="Rectangle 31">
          <a:extLst>
            <a:ext uri="{FF2B5EF4-FFF2-40B4-BE49-F238E27FC236}">
              <a16:creationId xmlns:a16="http://schemas.microsoft.com/office/drawing/2014/main" id="{32EB73B5-8FA3-4036-8DE2-84357F30DBAF}"/>
            </a:ext>
          </a:extLst>
        </xdr:cNvPr>
        <xdr:cNvSpPr/>
      </xdr:nvSpPr>
      <xdr:spPr>
        <a:xfrm>
          <a:off x="8836025" y="1917700"/>
          <a:ext cx="1371600" cy="424180"/>
        </a:xfrm>
        <a:prstGeom prst="rect">
          <a:avLst/>
        </a:prstGeom>
        <a:solidFill>
          <a:srgbClr val="D3F0E0"/>
        </a:solidFill>
        <a:ln>
          <a:solidFill>
            <a:srgbClr val="86BF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Yes</a:t>
          </a:r>
        </a:p>
      </xdr:txBody>
    </xdr:sp>
    <xdr:clientData/>
  </xdr:twoCellAnchor>
  <xdr:twoCellAnchor>
    <xdr:from>
      <xdr:col>7</xdr:col>
      <xdr:colOff>381000</xdr:colOff>
      <xdr:row>1</xdr:row>
      <xdr:rowOff>25400</xdr:rowOff>
    </xdr:from>
    <xdr:to>
      <xdr:col>9</xdr:col>
      <xdr:colOff>533400</xdr:colOff>
      <xdr:row>3</xdr:row>
      <xdr:rowOff>68580</xdr:rowOff>
    </xdr:to>
    <xdr:sp macro="" textlink="">
      <xdr:nvSpPr>
        <xdr:cNvPr id="33" name="Rectangle 32">
          <a:extLst>
            <a:ext uri="{FF2B5EF4-FFF2-40B4-BE49-F238E27FC236}">
              <a16:creationId xmlns:a16="http://schemas.microsoft.com/office/drawing/2014/main" id="{50FDC1DE-9AA7-4145-AF90-F7AAF6530B2F}"/>
            </a:ext>
          </a:extLst>
        </xdr:cNvPr>
        <xdr:cNvSpPr/>
      </xdr:nvSpPr>
      <xdr:spPr>
        <a:xfrm>
          <a:off x="10744200" y="1930400"/>
          <a:ext cx="1371600" cy="424180"/>
        </a:xfrm>
        <a:prstGeom prst="rect">
          <a:avLst/>
        </a:prstGeom>
        <a:solidFill>
          <a:schemeClr val="bg1"/>
        </a:solidFill>
        <a:ln>
          <a:solidFill>
            <a:srgbClr val="A9A9A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rgbClr val="464646"/>
              </a:solidFill>
            </a:rPr>
            <a:t>Yes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9FE4-994B-4A9C-8475-E660F8F50248}">
  <sheetPr codeName="Sheet3"/>
  <dimension ref="A1:R48"/>
  <sheetViews>
    <sheetView topLeftCell="A13" zoomScaleNormal="100" zoomScaleSheetLayoutView="100" workbookViewId="0">
      <selection activeCell="E16" sqref="E16"/>
    </sheetView>
  </sheetViews>
  <sheetFormatPr defaultRowHeight="14.4"/>
  <cols>
    <col min="2" max="2" width="9.21875" style="53"/>
    <col min="16" max="16" width="48.5546875" customWidth="1"/>
    <col min="18" max="18" width="9.77734375" bestFit="1" customWidth="1"/>
  </cols>
  <sheetData>
    <row r="1" spans="1:2">
      <c r="A1" s="91" t="s">
        <v>165</v>
      </c>
    </row>
    <row r="2" spans="1:2">
      <c r="A2" s="52" t="s">
        <v>0</v>
      </c>
    </row>
    <row r="3" spans="1:2">
      <c r="A3" s="52" t="s">
        <v>664</v>
      </c>
    </row>
    <row r="4" spans="1:2">
      <c r="A4" s="52" t="s">
        <v>665</v>
      </c>
    </row>
    <row r="5" spans="1:2">
      <c r="A5" s="52" t="s">
        <v>666</v>
      </c>
    </row>
    <row r="6" spans="1:2">
      <c r="A6" s="52" t="s">
        <v>667</v>
      </c>
    </row>
    <row r="7" spans="1:2">
      <c r="A7" s="52" t="s">
        <v>668</v>
      </c>
    </row>
    <row r="8" spans="1:2">
      <c r="A8" s="52"/>
    </row>
    <row r="9" spans="1:2">
      <c r="A9" s="91" t="s">
        <v>166</v>
      </c>
    </row>
    <row r="10" spans="1:2">
      <c r="A10" s="52" t="s">
        <v>657</v>
      </c>
    </row>
    <row r="11" spans="1:2">
      <c r="A11" s="52"/>
      <c r="B11" s="92" t="s">
        <v>658</v>
      </c>
    </row>
    <row r="12" spans="1:2">
      <c r="A12" s="52" t="s">
        <v>167</v>
      </c>
    </row>
    <row r="13" spans="1:2">
      <c r="A13" s="52"/>
      <c r="B13" s="92" t="s">
        <v>168</v>
      </c>
    </row>
    <row r="14" spans="1:2">
      <c r="A14" s="52" t="s">
        <v>202</v>
      </c>
    </row>
    <row r="15" spans="1:2">
      <c r="A15" s="52"/>
      <c r="B15" s="92" t="s">
        <v>2108</v>
      </c>
    </row>
    <row r="16" spans="1:2">
      <c r="A16" s="52" t="s">
        <v>203</v>
      </c>
    </row>
    <row r="17" spans="1:2">
      <c r="A17" s="52"/>
      <c r="B17" s="92" t="s">
        <v>655</v>
      </c>
    </row>
    <row r="18" spans="1:2">
      <c r="A18" s="52"/>
      <c r="B18" s="104" t="s">
        <v>656</v>
      </c>
    </row>
    <row r="19" spans="1:2">
      <c r="A19" s="52" t="s">
        <v>169</v>
      </c>
    </row>
    <row r="20" spans="1:2">
      <c r="A20" s="52"/>
      <c r="B20" s="92" t="s">
        <v>659</v>
      </c>
    </row>
    <row r="21" spans="1:2">
      <c r="A21" s="52" t="s">
        <v>170</v>
      </c>
    </row>
    <row r="22" spans="1:2">
      <c r="A22" s="52"/>
      <c r="B22" s="92" t="s">
        <v>171</v>
      </c>
    </row>
    <row r="23" spans="1:2">
      <c r="A23" s="52" t="s">
        <v>172</v>
      </c>
    </row>
    <row r="24" spans="1:2">
      <c r="A24" s="52"/>
      <c r="B24" s="92" t="s">
        <v>173</v>
      </c>
    </row>
    <row r="26" spans="1:2">
      <c r="A26" s="91" t="s">
        <v>174</v>
      </c>
    </row>
    <row r="27" spans="1:2">
      <c r="A27" t="s">
        <v>175</v>
      </c>
    </row>
    <row r="28" spans="1:2">
      <c r="A28" t="s">
        <v>176</v>
      </c>
    </row>
    <row r="30" spans="1:2">
      <c r="A30" s="91" t="s">
        <v>177</v>
      </c>
    </row>
    <row r="31" spans="1:2">
      <c r="A31" t="s">
        <v>178</v>
      </c>
    </row>
    <row r="32" spans="1:2">
      <c r="A32" t="s">
        <v>179</v>
      </c>
    </row>
    <row r="33" spans="1:18">
      <c r="A33" t="s">
        <v>180</v>
      </c>
    </row>
    <row r="34" spans="1:18">
      <c r="A34" t="s">
        <v>181</v>
      </c>
    </row>
    <row r="36" spans="1:18">
      <c r="A36" s="100" t="s">
        <v>182</v>
      </c>
      <c r="B36" s="101"/>
      <c r="C36" s="102"/>
      <c r="D36" s="102"/>
      <c r="E36" s="102"/>
      <c r="F36" s="102"/>
      <c r="G36" s="102"/>
      <c r="H36" s="102"/>
      <c r="I36" s="102"/>
      <c r="J36" s="102"/>
      <c r="K36" s="102"/>
      <c r="L36" s="102"/>
      <c r="M36" s="102"/>
      <c r="N36" s="102"/>
      <c r="O36" s="102"/>
      <c r="P36" s="102"/>
      <c r="Q36" s="102" t="s">
        <v>193</v>
      </c>
      <c r="R36" s="102" t="s">
        <v>194</v>
      </c>
    </row>
    <row r="37" spans="1:18">
      <c r="A37" s="52" t="s">
        <v>663</v>
      </c>
      <c r="Q37" t="s">
        <v>195</v>
      </c>
      <c r="R37" s="103">
        <v>44426</v>
      </c>
    </row>
    <row r="38" spans="1:18">
      <c r="A38" s="52" t="s">
        <v>660</v>
      </c>
      <c r="Q38" t="s">
        <v>195</v>
      </c>
      <c r="R38" s="103">
        <v>44426</v>
      </c>
    </row>
    <row r="39" spans="1:18">
      <c r="A39" s="165" t="s">
        <v>661</v>
      </c>
      <c r="Q39" s="166" t="s">
        <v>195</v>
      </c>
      <c r="R39" s="167">
        <v>44428</v>
      </c>
    </row>
    <row r="40" spans="1:18">
      <c r="A40" t="s">
        <v>197</v>
      </c>
      <c r="Q40" t="s">
        <v>196</v>
      </c>
      <c r="R40" s="103">
        <v>44426</v>
      </c>
    </row>
    <row r="41" spans="1:18">
      <c r="A41" s="52" t="s">
        <v>201</v>
      </c>
      <c r="Q41" t="s">
        <v>195</v>
      </c>
      <c r="R41" s="103">
        <v>44427</v>
      </c>
    </row>
    <row r="42" spans="1:18">
      <c r="A42" s="52" t="s">
        <v>198</v>
      </c>
      <c r="Q42" t="s">
        <v>196</v>
      </c>
      <c r="R42" s="103">
        <v>44426</v>
      </c>
    </row>
    <row r="43" spans="1:18">
      <c r="A43" s="52" t="s">
        <v>199</v>
      </c>
      <c r="Q43" t="s">
        <v>196</v>
      </c>
      <c r="R43" s="103">
        <v>44426</v>
      </c>
    </row>
    <row r="44" spans="1:18">
      <c r="A44" s="52" t="s">
        <v>200</v>
      </c>
      <c r="Q44" t="s">
        <v>196</v>
      </c>
      <c r="R44" s="103">
        <v>44426</v>
      </c>
    </row>
    <row r="45" spans="1:18">
      <c r="A45" s="52" t="s">
        <v>662</v>
      </c>
      <c r="Q45" t="s">
        <v>195</v>
      </c>
      <c r="R45" s="103">
        <v>44427</v>
      </c>
    </row>
    <row r="46" spans="1:18">
      <c r="A46" s="52" t="s">
        <v>2109</v>
      </c>
      <c r="Q46" t="s">
        <v>195</v>
      </c>
      <c r="R46" s="103">
        <v>44585</v>
      </c>
    </row>
    <row r="47" spans="1:18">
      <c r="A47" s="52" t="s">
        <v>13165</v>
      </c>
      <c r="Q47" t="s">
        <v>195</v>
      </c>
      <c r="R47" s="103">
        <v>45175</v>
      </c>
    </row>
    <row r="48" spans="1:18">
      <c r="A48" s="52" t="s">
        <v>13166</v>
      </c>
      <c r="Q48" t="s">
        <v>195</v>
      </c>
      <c r="R48" s="103">
        <v>45175</v>
      </c>
    </row>
  </sheetData>
  <customSheetViews>
    <customSheetView guid="{25B109E7-546D-484A-9932-8EF9F33760F1}" topLeftCell="A13">
      <selection activeCell="E16" sqref="E16"/>
      <pageMargins left="0.7" right="0.7" top="0.75" bottom="0.75" header="0.3" footer="0.3"/>
      <pageSetup scale="24" orientation="portrait" r:id="rId1"/>
    </customSheetView>
  </customSheetViews>
  <pageMargins left="0.7" right="0.7" top="0.75" bottom="0.75" header="0.3" footer="0.3"/>
  <pageSetup scale="24"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N11"/>
  <sheetViews>
    <sheetView zoomScaleNormal="100" zoomScaleSheetLayoutView="100" workbookViewId="0">
      <selection activeCell="J3" sqref="J3"/>
    </sheetView>
  </sheetViews>
  <sheetFormatPr defaultColWidth="9.109375" defaultRowHeight="10.199999999999999"/>
  <cols>
    <col min="1" max="1" width="17.21875" style="1" customWidth="1"/>
    <col min="2" max="2" width="9.109375" style="1"/>
    <col min="3" max="3" width="39.5546875" style="1" bestFit="1" customWidth="1"/>
    <col min="4" max="4" width="19.21875" style="1" bestFit="1" customWidth="1"/>
    <col min="5" max="5" width="9.77734375" style="1" customWidth="1"/>
    <col min="6" max="6" width="15.5546875" style="1" customWidth="1"/>
    <col min="7" max="7" width="9.109375" style="1"/>
    <col min="8" max="8" width="15.5546875" style="1" customWidth="1"/>
    <col min="9" max="9" width="9.109375" style="1"/>
    <col min="10" max="10" width="15.5546875" style="1" customWidth="1"/>
    <col min="11" max="11" width="9.109375" style="1"/>
    <col min="12" max="12" width="22.77734375" style="1" bestFit="1" customWidth="1"/>
    <col min="13" max="13" width="9.109375" style="1"/>
    <col min="14" max="14" width="22.77734375" style="1" bestFit="1" customWidth="1"/>
    <col min="15" max="16384" width="9.109375" style="1"/>
  </cols>
  <sheetData>
    <row r="2" spans="1:14" ht="10.8" thickBot="1">
      <c r="A2" s="108" t="s">
        <v>1</v>
      </c>
      <c r="C2" s="108" t="s">
        <v>2</v>
      </c>
      <c r="D2" s="108" t="s">
        <v>3</v>
      </c>
      <c r="E2" s="80"/>
      <c r="F2" s="108" t="s">
        <v>4</v>
      </c>
      <c r="G2" s="37"/>
      <c r="H2" s="108" t="s">
        <v>5</v>
      </c>
      <c r="I2" s="37"/>
      <c r="J2" s="108" t="s">
        <v>13172</v>
      </c>
      <c r="L2" s="108" t="s">
        <v>2781</v>
      </c>
      <c r="N2" s="108" t="s">
        <v>13171</v>
      </c>
    </row>
    <row r="3" spans="1:14" ht="10.8" thickBot="1">
      <c r="A3" s="89" t="s">
        <v>13167</v>
      </c>
      <c r="C3" s="83" t="s">
        <v>6</v>
      </c>
      <c r="D3" s="84">
        <v>0.02</v>
      </c>
      <c r="E3" s="4"/>
      <c r="F3" s="89">
        <v>0</v>
      </c>
      <c r="H3" s="90">
        <v>0</v>
      </c>
      <c r="J3" s="90">
        <v>0</v>
      </c>
      <c r="L3" s="90" t="b">
        <v>0</v>
      </c>
      <c r="N3" s="90" t="b">
        <v>0</v>
      </c>
    </row>
    <row r="4" spans="1:14">
      <c r="C4" s="85" t="s">
        <v>7</v>
      </c>
      <c r="D4" s="86">
        <v>0.02</v>
      </c>
      <c r="E4" s="4"/>
    </row>
    <row r="5" spans="1:14" s="3" customFormat="1">
      <c r="C5" s="85" t="s">
        <v>8</v>
      </c>
      <c r="D5" s="86">
        <v>0.02</v>
      </c>
      <c r="E5" s="4"/>
      <c r="F5" s="98" t="s">
        <v>188</v>
      </c>
      <c r="G5" s="25"/>
      <c r="H5" s="26"/>
      <c r="I5" s="25"/>
      <c r="J5" s="26"/>
      <c r="K5" s="25"/>
      <c r="L5" s="26"/>
    </row>
    <row r="6" spans="1:14">
      <c r="C6" s="85" t="s">
        <v>9</v>
      </c>
      <c r="D6" s="86">
        <v>0.08</v>
      </c>
      <c r="E6" s="4"/>
      <c r="F6" s="99" t="s">
        <v>187</v>
      </c>
    </row>
    <row r="7" spans="1:14">
      <c r="C7" s="85" t="s">
        <v>10</v>
      </c>
      <c r="D7" s="86">
        <v>0.08</v>
      </c>
      <c r="E7" s="4"/>
      <c r="F7" s="99" t="s">
        <v>189</v>
      </c>
    </row>
    <row r="8" spans="1:14">
      <c r="C8" s="85" t="s">
        <v>11</v>
      </c>
      <c r="D8" s="86">
        <v>8.2750000000000004E-2</v>
      </c>
      <c r="E8" s="4"/>
      <c r="F8" s="99" t="s">
        <v>190</v>
      </c>
    </row>
    <row r="9" spans="1:14" ht="10.8" thickBot="1">
      <c r="C9" s="87" t="s">
        <v>12</v>
      </c>
      <c r="D9" s="88">
        <v>0.1</v>
      </c>
      <c r="E9" s="4"/>
      <c r="F9" s="99" t="s">
        <v>191</v>
      </c>
    </row>
    <row r="10" spans="1:14">
      <c r="C10" s="81"/>
      <c r="D10" s="4"/>
      <c r="E10" s="4"/>
      <c r="F10" s="99" t="s">
        <v>192</v>
      </c>
    </row>
    <row r="11" spans="1:14">
      <c r="C11" s="82" t="s">
        <v>13</v>
      </c>
      <c r="D11" s="55">
        <f>SUM(D3:D9)</f>
        <v>0.40275000000000005</v>
      </c>
      <c r="E11" s="55"/>
      <c r="F11" s="4"/>
    </row>
  </sheetData>
  <customSheetViews>
    <customSheetView guid="{25B109E7-546D-484A-9932-8EF9F33760F1}">
      <selection activeCell="A4" sqref="A4"/>
      <pageMargins left="0.25" right="0.25" top="0.75" bottom="0.75" header="0.3" footer="0.3"/>
      <pageSetup scale="84" orientation="landscape" r:id="rId1"/>
    </customSheetView>
  </customSheetViews>
  <pageMargins left="0.25" right="0.25" top="0.75" bottom="0.75" header="0.3" footer="0.3"/>
  <pageSetup scale="84" orientation="landscape" r:id="rId2"/>
  <extLst>
    <ext xmlns:x14="http://schemas.microsoft.com/office/spreadsheetml/2009/9/main" uri="{CCE6A557-97BC-4b89-ADB6-D9C93CAAB3DF}">
      <x14:dataValidations xmlns:xm="http://schemas.microsoft.com/office/excel/2006/main" count="1">
        <x14:dataValidation type="list" allowBlank="1" showInputMessage="1" showErrorMessage="1" xr:uid="{891F283E-20D4-4F0B-8650-7D6DDE1765FE}">
          <x14:formula1>
            <xm:f>DATA_HOLD!$D$1:$D$2</xm:f>
          </x14:formula1>
          <xm:sqref>D12 L3 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7030A0"/>
    <outlinePr summaryBelow="0"/>
  </sheetPr>
  <dimension ref="A1:G6637"/>
  <sheetViews>
    <sheetView zoomScaleNormal="100" workbookViewId="0">
      <pane ySplit="1" topLeftCell="A2" activePane="bottomLeft" state="frozen"/>
      <selection activeCell="C1" sqref="C1"/>
      <selection pane="bottomLeft" activeCell="A7" sqref="A7"/>
    </sheetView>
  </sheetViews>
  <sheetFormatPr defaultColWidth="9.21875" defaultRowHeight="14.4"/>
  <cols>
    <col min="1" max="1" width="9.21875" style="162" bestFit="1" customWidth="1"/>
    <col min="2" max="2" width="11.109375" style="162" customWidth="1"/>
    <col min="3" max="3" width="18.77734375" style="162" customWidth="1"/>
    <col min="4" max="4" width="35.77734375" style="162" customWidth="1"/>
    <col min="5" max="5" width="24.77734375" style="162" customWidth="1"/>
    <col min="6" max="7" width="10.77734375" style="162" customWidth="1"/>
    <col min="8" max="16384" width="9.21875" style="162"/>
  </cols>
  <sheetData>
    <row r="1" spans="1:7" s="24" customFormat="1" ht="10.8" thickBot="1">
      <c r="A1" s="164" t="s">
        <v>14</v>
      </c>
      <c r="B1" s="18" t="s">
        <v>16</v>
      </c>
      <c r="C1" s="18" t="s">
        <v>17</v>
      </c>
      <c r="D1" s="18" t="s">
        <v>15</v>
      </c>
      <c r="E1" s="18" t="s">
        <v>18</v>
      </c>
      <c r="F1" s="161" t="s">
        <v>23</v>
      </c>
      <c r="G1" s="161" t="s">
        <v>24</v>
      </c>
    </row>
    <row r="2" spans="1:7">
      <c r="B2" s="162" t="s">
        <v>2782</v>
      </c>
      <c r="C2" s="162" t="s">
        <v>2783</v>
      </c>
      <c r="D2" s="162" t="s">
        <v>2784</v>
      </c>
      <c r="E2" s="162" t="s">
        <v>2785</v>
      </c>
      <c r="F2" s="162">
        <v>10995</v>
      </c>
      <c r="G2" s="162">
        <v>1</v>
      </c>
    </row>
    <row r="3" spans="1:7">
      <c r="B3" s="162" t="s">
        <v>2782</v>
      </c>
      <c r="C3" s="162" t="s">
        <v>2786</v>
      </c>
      <c r="D3" s="162" t="s">
        <v>2787</v>
      </c>
      <c r="E3" s="162" t="s">
        <v>2785</v>
      </c>
      <c r="F3" s="162">
        <v>7995</v>
      </c>
      <c r="G3" s="162">
        <v>1</v>
      </c>
    </row>
    <row r="4" spans="1:7">
      <c r="B4" s="162" t="s">
        <v>2782</v>
      </c>
      <c r="C4" s="162" t="s">
        <v>2788</v>
      </c>
      <c r="D4" s="162" t="s">
        <v>2789</v>
      </c>
      <c r="F4" s="162">
        <v>7595</v>
      </c>
      <c r="G4" s="162">
        <v>1</v>
      </c>
    </row>
    <row r="5" spans="1:7">
      <c r="B5" s="162" t="s">
        <v>2782</v>
      </c>
      <c r="C5" s="162" t="s">
        <v>2790</v>
      </c>
      <c r="D5" s="162" t="s">
        <v>2791</v>
      </c>
      <c r="F5" s="162">
        <v>5595</v>
      </c>
      <c r="G5" s="162">
        <v>1</v>
      </c>
    </row>
    <row r="6" spans="1:7" ht="72">
      <c r="A6" s="162" t="s">
        <v>13173</v>
      </c>
      <c r="B6" s="162" t="s">
        <v>2782</v>
      </c>
      <c r="C6" s="162" t="s">
        <v>2792</v>
      </c>
      <c r="D6" s="162" t="s">
        <v>2793</v>
      </c>
      <c r="F6" s="162">
        <v>2000</v>
      </c>
      <c r="G6" s="162">
        <v>1</v>
      </c>
    </row>
    <row r="7" spans="1:7">
      <c r="B7" s="162" t="s">
        <v>2782</v>
      </c>
      <c r="C7" s="162" t="s">
        <v>2794</v>
      </c>
      <c r="D7" s="162" t="s">
        <v>2795</v>
      </c>
      <c r="E7" s="162" t="s">
        <v>2796</v>
      </c>
      <c r="F7" s="162">
        <v>7595</v>
      </c>
      <c r="G7" s="162">
        <v>1</v>
      </c>
    </row>
    <row r="8" spans="1:7">
      <c r="B8" s="162" t="s">
        <v>2782</v>
      </c>
      <c r="C8" s="162" t="s">
        <v>2797</v>
      </c>
      <c r="D8" s="162" t="s">
        <v>2798</v>
      </c>
      <c r="E8" s="162" t="s">
        <v>2796</v>
      </c>
      <c r="F8" s="162">
        <v>6995</v>
      </c>
      <c r="G8" s="162">
        <v>1</v>
      </c>
    </row>
    <row r="9" spans="1:7">
      <c r="B9" s="162" t="s">
        <v>2782</v>
      </c>
      <c r="C9" s="162" t="s">
        <v>2799</v>
      </c>
      <c r="D9" s="162" t="s">
        <v>2800</v>
      </c>
      <c r="E9" s="162" t="s">
        <v>2796</v>
      </c>
      <c r="F9" s="162">
        <v>6995</v>
      </c>
      <c r="G9" s="162">
        <v>1</v>
      </c>
    </row>
    <row r="10" spans="1:7">
      <c r="B10" s="162" t="s">
        <v>2782</v>
      </c>
      <c r="C10" s="162" t="s">
        <v>2801</v>
      </c>
      <c r="D10" s="162" t="s">
        <v>2802</v>
      </c>
      <c r="E10" s="162" t="s">
        <v>2796</v>
      </c>
      <c r="F10" s="162">
        <v>3495</v>
      </c>
      <c r="G10" s="162">
        <v>1</v>
      </c>
    </row>
    <row r="11" spans="1:7">
      <c r="B11" s="162" t="s">
        <v>2782</v>
      </c>
      <c r="C11" s="162" t="s">
        <v>2803</v>
      </c>
      <c r="D11" s="162" t="s">
        <v>2804</v>
      </c>
      <c r="F11" s="162">
        <v>6995</v>
      </c>
      <c r="G11" s="162">
        <v>1</v>
      </c>
    </row>
    <row r="12" spans="1:7">
      <c r="B12" s="162" t="s">
        <v>2782</v>
      </c>
      <c r="C12" s="162" t="s">
        <v>2805</v>
      </c>
      <c r="D12" s="162" t="s">
        <v>2806</v>
      </c>
      <c r="E12" s="162" t="s">
        <v>2807</v>
      </c>
      <c r="F12" s="162">
        <v>1995</v>
      </c>
      <c r="G12" s="162">
        <v>1</v>
      </c>
    </row>
    <row r="13" spans="1:7" ht="28.8">
      <c r="B13" s="162" t="s">
        <v>2782</v>
      </c>
      <c r="C13" s="162" t="s">
        <v>2808</v>
      </c>
      <c r="D13" s="162" t="s">
        <v>2809</v>
      </c>
      <c r="E13" s="162" t="s">
        <v>2796</v>
      </c>
      <c r="F13" s="162">
        <v>2795</v>
      </c>
      <c r="G13" s="162">
        <v>1</v>
      </c>
    </row>
    <row r="14" spans="1:7" ht="28.8">
      <c r="B14" s="162" t="s">
        <v>2782</v>
      </c>
      <c r="C14" s="162" t="s">
        <v>2810</v>
      </c>
      <c r="D14" s="162" t="s">
        <v>2811</v>
      </c>
      <c r="E14" s="162" t="s">
        <v>2796</v>
      </c>
      <c r="F14" s="162">
        <v>2495</v>
      </c>
      <c r="G14" s="162">
        <v>1</v>
      </c>
    </row>
    <row r="15" spans="1:7" ht="28.8">
      <c r="B15" s="162" t="s">
        <v>2782</v>
      </c>
      <c r="C15" s="162" t="s">
        <v>2812</v>
      </c>
      <c r="D15" s="162" t="s">
        <v>2813</v>
      </c>
      <c r="E15" s="162" t="s">
        <v>2796</v>
      </c>
      <c r="F15" s="162">
        <v>2595</v>
      </c>
      <c r="G15" s="162">
        <v>1</v>
      </c>
    </row>
    <row r="16" spans="1:7" ht="28.8">
      <c r="B16" s="162" t="s">
        <v>2782</v>
      </c>
      <c r="C16" s="162" t="s">
        <v>2814</v>
      </c>
      <c r="D16" s="162" t="s">
        <v>2815</v>
      </c>
      <c r="F16" s="162">
        <v>895</v>
      </c>
      <c r="G16" s="162">
        <v>1</v>
      </c>
    </row>
    <row r="17" spans="2:7" ht="43.2">
      <c r="B17" s="162" t="s">
        <v>2782</v>
      </c>
      <c r="C17" s="162" t="s">
        <v>2816</v>
      </c>
      <c r="D17" s="162" t="s">
        <v>2817</v>
      </c>
      <c r="F17" s="162">
        <v>795</v>
      </c>
      <c r="G17" s="162">
        <v>1</v>
      </c>
    </row>
    <row r="18" spans="2:7" ht="28.8">
      <c r="B18" s="162" t="s">
        <v>2782</v>
      </c>
      <c r="C18" s="162" t="s">
        <v>2818</v>
      </c>
      <c r="D18" s="162" t="s">
        <v>2819</v>
      </c>
      <c r="F18" s="162">
        <v>595</v>
      </c>
      <c r="G18" s="162">
        <v>1</v>
      </c>
    </row>
    <row r="19" spans="2:7" ht="43.2">
      <c r="B19" s="162" t="s">
        <v>2782</v>
      </c>
      <c r="C19" s="162" t="s">
        <v>2820</v>
      </c>
      <c r="D19" s="162" t="s">
        <v>2821</v>
      </c>
      <c r="F19" s="162">
        <v>120</v>
      </c>
      <c r="G19" s="162">
        <v>1</v>
      </c>
    </row>
    <row r="20" spans="2:7" ht="28.8">
      <c r="B20" s="162" t="s">
        <v>2782</v>
      </c>
      <c r="C20" s="162" t="s">
        <v>2822</v>
      </c>
      <c r="D20" s="162" t="s">
        <v>2823</v>
      </c>
      <c r="F20" s="162">
        <v>135</v>
      </c>
      <c r="G20" s="162">
        <v>1</v>
      </c>
    </row>
    <row r="21" spans="2:7" ht="28.8">
      <c r="B21" s="162" t="s">
        <v>2782</v>
      </c>
      <c r="C21" s="162" t="s">
        <v>2824</v>
      </c>
      <c r="D21" s="162" t="s">
        <v>2825</v>
      </c>
      <c r="F21" s="162">
        <v>69</v>
      </c>
      <c r="G21" s="162">
        <v>1</v>
      </c>
    </row>
    <row r="22" spans="2:7" ht="28.8">
      <c r="B22" s="162" t="s">
        <v>2782</v>
      </c>
      <c r="C22" s="162" t="s">
        <v>2826</v>
      </c>
      <c r="D22" s="162" t="s">
        <v>2827</v>
      </c>
      <c r="F22" s="162">
        <v>59</v>
      </c>
      <c r="G22" s="162">
        <v>1</v>
      </c>
    </row>
    <row r="23" spans="2:7" ht="28.8">
      <c r="B23" s="162" t="s">
        <v>2782</v>
      </c>
      <c r="C23" s="162" t="s">
        <v>2828</v>
      </c>
      <c r="D23" s="162" t="s">
        <v>2829</v>
      </c>
      <c r="F23" s="162">
        <v>49</v>
      </c>
      <c r="G23" s="162">
        <v>1</v>
      </c>
    </row>
    <row r="24" spans="2:7" ht="28.8">
      <c r="B24" s="162" t="s">
        <v>2782</v>
      </c>
      <c r="C24" s="162" t="s">
        <v>2830</v>
      </c>
      <c r="D24" s="162" t="s">
        <v>2831</v>
      </c>
      <c r="F24" s="162">
        <v>295</v>
      </c>
      <c r="G24" s="162">
        <v>1</v>
      </c>
    </row>
    <row r="25" spans="2:7">
      <c r="B25" s="162" t="s">
        <v>2832</v>
      </c>
      <c r="C25" s="162" t="s">
        <v>2833</v>
      </c>
      <c r="D25" s="162" t="s">
        <v>2834</v>
      </c>
      <c r="E25" s="162" t="s">
        <v>2835</v>
      </c>
      <c r="F25" s="162">
        <v>68169</v>
      </c>
      <c r="G25" s="162">
        <v>1</v>
      </c>
    </row>
    <row r="26" spans="2:7">
      <c r="B26" s="162" t="s">
        <v>2832</v>
      </c>
      <c r="C26" s="162" t="s">
        <v>2836</v>
      </c>
      <c r="D26" s="162" t="s">
        <v>2834</v>
      </c>
      <c r="E26" s="162" t="s">
        <v>2835</v>
      </c>
      <c r="F26" s="162">
        <v>60739</v>
      </c>
      <c r="G26" s="162">
        <v>1</v>
      </c>
    </row>
    <row r="27" spans="2:7">
      <c r="B27" s="162" t="s">
        <v>2832</v>
      </c>
      <c r="C27" s="162" t="s">
        <v>2837</v>
      </c>
      <c r="D27" s="162" t="s">
        <v>2838</v>
      </c>
      <c r="E27" s="162" t="s">
        <v>2835</v>
      </c>
      <c r="F27" s="162">
        <v>61189</v>
      </c>
      <c r="G27" s="162">
        <v>1</v>
      </c>
    </row>
    <row r="28" spans="2:7">
      <c r="B28" s="162" t="s">
        <v>2832</v>
      </c>
      <c r="C28" s="162" t="s">
        <v>2839</v>
      </c>
      <c r="D28" s="162" t="s">
        <v>2838</v>
      </c>
      <c r="E28" s="162" t="s">
        <v>2835</v>
      </c>
      <c r="F28" s="162">
        <v>43459</v>
      </c>
      <c r="G28" s="162">
        <v>1</v>
      </c>
    </row>
    <row r="29" spans="2:7" ht="28.8">
      <c r="B29" s="162" t="s">
        <v>2832</v>
      </c>
      <c r="C29" s="162" t="s">
        <v>2840</v>
      </c>
      <c r="D29" s="162" t="s">
        <v>2841</v>
      </c>
      <c r="E29" s="162" t="s">
        <v>2835</v>
      </c>
      <c r="F29" s="162">
        <v>38579</v>
      </c>
      <c r="G29" s="162">
        <v>1</v>
      </c>
    </row>
    <row r="30" spans="2:7" ht="28.8">
      <c r="B30" s="162" t="s">
        <v>2832</v>
      </c>
      <c r="C30" s="162" t="s">
        <v>2842</v>
      </c>
      <c r="D30" s="162" t="s">
        <v>2843</v>
      </c>
      <c r="E30" s="162" t="s">
        <v>2835</v>
      </c>
      <c r="F30" s="162">
        <v>24439</v>
      </c>
      <c r="G30" s="162">
        <v>1</v>
      </c>
    </row>
    <row r="31" spans="2:7">
      <c r="B31" s="162" t="s">
        <v>2832</v>
      </c>
      <c r="C31" s="162" t="s">
        <v>2833</v>
      </c>
      <c r="D31" s="162" t="s">
        <v>2834</v>
      </c>
      <c r="E31" s="162" t="s">
        <v>2844</v>
      </c>
      <c r="F31" s="162">
        <v>103032</v>
      </c>
      <c r="G31" s="162">
        <v>1</v>
      </c>
    </row>
    <row r="32" spans="2:7">
      <c r="B32" s="162" t="s">
        <v>2832</v>
      </c>
      <c r="C32" s="162" t="s">
        <v>2836</v>
      </c>
      <c r="D32" s="162" t="s">
        <v>2834</v>
      </c>
      <c r="E32" s="162" t="s">
        <v>2844</v>
      </c>
      <c r="F32" s="162">
        <v>91912</v>
      </c>
      <c r="G32" s="162">
        <v>1</v>
      </c>
    </row>
    <row r="33" spans="2:7">
      <c r="B33" s="162" t="s">
        <v>2832</v>
      </c>
      <c r="C33" s="162" t="s">
        <v>2837</v>
      </c>
      <c r="D33" s="162" t="s">
        <v>2838</v>
      </c>
      <c r="E33" s="162" t="s">
        <v>2844</v>
      </c>
      <c r="F33" s="162">
        <v>90762</v>
      </c>
      <c r="G33" s="162">
        <v>1</v>
      </c>
    </row>
    <row r="34" spans="2:7">
      <c r="B34" s="162" t="s">
        <v>2832</v>
      </c>
      <c r="C34" s="162" t="s">
        <v>2839</v>
      </c>
      <c r="D34" s="162" t="s">
        <v>2838</v>
      </c>
      <c r="E34" s="162" t="s">
        <v>2844</v>
      </c>
      <c r="F34" s="162">
        <v>63762</v>
      </c>
      <c r="G34" s="162">
        <v>1</v>
      </c>
    </row>
    <row r="35" spans="2:7" ht="28.8">
      <c r="B35" s="162" t="s">
        <v>2832</v>
      </c>
      <c r="C35" s="162" t="s">
        <v>2840</v>
      </c>
      <c r="D35" s="162" t="s">
        <v>2841</v>
      </c>
      <c r="E35" s="162" t="s">
        <v>2844</v>
      </c>
      <c r="F35" s="162">
        <v>56362</v>
      </c>
      <c r="G35" s="162">
        <v>1</v>
      </c>
    </row>
    <row r="36" spans="2:7" ht="28.8">
      <c r="B36" s="162" t="s">
        <v>2832</v>
      </c>
      <c r="C36" s="162" t="s">
        <v>2842</v>
      </c>
      <c r="D36" s="162" t="s">
        <v>2843</v>
      </c>
      <c r="E36" s="162" t="s">
        <v>2844</v>
      </c>
      <c r="F36" s="162">
        <v>34662</v>
      </c>
      <c r="G36" s="162">
        <v>1</v>
      </c>
    </row>
    <row r="37" spans="2:7">
      <c r="B37" s="162" t="s">
        <v>2832</v>
      </c>
      <c r="C37" s="162" t="s">
        <v>2833</v>
      </c>
      <c r="D37" s="162" t="s">
        <v>2834</v>
      </c>
      <c r="E37" s="162" t="s">
        <v>2845</v>
      </c>
      <c r="F37" s="162">
        <v>146178</v>
      </c>
      <c r="G37" s="162">
        <v>1</v>
      </c>
    </row>
    <row r="38" spans="2:7">
      <c r="B38" s="162" t="s">
        <v>2832</v>
      </c>
      <c r="C38" s="162" t="s">
        <v>2836</v>
      </c>
      <c r="D38" s="162" t="s">
        <v>2834</v>
      </c>
      <c r="E38" s="162" t="s">
        <v>2845</v>
      </c>
      <c r="F38" s="162">
        <v>130078</v>
      </c>
      <c r="G38" s="162">
        <v>1</v>
      </c>
    </row>
    <row r="39" spans="2:7">
      <c r="B39" s="162" t="s">
        <v>2832</v>
      </c>
      <c r="C39" s="162" t="s">
        <v>2837</v>
      </c>
      <c r="D39" s="162" t="s">
        <v>2838</v>
      </c>
      <c r="E39" s="162" t="s">
        <v>2845</v>
      </c>
      <c r="F39" s="162">
        <v>130778</v>
      </c>
      <c r="G39" s="162">
        <v>1</v>
      </c>
    </row>
    <row r="40" spans="2:7">
      <c r="B40" s="162" t="s">
        <v>2832</v>
      </c>
      <c r="C40" s="162" t="s">
        <v>2839</v>
      </c>
      <c r="D40" s="162" t="s">
        <v>2838</v>
      </c>
      <c r="E40" s="162" t="s">
        <v>2845</v>
      </c>
      <c r="F40" s="162">
        <v>91798</v>
      </c>
      <c r="G40" s="162">
        <v>1</v>
      </c>
    </row>
    <row r="41" spans="2:7" ht="28.8">
      <c r="B41" s="162" t="s">
        <v>2832</v>
      </c>
      <c r="C41" s="162" t="s">
        <v>2840</v>
      </c>
      <c r="D41" s="162" t="s">
        <v>2841</v>
      </c>
      <c r="E41" s="162" t="s">
        <v>2845</v>
      </c>
      <c r="F41" s="162">
        <v>79518</v>
      </c>
      <c r="G41" s="162">
        <v>1</v>
      </c>
    </row>
    <row r="42" spans="2:7" ht="28.8">
      <c r="B42" s="162" t="s">
        <v>2832</v>
      </c>
      <c r="C42" s="162" t="s">
        <v>2842</v>
      </c>
      <c r="D42" s="162" t="s">
        <v>2843</v>
      </c>
      <c r="E42" s="162" t="s">
        <v>2845</v>
      </c>
      <c r="F42" s="162">
        <v>48228</v>
      </c>
      <c r="G42" s="162">
        <v>1</v>
      </c>
    </row>
    <row r="43" spans="2:7">
      <c r="B43" s="162" t="s">
        <v>2832</v>
      </c>
      <c r="C43" s="162" t="s">
        <v>2833</v>
      </c>
      <c r="D43" s="162" t="s">
        <v>2834</v>
      </c>
      <c r="E43" s="162" t="s">
        <v>2846</v>
      </c>
      <c r="F43" s="162">
        <v>254771</v>
      </c>
      <c r="G43" s="162">
        <v>1</v>
      </c>
    </row>
    <row r="44" spans="2:7">
      <c r="B44" s="162" t="s">
        <v>2832</v>
      </c>
      <c r="C44" s="162" t="s">
        <v>2836</v>
      </c>
      <c r="D44" s="162" t="s">
        <v>2834</v>
      </c>
      <c r="E44" s="162" t="s">
        <v>2846</v>
      </c>
      <c r="F44" s="162">
        <v>225921</v>
      </c>
      <c r="G44" s="162">
        <v>1</v>
      </c>
    </row>
    <row r="45" spans="2:7">
      <c r="B45" s="162" t="s">
        <v>2832</v>
      </c>
      <c r="C45" s="162" t="s">
        <v>2837</v>
      </c>
      <c r="D45" s="162" t="s">
        <v>2838</v>
      </c>
      <c r="E45" s="162" t="s">
        <v>2846</v>
      </c>
      <c r="F45" s="162">
        <v>227271</v>
      </c>
      <c r="G45" s="162">
        <v>1</v>
      </c>
    </row>
    <row r="46" spans="2:7">
      <c r="B46" s="162" t="s">
        <v>2832</v>
      </c>
      <c r="C46" s="162" t="s">
        <v>2839</v>
      </c>
      <c r="D46" s="162" t="s">
        <v>2838</v>
      </c>
      <c r="E46" s="162" t="s">
        <v>2846</v>
      </c>
      <c r="F46" s="162">
        <v>157601</v>
      </c>
      <c r="G46" s="162">
        <v>1</v>
      </c>
    </row>
    <row r="47" spans="2:7" ht="28.8">
      <c r="B47" s="162" t="s">
        <v>2832</v>
      </c>
      <c r="C47" s="162" t="s">
        <v>2840</v>
      </c>
      <c r="D47" s="162" t="s">
        <v>2841</v>
      </c>
      <c r="E47" s="162" t="s">
        <v>2846</v>
      </c>
      <c r="F47" s="162">
        <v>138481</v>
      </c>
      <c r="G47" s="162">
        <v>1</v>
      </c>
    </row>
    <row r="48" spans="2:7" ht="28.8">
      <c r="B48" s="162" t="s">
        <v>2832</v>
      </c>
      <c r="C48" s="162" t="s">
        <v>2842</v>
      </c>
      <c r="D48" s="162" t="s">
        <v>2843</v>
      </c>
      <c r="E48" s="162" t="s">
        <v>2846</v>
      </c>
      <c r="F48" s="162">
        <v>82621</v>
      </c>
      <c r="G48" s="162">
        <v>1</v>
      </c>
    </row>
    <row r="49" spans="2:7">
      <c r="B49" s="162" t="s">
        <v>2832</v>
      </c>
      <c r="C49" s="162" t="s">
        <v>2847</v>
      </c>
      <c r="D49" s="162" t="s">
        <v>2848</v>
      </c>
      <c r="E49" s="162" t="s">
        <v>2849</v>
      </c>
      <c r="F49" s="162">
        <v>49257</v>
      </c>
      <c r="G49" s="162">
        <v>1</v>
      </c>
    </row>
    <row r="50" spans="2:7">
      <c r="B50" s="162" t="s">
        <v>2832</v>
      </c>
      <c r="C50" s="162" t="s">
        <v>2850</v>
      </c>
      <c r="D50" s="162" t="s">
        <v>2851</v>
      </c>
      <c r="E50" s="162" t="s">
        <v>2849</v>
      </c>
      <c r="F50" s="162">
        <v>36971.599999999999</v>
      </c>
      <c r="G50" s="162">
        <v>1</v>
      </c>
    </row>
    <row r="51" spans="2:7">
      <c r="B51" s="162" t="s">
        <v>2832</v>
      </c>
      <c r="C51" s="162" t="s">
        <v>2852</v>
      </c>
      <c r="D51" s="162" t="s">
        <v>2853</v>
      </c>
      <c r="E51" s="162" t="s">
        <v>2849</v>
      </c>
      <c r="F51" s="162">
        <v>29562.2</v>
      </c>
      <c r="G51" s="162">
        <v>1</v>
      </c>
    </row>
    <row r="52" spans="2:7">
      <c r="B52" s="162" t="s">
        <v>2832</v>
      </c>
      <c r="C52" s="162" t="s">
        <v>2854</v>
      </c>
      <c r="D52" s="162" t="s">
        <v>2855</v>
      </c>
      <c r="E52" s="162" t="s">
        <v>2849</v>
      </c>
      <c r="F52" s="162">
        <v>26011.200000000001</v>
      </c>
      <c r="G52" s="162">
        <v>1</v>
      </c>
    </row>
    <row r="53" spans="2:7">
      <c r="B53" s="162" t="s">
        <v>2832</v>
      </c>
      <c r="C53" s="162" t="s">
        <v>2847</v>
      </c>
      <c r="D53" s="162" t="s">
        <v>2848</v>
      </c>
      <c r="E53" s="162" t="s">
        <v>2835</v>
      </c>
      <c r="F53" s="162">
        <v>82536.179999999993</v>
      </c>
      <c r="G53" s="162">
        <v>1</v>
      </c>
    </row>
    <row r="54" spans="2:7">
      <c r="B54" s="162" t="s">
        <v>2832</v>
      </c>
      <c r="C54" s="162" t="s">
        <v>2850</v>
      </c>
      <c r="D54" s="162" t="s">
        <v>2851</v>
      </c>
      <c r="E54" s="162" t="s">
        <v>2835</v>
      </c>
      <c r="F54" s="162">
        <v>61590.58</v>
      </c>
      <c r="G54" s="162">
        <v>1</v>
      </c>
    </row>
    <row r="55" spans="2:7">
      <c r="B55" s="162" t="s">
        <v>2832</v>
      </c>
      <c r="C55" s="162" t="s">
        <v>2852</v>
      </c>
      <c r="D55" s="162" t="s">
        <v>2853</v>
      </c>
      <c r="E55" s="162" t="s">
        <v>2835</v>
      </c>
      <c r="F55" s="162">
        <v>46676.38</v>
      </c>
      <c r="G55" s="162">
        <v>1</v>
      </c>
    </row>
    <row r="56" spans="2:7">
      <c r="B56" s="162" t="s">
        <v>2832</v>
      </c>
      <c r="C56" s="162" t="s">
        <v>2854</v>
      </c>
      <c r="D56" s="162" t="s">
        <v>2855</v>
      </c>
      <c r="E56" s="162" t="s">
        <v>2835</v>
      </c>
      <c r="F56" s="162">
        <v>40528.379999999997</v>
      </c>
      <c r="G56" s="162">
        <v>1</v>
      </c>
    </row>
    <row r="57" spans="2:7">
      <c r="B57" s="162" t="s">
        <v>2832</v>
      </c>
      <c r="C57" s="162" t="s">
        <v>2847</v>
      </c>
      <c r="D57" s="162" t="s">
        <v>2848</v>
      </c>
      <c r="E57" s="162" t="s">
        <v>2844</v>
      </c>
      <c r="F57" s="162">
        <v>124745.24</v>
      </c>
      <c r="G57" s="162">
        <v>1</v>
      </c>
    </row>
    <row r="58" spans="2:7">
      <c r="B58" s="162" t="s">
        <v>2832</v>
      </c>
      <c r="C58" s="162" t="s">
        <v>2850</v>
      </c>
      <c r="D58" s="162" t="s">
        <v>2851</v>
      </c>
      <c r="E58" s="162" t="s">
        <v>2844</v>
      </c>
      <c r="F58" s="162">
        <v>91800.44</v>
      </c>
      <c r="G58" s="162">
        <v>1</v>
      </c>
    </row>
    <row r="59" spans="2:7">
      <c r="B59" s="162" t="s">
        <v>2832</v>
      </c>
      <c r="C59" s="162" t="s">
        <v>2852</v>
      </c>
      <c r="D59" s="162" t="s">
        <v>2853</v>
      </c>
      <c r="E59" s="162" t="s">
        <v>2844</v>
      </c>
      <c r="F59" s="162">
        <v>69678.240000000005</v>
      </c>
      <c r="G59" s="162">
        <v>1</v>
      </c>
    </row>
    <row r="60" spans="2:7">
      <c r="B60" s="162" t="s">
        <v>2832</v>
      </c>
      <c r="C60" s="162" t="s">
        <v>2854</v>
      </c>
      <c r="D60" s="162" t="s">
        <v>2855</v>
      </c>
      <c r="E60" s="162" t="s">
        <v>2844</v>
      </c>
      <c r="F60" s="162">
        <v>59735.44</v>
      </c>
      <c r="G60" s="162">
        <v>1</v>
      </c>
    </row>
    <row r="61" spans="2:7">
      <c r="B61" s="162" t="s">
        <v>2832</v>
      </c>
      <c r="C61" s="162" t="s">
        <v>2847</v>
      </c>
      <c r="D61" s="162" t="s">
        <v>2848</v>
      </c>
      <c r="E61" s="162" t="s">
        <v>2845</v>
      </c>
      <c r="F61" s="162">
        <v>177440.26</v>
      </c>
      <c r="G61" s="162">
        <v>1</v>
      </c>
    </row>
    <row r="62" spans="2:7">
      <c r="B62" s="162" t="s">
        <v>2832</v>
      </c>
      <c r="C62" s="162" t="s">
        <v>2850</v>
      </c>
      <c r="D62" s="162" t="s">
        <v>2851</v>
      </c>
      <c r="E62" s="162" t="s">
        <v>2845</v>
      </c>
      <c r="F62" s="162">
        <v>129456.18</v>
      </c>
      <c r="G62" s="162">
        <v>1</v>
      </c>
    </row>
    <row r="63" spans="2:7">
      <c r="B63" s="162" t="s">
        <v>2832</v>
      </c>
      <c r="C63" s="162" t="s">
        <v>2852</v>
      </c>
      <c r="D63" s="162" t="s">
        <v>2853</v>
      </c>
      <c r="E63" s="162" t="s">
        <v>2845</v>
      </c>
      <c r="F63" s="162">
        <v>98292.18</v>
      </c>
      <c r="G63" s="162">
        <v>1</v>
      </c>
    </row>
    <row r="64" spans="2:7">
      <c r="B64" s="162" t="s">
        <v>2832</v>
      </c>
      <c r="C64" s="162" t="s">
        <v>2854</v>
      </c>
      <c r="D64" s="162" t="s">
        <v>2855</v>
      </c>
      <c r="E64" s="162" t="s">
        <v>2845</v>
      </c>
      <c r="F64" s="162">
        <v>84056.38</v>
      </c>
      <c r="G64" s="162">
        <v>1</v>
      </c>
    </row>
    <row r="65" spans="2:7" ht="28.8">
      <c r="B65" s="162" t="s">
        <v>2832</v>
      </c>
      <c r="C65" s="162" t="s">
        <v>2856</v>
      </c>
      <c r="D65" s="162" t="s">
        <v>2857</v>
      </c>
      <c r="E65" s="162" t="s">
        <v>2835</v>
      </c>
      <c r="F65" s="162">
        <v>140784.48000000001</v>
      </c>
      <c r="G65" s="162">
        <v>1</v>
      </c>
    </row>
    <row r="66" spans="2:7" ht="28.8">
      <c r="B66" s="162" t="s">
        <v>2832</v>
      </c>
      <c r="C66" s="162" t="s">
        <v>2858</v>
      </c>
      <c r="D66" s="162" t="s">
        <v>2859</v>
      </c>
      <c r="E66" s="162" t="s">
        <v>2835</v>
      </c>
      <c r="F66" s="162">
        <v>90472.639999999999</v>
      </c>
      <c r="G66" s="162">
        <v>1</v>
      </c>
    </row>
    <row r="67" spans="2:7" ht="28.8">
      <c r="B67" s="162" t="s">
        <v>2832</v>
      </c>
      <c r="C67" s="162" t="s">
        <v>2856</v>
      </c>
      <c r="D67" s="162" t="s">
        <v>2857</v>
      </c>
      <c r="E67" s="162" t="s">
        <v>2844</v>
      </c>
      <c r="F67" s="162">
        <v>213902.48</v>
      </c>
      <c r="G67" s="162">
        <v>1</v>
      </c>
    </row>
    <row r="68" spans="2:7" ht="28.8">
      <c r="B68" s="162" t="s">
        <v>2832</v>
      </c>
      <c r="C68" s="162" t="s">
        <v>2858</v>
      </c>
      <c r="D68" s="162" t="s">
        <v>2859</v>
      </c>
      <c r="E68" s="162" t="s">
        <v>2844</v>
      </c>
      <c r="F68" s="162">
        <v>138932.92000000001</v>
      </c>
      <c r="G68" s="162">
        <v>1</v>
      </c>
    </row>
    <row r="69" spans="2:7" ht="28.8">
      <c r="B69" s="162" t="s">
        <v>2832</v>
      </c>
      <c r="C69" s="162" t="s">
        <v>2856</v>
      </c>
      <c r="D69" s="162" t="s">
        <v>2857</v>
      </c>
      <c r="E69" s="162" t="s">
        <v>2845</v>
      </c>
      <c r="F69" s="162">
        <v>306596.5</v>
      </c>
      <c r="G69" s="162">
        <v>1</v>
      </c>
    </row>
    <row r="70" spans="2:7" ht="28.8">
      <c r="B70" s="162" t="s">
        <v>2832</v>
      </c>
      <c r="C70" s="162" t="s">
        <v>2858</v>
      </c>
      <c r="D70" s="162" t="s">
        <v>2859</v>
      </c>
      <c r="E70" s="162" t="s">
        <v>2845</v>
      </c>
      <c r="F70" s="162">
        <v>198277.22</v>
      </c>
      <c r="G70" s="162">
        <v>1</v>
      </c>
    </row>
    <row r="71" spans="2:7" ht="28.8">
      <c r="B71" s="162" t="s">
        <v>2832</v>
      </c>
      <c r="C71" s="162" t="s">
        <v>2856</v>
      </c>
      <c r="D71" s="162" t="s">
        <v>2857</v>
      </c>
      <c r="E71" s="162" t="s">
        <v>2846</v>
      </c>
      <c r="F71" s="162">
        <v>537493.34</v>
      </c>
      <c r="G71" s="162">
        <v>1</v>
      </c>
    </row>
    <row r="72" spans="2:7" ht="28.8">
      <c r="B72" s="162" t="s">
        <v>2832</v>
      </c>
      <c r="C72" s="162" t="s">
        <v>2858</v>
      </c>
      <c r="D72" s="162" t="s">
        <v>2859</v>
      </c>
      <c r="E72" s="162" t="s">
        <v>2846</v>
      </c>
      <c r="F72" s="162">
        <v>343332.08</v>
      </c>
      <c r="G72" s="162">
        <v>1</v>
      </c>
    </row>
    <row r="73" spans="2:7">
      <c r="B73" s="162" t="s">
        <v>2832</v>
      </c>
      <c r="C73" s="162" t="s">
        <v>2860</v>
      </c>
      <c r="D73" s="162" t="s">
        <v>2861</v>
      </c>
      <c r="E73" s="162" t="s">
        <v>2849</v>
      </c>
      <c r="F73" s="162">
        <v>59112.22</v>
      </c>
      <c r="G73" s="162">
        <v>1</v>
      </c>
    </row>
    <row r="74" spans="2:7">
      <c r="B74" s="162" t="s">
        <v>2832</v>
      </c>
      <c r="C74" s="162" t="s">
        <v>2862</v>
      </c>
      <c r="D74" s="162" t="s">
        <v>2861</v>
      </c>
      <c r="E74" s="162" t="s">
        <v>2849</v>
      </c>
      <c r="F74" s="162">
        <v>56250.22</v>
      </c>
      <c r="G74" s="162">
        <v>1</v>
      </c>
    </row>
    <row r="75" spans="2:7">
      <c r="B75" s="162" t="s">
        <v>2832</v>
      </c>
      <c r="C75" s="162" t="s">
        <v>2860</v>
      </c>
      <c r="D75" s="162" t="s">
        <v>2861</v>
      </c>
      <c r="E75" s="162" t="s">
        <v>2845</v>
      </c>
      <c r="F75" s="162">
        <v>217656.14</v>
      </c>
      <c r="G75" s="162">
        <v>1</v>
      </c>
    </row>
    <row r="76" spans="2:7">
      <c r="B76" s="162" t="s">
        <v>2832</v>
      </c>
      <c r="C76" s="162" t="s">
        <v>2862</v>
      </c>
      <c r="D76" s="162" t="s">
        <v>2861</v>
      </c>
      <c r="E76" s="162" t="s">
        <v>2845</v>
      </c>
      <c r="F76" s="162">
        <v>206019.46</v>
      </c>
      <c r="G76" s="162">
        <v>1</v>
      </c>
    </row>
    <row r="77" spans="2:7">
      <c r="B77" s="162" t="s">
        <v>2832</v>
      </c>
      <c r="C77" s="162" t="s">
        <v>2860</v>
      </c>
      <c r="D77" s="162" t="s">
        <v>2861</v>
      </c>
      <c r="E77" s="162" t="s">
        <v>2846</v>
      </c>
      <c r="F77" s="162">
        <v>384231.12</v>
      </c>
      <c r="G77" s="162">
        <v>1</v>
      </c>
    </row>
    <row r="78" spans="2:7">
      <c r="B78" s="162" t="s">
        <v>2832</v>
      </c>
      <c r="C78" s="162" t="s">
        <v>2862</v>
      </c>
      <c r="D78" s="162" t="s">
        <v>2861</v>
      </c>
      <c r="E78" s="162" t="s">
        <v>2846</v>
      </c>
      <c r="F78" s="162">
        <v>363603.52</v>
      </c>
      <c r="G78" s="162">
        <v>1</v>
      </c>
    </row>
    <row r="79" spans="2:7">
      <c r="B79" s="162" t="s">
        <v>2832</v>
      </c>
      <c r="C79" s="162" t="s">
        <v>2863</v>
      </c>
      <c r="D79" s="162" t="s">
        <v>2864</v>
      </c>
      <c r="E79" s="162" t="s">
        <v>2849</v>
      </c>
      <c r="F79" s="162">
        <v>35236.68</v>
      </c>
      <c r="G79" s="162">
        <v>1</v>
      </c>
    </row>
    <row r="80" spans="2:7">
      <c r="B80" s="162" t="s">
        <v>2832</v>
      </c>
      <c r="C80" s="162" t="s">
        <v>2865</v>
      </c>
      <c r="D80" s="162" t="s">
        <v>2866</v>
      </c>
      <c r="E80" s="162" t="s">
        <v>2849</v>
      </c>
      <c r="F80" s="162">
        <v>23788.68</v>
      </c>
      <c r="G80" s="162">
        <v>1</v>
      </c>
    </row>
    <row r="81" spans="2:7">
      <c r="B81" s="162" t="s">
        <v>2832</v>
      </c>
      <c r="C81" s="162" t="s">
        <v>2867</v>
      </c>
      <c r="D81" s="162" t="s">
        <v>2868</v>
      </c>
      <c r="E81" s="162" t="s">
        <v>2849</v>
      </c>
      <c r="F81" s="162">
        <v>19177.68</v>
      </c>
      <c r="G81" s="162">
        <v>1</v>
      </c>
    </row>
    <row r="82" spans="2:7">
      <c r="B82" s="162" t="s">
        <v>2832</v>
      </c>
      <c r="C82" s="162" t="s">
        <v>2869</v>
      </c>
      <c r="D82" s="162" t="s">
        <v>2870</v>
      </c>
      <c r="E82" s="162" t="s">
        <v>2849</v>
      </c>
      <c r="F82" s="162">
        <v>15838.68</v>
      </c>
      <c r="G82" s="162">
        <v>1</v>
      </c>
    </row>
    <row r="83" spans="2:7">
      <c r="B83" s="162" t="s">
        <v>2832</v>
      </c>
      <c r="C83" s="162" t="s">
        <v>2863</v>
      </c>
      <c r="D83" s="162" t="s">
        <v>2864</v>
      </c>
      <c r="E83" s="162" t="s">
        <v>2835</v>
      </c>
      <c r="F83" s="162">
        <v>55534.98</v>
      </c>
      <c r="G83" s="162">
        <v>1</v>
      </c>
    </row>
    <row r="84" spans="2:7">
      <c r="B84" s="162" t="s">
        <v>2832</v>
      </c>
      <c r="C84" s="162" t="s">
        <v>2865</v>
      </c>
      <c r="D84" s="162" t="s">
        <v>2866</v>
      </c>
      <c r="E84" s="162" t="s">
        <v>2835</v>
      </c>
      <c r="F84" s="162">
        <v>35681.18</v>
      </c>
      <c r="G84" s="162">
        <v>1</v>
      </c>
    </row>
    <row r="85" spans="2:7">
      <c r="B85" s="162" t="s">
        <v>2832</v>
      </c>
      <c r="C85" s="162" t="s">
        <v>2867</v>
      </c>
      <c r="D85" s="162" t="s">
        <v>2868</v>
      </c>
      <c r="E85" s="162" t="s">
        <v>2835</v>
      </c>
      <c r="F85" s="162">
        <v>28102.18</v>
      </c>
      <c r="G85" s="162">
        <v>1</v>
      </c>
    </row>
    <row r="86" spans="2:7">
      <c r="B86" s="162" t="s">
        <v>2832</v>
      </c>
      <c r="C86" s="162" t="s">
        <v>2869</v>
      </c>
      <c r="D86" s="162" t="s">
        <v>2870</v>
      </c>
      <c r="E86" s="162" t="s">
        <v>2835</v>
      </c>
      <c r="F86" s="162">
        <v>22537.18</v>
      </c>
      <c r="G86" s="162">
        <v>1</v>
      </c>
    </row>
    <row r="87" spans="2:7">
      <c r="B87" s="162" t="s">
        <v>2832</v>
      </c>
      <c r="C87" s="162" t="s">
        <v>2863</v>
      </c>
      <c r="D87" s="162" t="s">
        <v>2864</v>
      </c>
      <c r="E87" s="162" t="s">
        <v>2844</v>
      </c>
      <c r="F87" s="162">
        <v>82930.84</v>
      </c>
      <c r="G87" s="162">
        <v>1</v>
      </c>
    </row>
    <row r="88" spans="2:7">
      <c r="B88" s="162" t="s">
        <v>2832</v>
      </c>
      <c r="C88" s="162" t="s">
        <v>2865</v>
      </c>
      <c r="D88" s="162" t="s">
        <v>2866</v>
      </c>
      <c r="E88" s="162" t="s">
        <v>2844</v>
      </c>
      <c r="F88" s="162">
        <v>51130.84</v>
      </c>
      <c r="G88" s="162">
        <v>1</v>
      </c>
    </row>
    <row r="89" spans="2:7">
      <c r="B89" s="162" t="s">
        <v>2832</v>
      </c>
      <c r="C89" s="162" t="s">
        <v>2867</v>
      </c>
      <c r="D89" s="162" t="s">
        <v>2868</v>
      </c>
      <c r="E89" s="162" t="s">
        <v>2844</v>
      </c>
      <c r="F89" s="162">
        <v>39492.04</v>
      </c>
      <c r="G89" s="162">
        <v>1</v>
      </c>
    </row>
    <row r="90" spans="2:7">
      <c r="B90" s="162" t="s">
        <v>2832</v>
      </c>
      <c r="C90" s="162" t="s">
        <v>2869</v>
      </c>
      <c r="D90" s="162" t="s">
        <v>2870</v>
      </c>
      <c r="E90" s="162" t="s">
        <v>2844</v>
      </c>
      <c r="F90" s="162">
        <v>31065.040000000001</v>
      </c>
      <c r="G90" s="162">
        <v>1</v>
      </c>
    </row>
    <row r="91" spans="2:7" ht="28.8">
      <c r="B91" s="162" t="s">
        <v>2832</v>
      </c>
      <c r="C91" s="162" t="s">
        <v>2871</v>
      </c>
      <c r="D91" s="162" t="s">
        <v>2872</v>
      </c>
      <c r="E91" s="162" t="s">
        <v>2873</v>
      </c>
      <c r="F91" s="162">
        <v>53820</v>
      </c>
      <c r="G91" s="162">
        <v>1</v>
      </c>
    </row>
    <row r="92" spans="2:7" ht="28.8">
      <c r="B92" s="162" t="s">
        <v>2832</v>
      </c>
      <c r="C92" s="162" t="s">
        <v>2874</v>
      </c>
      <c r="D92" s="162" t="s">
        <v>2875</v>
      </c>
      <c r="E92" s="162" t="s">
        <v>2873</v>
      </c>
      <c r="F92" s="162">
        <v>54120</v>
      </c>
      <c r="G92" s="162">
        <v>1</v>
      </c>
    </row>
    <row r="93" spans="2:7" ht="28.8">
      <c r="B93" s="162" t="s">
        <v>2832</v>
      </c>
      <c r="C93" s="162" t="s">
        <v>2876</v>
      </c>
      <c r="D93" s="162" t="s">
        <v>2877</v>
      </c>
      <c r="E93" s="162" t="s">
        <v>2873</v>
      </c>
      <c r="F93" s="162">
        <v>59300</v>
      </c>
      <c r="G93" s="162">
        <v>1</v>
      </c>
    </row>
    <row r="94" spans="2:7" ht="28.8">
      <c r="B94" s="162" t="s">
        <v>2832</v>
      </c>
      <c r="C94" s="162" t="s">
        <v>2878</v>
      </c>
      <c r="D94" s="162" t="s">
        <v>2879</v>
      </c>
      <c r="E94" s="162" t="s">
        <v>2873</v>
      </c>
      <c r="F94" s="162">
        <v>59600</v>
      </c>
      <c r="G94" s="162">
        <v>1</v>
      </c>
    </row>
    <row r="95" spans="2:7" ht="28.8">
      <c r="B95" s="162" t="s">
        <v>2832</v>
      </c>
      <c r="C95" s="162" t="s">
        <v>2880</v>
      </c>
      <c r="D95" s="162" t="s">
        <v>2881</v>
      </c>
      <c r="E95" s="162" t="s">
        <v>2873</v>
      </c>
      <c r="F95" s="162">
        <v>68000</v>
      </c>
      <c r="G95" s="162">
        <v>1</v>
      </c>
    </row>
    <row r="96" spans="2:7">
      <c r="B96" s="162" t="s">
        <v>2882</v>
      </c>
      <c r="C96" s="162" t="s">
        <v>2883</v>
      </c>
      <c r="D96" s="162" t="s">
        <v>2884</v>
      </c>
      <c r="F96" s="162">
        <v>250</v>
      </c>
      <c r="G96" s="162">
        <v>1</v>
      </c>
    </row>
    <row r="97" spans="1:7" ht="28.8">
      <c r="A97" s="162" t="s">
        <v>146</v>
      </c>
      <c r="B97" s="162" t="s">
        <v>669</v>
      </c>
      <c r="C97" s="162" t="s">
        <v>704</v>
      </c>
      <c r="D97" s="162" t="s">
        <v>705</v>
      </c>
      <c r="F97" s="162">
        <v>1875</v>
      </c>
      <c r="G97" s="162">
        <v>1</v>
      </c>
    </row>
    <row r="98" spans="1:7" ht="28.8">
      <c r="A98" s="162" t="s">
        <v>146</v>
      </c>
      <c r="B98" s="162" t="s">
        <v>669</v>
      </c>
      <c r="C98" s="162" t="s">
        <v>706</v>
      </c>
      <c r="D98" s="162" t="s">
        <v>707</v>
      </c>
      <c r="F98" s="162">
        <v>1450</v>
      </c>
      <c r="G98" s="162">
        <v>1</v>
      </c>
    </row>
    <row r="99" spans="1:7" ht="28.8">
      <c r="A99" s="162" t="s">
        <v>146</v>
      </c>
      <c r="B99" s="162" t="s">
        <v>669</v>
      </c>
      <c r="C99" s="162" t="s">
        <v>708</v>
      </c>
      <c r="D99" s="162" t="s">
        <v>709</v>
      </c>
      <c r="F99" s="162">
        <v>2425</v>
      </c>
      <c r="G99" s="162">
        <v>1</v>
      </c>
    </row>
    <row r="100" spans="1:7" ht="100.8">
      <c r="A100" s="162" t="s">
        <v>146</v>
      </c>
      <c r="B100" s="162" t="s">
        <v>669</v>
      </c>
      <c r="C100" s="162" t="s">
        <v>710</v>
      </c>
      <c r="D100" s="162" t="s">
        <v>711</v>
      </c>
      <c r="F100" s="162">
        <v>111.99</v>
      </c>
      <c r="G100" s="162">
        <v>1</v>
      </c>
    </row>
    <row r="101" spans="1:7" ht="100.8">
      <c r="A101" s="162" t="s">
        <v>146</v>
      </c>
      <c r="B101" s="162" t="s">
        <v>669</v>
      </c>
      <c r="C101" s="162" t="s">
        <v>712</v>
      </c>
      <c r="D101" s="162" t="s">
        <v>713</v>
      </c>
      <c r="F101" s="162">
        <v>55.99</v>
      </c>
      <c r="G101" s="162">
        <v>1</v>
      </c>
    </row>
    <row r="102" spans="1:7" ht="28.8">
      <c r="A102" s="162" t="s">
        <v>146</v>
      </c>
      <c r="B102" s="162" t="s">
        <v>669</v>
      </c>
      <c r="C102" s="162" t="s">
        <v>714</v>
      </c>
      <c r="D102" s="162" t="s">
        <v>715</v>
      </c>
      <c r="F102" s="162">
        <v>44.99</v>
      </c>
      <c r="G102" s="162">
        <v>1</v>
      </c>
    </row>
    <row r="103" spans="1:7" ht="72">
      <c r="A103" s="162" t="s">
        <v>146</v>
      </c>
      <c r="B103" s="162" t="s">
        <v>669</v>
      </c>
      <c r="C103" s="162" t="s">
        <v>716</v>
      </c>
      <c r="D103" s="162" t="s">
        <v>717</v>
      </c>
      <c r="F103" s="162">
        <v>36.99</v>
      </c>
      <c r="G103" s="162">
        <v>1</v>
      </c>
    </row>
    <row r="104" spans="1:7" ht="43.2">
      <c r="A104" s="162" t="s">
        <v>146</v>
      </c>
      <c r="B104" s="162" t="s">
        <v>669</v>
      </c>
      <c r="C104" s="162" t="s">
        <v>718</v>
      </c>
      <c r="D104" s="162" t="s">
        <v>719</v>
      </c>
      <c r="F104" s="162">
        <v>59.99</v>
      </c>
      <c r="G104" s="162">
        <v>1</v>
      </c>
    </row>
    <row r="105" spans="1:7">
      <c r="B105" s="162" t="s">
        <v>670</v>
      </c>
      <c r="C105" s="162" t="s">
        <v>720</v>
      </c>
      <c r="D105" s="162" t="s">
        <v>2885</v>
      </c>
      <c r="F105" s="162">
        <v>329</v>
      </c>
      <c r="G105" s="162">
        <v>1</v>
      </c>
    </row>
    <row r="106" spans="1:7">
      <c r="B106" s="162" t="s">
        <v>670</v>
      </c>
      <c r="C106" s="162" t="s">
        <v>2886</v>
      </c>
      <c r="D106" s="162" t="s">
        <v>2887</v>
      </c>
      <c r="F106" s="162">
        <v>449</v>
      </c>
      <c r="G106" s="162">
        <v>1</v>
      </c>
    </row>
    <row r="107" spans="1:7" ht="72">
      <c r="B107" s="162" t="s">
        <v>671</v>
      </c>
      <c r="C107" s="162" t="s">
        <v>721</v>
      </c>
      <c r="D107" s="162" t="s">
        <v>722</v>
      </c>
      <c r="F107" s="162">
        <v>4050</v>
      </c>
      <c r="G107" s="162">
        <v>1</v>
      </c>
    </row>
    <row r="108" spans="1:7" ht="72">
      <c r="B108" s="162" t="s">
        <v>671</v>
      </c>
      <c r="C108" s="162" t="s">
        <v>723</v>
      </c>
      <c r="D108" s="162" t="s">
        <v>724</v>
      </c>
      <c r="F108" s="162">
        <v>4195</v>
      </c>
      <c r="G108" s="162">
        <v>1</v>
      </c>
    </row>
    <row r="109" spans="1:7" ht="72">
      <c r="B109" s="162" t="s">
        <v>671</v>
      </c>
      <c r="C109" s="162" t="s">
        <v>725</v>
      </c>
      <c r="D109" s="162" t="s">
        <v>726</v>
      </c>
      <c r="F109" s="162">
        <v>4525</v>
      </c>
      <c r="G109" s="162">
        <v>1</v>
      </c>
    </row>
    <row r="110" spans="1:7" ht="72">
      <c r="B110" s="162" t="s">
        <v>671</v>
      </c>
      <c r="C110" s="162" t="s">
        <v>727</v>
      </c>
      <c r="D110" s="162" t="s">
        <v>728</v>
      </c>
      <c r="F110" s="162">
        <v>4650</v>
      </c>
      <c r="G110" s="162">
        <v>1</v>
      </c>
    </row>
    <row r="111" spans="1:7" ht="72">
      <c r="B111" s="162" t="s">
        <v>671</v>
      </c>
      <c r="C111" s="162" t="s">
        <v>729</v>
      </c>
      <c r="D111" s="162" t="s">
        <v>730</v>
      </c>
      <c r="F111" s="162">
        <v>4725</v>
      </c>
      <c r="G111" s="162">
        <v>1</v>
      </c>
    </row>
    <row r="112" spans="1:7" ht="72">
      <c r="B112" s="162" t="s">
        <v>671</v>
      </c>
      <c r="C112" s="162" t="s">
        <v>731</v>
      </c>
      <c r="D112" s="162" t="s">
        <v>732</v>
      </c>
      <c r="F112" s="162">
        <v>4850</v>
      </c>
      <c r="G112" s="162">
        <v>1</v>
      </c>
    </row>
    <row r="113" spans="2:7" ht="72">
      <c r="B113" s="162" t="s">
        <v>671</v>
      </c>
      <c r="C113" s="162" t="s">
        <v>733</v>
      </c>
      <c r="D113" s="162" t="s">
        <v>734</v>
      </c>
      <c r="F113" s="162">
        <v>4975</v>
      </c>
      <c r="G113" s="162">
        <v>1</v>
      </c>
    </row>
    <row r="114" spans="2:7" ht="72">
      <c r="B114" s="162" t="s">
        <v>671</v>
      </c>
      <c r="C114" s="162" t="s">
        <v>735</v>
      </c>
      <c r="D114" s="162" t="s">
        <v>736</v>
      </c>
      <c r="F114" s="162">
        <v>5125</v>
      </c>
      <c r="G114" s="162">
        <v>1</v>
      </c>
    </row>
    <row r="115" spans="2:7" ht="57.6">
      <c r="B115" s="162" t="s">
        <v>671</v>
      </c>
      <c r="C115" s="162" t="s">
        <v>737</v>
      </c>
      <c r="D115" s="162" t="s">
        <v>738</v>
      </c>
      <c r="F115" s="162">
        <v>6475</v>
      </c>
      <c r="G115" s="162">
        <v>1</v>
      </c>
    </row>
    <row r="116" spans="2:7" ht="374.4">
      <c r="B116" s="162" t="s">
        <v>671</v>
      </c>
      <c r="C116" s="162" t="s">
        <v>739</v>
      </c>
      <c r="D116" s="162" t="s">
        <v>740</v>
      </c>
      <c r="F116" s="162">
        <v>7349.9999999999982</v>
      </c>
      <c r="G116" s="162">
        <v>1</v>
      </c>
    </row>
    <row r="117" spans="2:7" ht="374.4">
      <c r="B117" s="162" t="s">
        <v>671</v>
      </c>
      <c r="C117" s="162" t="s">
        <v>741</v>
      </c>
      <c r="D117" s="162" t="s">
        <v>742</v>
      </c>
      <c r="F117" s="162">
        <v>7524.9999999999982</v>
      </c>
      <c r="G117" s="162">
        <v>1</v>
      </c>
    </row>
    <row r="118" spans="2:7" ht="72">
      <c r="B118" s="162" t="s">
        <v>671</v>
      </c>
      <c r="C118" s="162" t="s">
        <v>743</v>
      </c>
      <c r="D118" s="162" t="s">
        <v>744</v>
      </c>
      <c r="F118" s="162">
        <v>6013</v>
      </c>
      <c r="G118" s="162">
        <v>1</v>
      </c>
    </row>
    <row r="119" spans="2:7" ht="72">
      <c r="B119" s="162" t="s">
        <v>671</v>
      </c>
      <c r="C119" s="162" t="s">
        <v>745</v>
      </c>
      <c r="D119" s="162" t="s">
        <v>746</v>
      </c>
      <c r="F119" s="162">
        <v>6685</v>
      </c>
      <c r="G119" s="162">
        <v>1</v>
      </c>
    </row>
    <row r="120" spans="2:7" ht="72">
      <c r="B120" s="162" t="s">
        <v>671</v>
      </c>
      <c r="C120" s="162" t="s">
        <v>747</v>
      </c>
      <c r="D120" s="162" t="s">
        <v>748</v>
      </c>
      <c r="F120" s="162">
        <v>7070</v>
      </c>
      <c r="G120" s="162">
        <v>1</v>
      </c>
    </row>
    <row r="121" spans="2:7" ht="72">
      <c r="B121" s="162" t="s">
        <v>671</v>
      </c>
      <c r="C121" s="162" t="s">
        <v>749</v>
      </c>
      <c r="D121" s="162" t="s">
        <v>750</v>
      </c>
      <c r="F121" s="162">
        <v>5635</v>
      </c>
      <c r="G121" s="162">
        <v>1</v>
      </c>
    </row>
    <row r="122" spans="2:7" ht="72">
      <c r="B122" s="162" t="s">
        <v>671</v>
      </c>
      <c r="C122" s="162" t="s">
        <v>751</v>
      </c>
      <c r="D122" s="162" t="s">
        <v>752</v>
      </c>
      <c r="F122" s="162">
        <v>6153</v>
      </c>
      <c r="G122" s="162">
        <v>1</v>
      </c>
    </row>
    <row r="123" spans="2:7" ht="57.6">
      <c r="B123" s="162" t="s">
        <v>671</v>
      </c>
      <c r="C123" s="162" t="s">
        <v>753</v>
      </c>
      <c r="D123" s="162" t="s">
        <v>754</v>
      </c>
      <c r="F123" s="162">
        <v>5635</v>
      </c>
      <c r="G123" s="162">
        <v>1</v>
      </c>
    </row>
    <row r="124" spans="2:7" ht="57.6">
      <c r="B124" s="162" t="s">
        <v>671</v>
      </c>
      <c r="C124" s="162" t="s">
        <v>755</v>
      </c>
      <c r="D124" s="162" t="s">
        <v>756</v>
      </c>
      <c r="F124" s="162">
        <v>6153</v>
      </c>
      <c r="G124" s="162">
        <v>1</v>
      </c>
    </row>
    <row r="125" spans="2:7" ht="57.6">
      <c r="B125" s="162" t="s">
        <v>671</v>
      </c>
      <c r="C125" s="162" t="s">
        <v>757</v>
      </c>
      <c r="D125" s="162" t="s">
        <v>758</v>
      </c>
      <c r="F125" s="162">
        <v>6293</v>
      </c>
      <c r="G125" s="162">
        <v>1</v>
      </c>
    </row>
    <row r="126" spans="2:7" ht="57.6">
      <c r="B126" s="162" t="s">
        <v>671</v>
      </c>
      <c r="C126" s="162" t="s">
        <v>759</v>
      </c>
      <c r="D126" s="162" t="s">
        <v>760</v>
      </c>
      <c r="F126" s="162">
        <v>6853</v>
      </c>
      <c r="G126" s="162">
        <v>1</v>
      </c>
    </row>
    <row r="127" spans="2:7" ht="72">
      <c r="B127" s="162" t="s">
        <v>671</v>
      </c>
      <c r="C127" s="162" t="s">
        <v>761</v>
      </c>
      <c r="D127" s="162" t="s">
        <v>762</v>
      </c>
      <c r="F127" s="162">
        <v>1785</v>
      </c>
      <c r="G127" s="162">
        <v>1</v>
      </c>
    </row>
    <row r="128" spans="2:7" ht="72">
      <c r="B128" s="162" t="s">
        <v>671</v>
      </c>
      <c r="C128" s="162" t="s">
        <v>763</v>
      </c>
      <c r="D128" s="162" t="s">
        <v>764</v>
      </c>
      <c r="F128" s="162">
        <v>1825</v>
      </c>
      <c r="G128" s="162">
        <v>1</v>
      </c>
    </row>
    <row r="129" spans="2:7" ht="72">
      <c r="B129" s="162" t="s">
        <v>671</v>
      </c>
      <c r="C129" s="162" t="s">
        <v>765</v>
      </c>
      <c r="D129" s="162" t="s">
        <v>764</v>
      </c>
      <c r="F129" s="162">
        <v>2425</v>
      </c>
      <c r="G129" s="162">
        <v>1</v>
      </c>
    </row>
    <row r="130" spans="2:7" ht="72">
      <c r="B130" s="162" t="s">
        <v>671</v>
      </c>
      <c r="C130" s="162" t="s">
        <v>766</v>
      </c>
      <c r="D130" s="162" t="s">
        <v>767</v>
      </c>
      <c r="F130" s="162">
        <v>2495</v>
      </c>
      <c r="G130" s="162">
        <v>1</v>
      </c>
    </row>
    <row r="131" spans="2:7" ht="72">
      <c r="B131" s="162" t="s">
        <v>671</v>
      </c>
      <c r="C131" s="162" t="s">
        <v>768</v>
      </c>
      <c r="D131" s="162" t="s">
        <v>769</v>
      </c>
      <c r="F131" s="162">
        <v>1895</v>
      </c>
      <c r="G131" s="162">
        <v>1</v>
      </c>
    </row>
    <row r="132" spans="2:7" ht="86.4">
      <c r="B132" s="162" t="s">
        <v>671</v>
      </c>
      <c r="C132" s="162" t="s">
        <v>770</v>
      </c>
      <c r="D132" s="162" t="s">
        <v>771</v>
      </c>
      <c r="F132" s="162">
        <v>2425</v>
      </c>
      <c r="G132" s="162">
        <v>1</v>
      </c>
    </row>
    <row r="133" spans="2:7" ht="115.2">
      <c r="B133" s="162" t="s">
        <v>671</v>
      </c>
      <c r="C133" s="162" t="s">
        <v>772</v>
      </c>
      <c r="D133" s="162" t="s">
        <v>773</v>
      </c>
      <c r="F133" s="162">
        <v>2425</v>
      </c>
      <c r="G133" s="162">
        <v>1</v>
      </c>
    </row>
    <row r="134" spans="2:7" ht="43.2">
      <c r="B134" s="162" t="s">
        <v>671</v>
      </c>
      <c r="C134" s="162" t="s">
        <v>774</v>
      </c>
      <c r="D134" s="162" t="s">
        <v>775</v>
      </c>
      <c r="F134" s="162">
        <v>3025</v>
      </c>
      <c r="G134" s="162">
        <v>1</v>
      </c>
    </row>
    <row r="135" spans="2:7" ht="43.2">
      <c r="B135" s="162" t="s">
        <v>671</v>
      </c>
      <c r="C135" s="162" t="s">
        <v>776</v>
      </c>
      <c r="D135" s="162" t="s">
        <v>777</v>
      </c>
      <c r="F135" s="162">
        <v>3475</v>
      </c>
      <c r="G135" s="162">
        <v>1</v>
      </c>
    </row>
    <row r="136" spans="2:7" ht="43.2">
      <c r="B136" s="162" t="s">
        <v>671</v>
      </c>
      <c r="C136" s="162" t="s">
        <v>778</v>
      </c>
      <c r="D136" s="162" t="s">
        <v>779</v>
      </c>
      <c r="F136" s="162">
        <v>3250</v>
      </c>
      <c r="G136" s="162">
        <v>1</v>
      </c>
    </row>
    <row r="137" spans="2:7" ht="43.2">
      <c r="B137" s="162" t="s">
        <v>671</v>
      </c>
      <c r="C137" s="162" t="s">
        <v>780</v>
      </c>
      <c r="D137" s="162" t="s">
        <v>781</v>
      </c>
      <c r="F137" s="162">
        <v>3475</v>
      </c>
      <c r="G137" s="162">
        <v>1</v>
      </c>
    </row>
    <row r="138" spans="2:7" ht="43.2">
      <c r="B138" s="162" t="s">
        <v>671</v>
      </c>
      <c r="C138" s="162" t="s">
        <v>782</v>
      </c>
      <c r="D138" s="162" t="s">
        <v>783</v>
      </c>
      <c r="F138" s="162">
        <v>1675</v>
      </c>
      <c r="G138" s="162">
        <v>1</v>
      </c>
    </row>
    <row r="139" spans="2:7" ht="43.2">
      <c r="B139" s="162" t="s">
        <v>671</v>
      </c>
      <c r="C139" s="162" t="s">
        <v>784</v>
      </c>
      <c r="D139" s="162" t="s">
        <v>785</v>
      </c>
      <c r="F139" s="162">
        <v>1825</v>
      </c>
      <c r="G139" s="162">
        <v>1</v>
      </c>
    </row>
    <row r="140" spans="2:7" ht="43.2">
      <c r="B140" s="162" t="s">
        <v>671</v>
      </c>
      <c r="C140" s="162" t="s">
        <v>786</v>
      </c>
      <c r="D140" s="162" t="s">
        <v>787</v>
      </c>
      <c r="F140" s="162">
        <v>4650</v>
      </c>
      <c r="G140" s="162">
        <v>1</v>
      </c>
    </row>
    <row r="141" spans="2:7" ht="216">
      <c r="B141" s="162" t="s">
        <v>671</v>
      </c>
      <c r="C141" s="162" t="s">
        <v>788</v>
      </c>
      <c r="D141" s="162" t="s">
        <v>2888</v>
      </c>
      <c r="F141" s="162">
        <v>6725</v>
      </c>
      <c r="G141" s="162">
        <v>1</v>
      </c>
    </row>
    <row r="142" spans="2:7" ht="216">
      <c r="B142" s="162" t="s">
        <v>671</v>
      </c>
      <c r="C142" s="162" t="s">
        <v>2889</v>
      </c>
      <c r="D142" s="162" t="s">
        <v>2890</v>
      </c>
      <c r="F142" s="162">
        <v>7050</v>
      </c>
      <c r="G142" s="162">
        <v>1</v>
      </c>
    </row>
    <row r="143" spans="2:7" ht="57.6">
      <c r="B143" s="162" t="s">
        <v>671</v>
      </c>
      <c r="C143" s="162" t="s">
        <v>789</v>
      </c>
      <c r="D143" s="162" t="s">
        <v>790</v>
      </c>
      <c r="F143" s="162">
        <v>5125</v>
      </c>
      <c r="G143" s="162">
        <v>1</v>
      </c>
    </row>
    <row r="144" spans="2:7" ht="86.4">
      <c r="B144" s="162" t="s">
        <v>671</v>
      </c>
      <c r="C144" s="162" t="s">
        <v>791</v>
      </c>
      <c r="D144" s="162" t="s">
        <v>792</v>
      </c>
      <c r="F144" s="162">
        <v>7025</v>
      </c>
      <c r="G144" s="162">
        <v>1</v>
      </c>
    </row>
    <row r="145" spans="2:7" ht="115.2">
      <c r="B145" s="162" t="s">
        <v>671</v>
      </c>
      <c r="C145" s="162" t="s">
        <v>793</v>
      </c>
      <c r="D145" s="162" t="s">
        <v>794</v>
      </c>
      <c r="F145" s="162">
        <v>6650</v>
      </c>
      <c r="G145" s="162">
        <v>1</v>
      </c>
    </row>
    <row r="146" spans="2:7" ht="28.8">
      <c r="B146" s="162" t="s">
        <v>671</v>
      </c>
      <c r="C146" s="162" t="s">
        <v>795</v>
      </c>
      <c r="D146" s="162" t="s">
        <v>796</v>
      </c>
      <c r="F146" s="162">
        <v>3850</v>
      </c>
      <c r="G146" s="162">
        <v>1</v>
      </c>
    </row>
    <row r="147" spans="2:7" ht="28.8">
      <c r="B147" s="162" t="s">
        <v>671</v>
      </c>
      <c r="C147" s="162" t="s">
        <v>797</v>
      </c>
      <c r="D147" s="162" t="s">
        <v>798</v>
      </c>
      <c r="F147" s="162">
        <v>2250</v>
      </c>
      <c r="G147" s="162">
        <v>1</v>
      </c>
    </row>
    <row r="148" spans="2:7" ht="129.6">
      <c r="B148" s="162" t="s">
        <v>671</v>
      </c>
      <c r="C148" s="162" t="s">
        <v>799</v>
      </c>
      <c r="D148" s="162" t="s">
        <v>800</v>
      </c>
      <c r="F148" s="162">
        <v>2075</v>
      </c>
      <c r="G148" s="162">
        <v>1</v>
      </c>
    </row>
    <row r="149" spans="2:7" ht="100.8">
      <c r="B149" s="162" t="s">
        <v>671</v>
      </c>
      <c r="C149" s="162" t="s">
        <v>2891</v>
      </c>
      <c r="D149" s="162" t="s">
        <v>2892</v>
      </c>
      <c r="F149" s="162" t="s">
        <v>1747</v>
      </c>
      <c r="G149" s="162">
        <v>1</v>
      </c>
    </row>
    <row r="150" spans="2:7">
      <c r="B150" s="162" t="s">
        <v>672</v>
      </c>
      <c r="C150" s="162" t="s">
        <v>801</v>
      </c>
      <c r="D150" s="162" t="s">
        <v>802</v>
      </c>
      <c r="F150" s="162">
        <v>243</v>
      </c>
      <c r="G150" s="162">
        <v>1</v>
      </c>
    </row>
    <row r="151" spans="2:7" ht="57.6">
      <c r="B151" s="162" t="s">
        <v>26</v>
      </c>
      <c r="C151" s="162" t="s">
        <v>204</v>
      </c>
      <c r="D151" s="162" t="s">
        <v>205</v>
      </c>
      <c r="E151" s="162" t="s">
        <v>2893</v>
      </c>
      <c r="F151" s="162">
        <v>1065</v>
      </c>
      <c r="G151" s="162">
        <v>1</v>
      </c>
    </row>
    <row r="152" spans="2:7" ht="28.8">
      <c r="B152" s="162" t="s">
        <v>26</v>
      </c>
      <c r="C152" s="162" t="s">
        <v>206</v>
      </c>
      <c r="D152" s="162" t="s">
        <v>207</v>
      </c>
      <c r="E152" s="162" t="s">
        <v>2893</v>
      </c>
      <c r="F152" s="162">
        <v>433</v>
      </c>
      <c r="G152" s="162">
        <v>1</v>
      </c>
    </row>
    <row r="153" spans="2:7" ht="43.2">
      <c r="B153" s="162" t="s">
        <v>26</v>
      </c>
      <c r="C153" s="162" t="s">
        <v>208</v>
      </c>
      <c r="D153" s="162" t="s">
        <v>209</v>
      </c>
      <c r="E153" s="162" t="s">
        <v>2893</v>
      </c>
      <c r="F153" s="162">
        <v>883</v>
      </c>
      <c r="G153" s="162">
        <v>1</v>
      </c>
    </row>
    <row r="154" spans="2:7" ht="43.2">
      <c r="B154" s="162" t="s">
        <v>26</v>
      </c>
      <c r="C154" s="162" t="s">
        <v>210</v>
      </c>
      <c r="D154" s="162" t="s">
        <v>211</v>
      </c>
      <c r="E154" s="162" t="s">
        <v>2893</v>
      </c>
      <c r="F154" s="162">
        <v>712</v>
      </c>
      <c r="G154" s="162">
        <v>1</v>
      </c>
    </row>
    <row r="155" spans="2:7" ht="28.8">
      <c r="B155" s="162" t="s">
        <v>26</v>
      </c>
      <c r="C155" s="162" t="s">
        <v>212</v>
      </c>
      <c r="D155" s="162" t="s">
        <v>213</v>
      </c>
      <c r="E155" s="162" t="s">
        <v>2893</v>
      </c>
      <c r="F155" s="162">
        <v>562</v>
      </c>
      <c r="G155" s="162">
        <v>1</v>
      </c>
    </row>
    <row r="156" spans="2:7" ht="28.8">
      <c r="B156" s="162" t="s">
        <v>26</v>
      </c>
      <c r="C156" s="162" t="s">
        <v>214</v>
      </c>
      <c r="D156" s="162" t="s">
        <v>215</v>
      </c>
      <c r="E156" s="162" t="s">
        <v>2893</v>
      </c>
      <c r="F156" s="162">
        <v>1332</v>
      </c>
      <c r="G156" s="162">
        <v>1</v>
      </c>
    </row>
    <row r="157" spans="2:7" ht="28.8">
      <c r="B157" s="162" t="s">
        <v>26</v>
      </c>
      <c r="C157" s="162" t="s">
        <v>2894</v>
      </c>
      <c r="D157" s="162" t="s">
        <v>2895</v>
      </c>
      <c r="E157" s="162" t="s">
        <v>2893</v>
      </c>
      <c r="F157" s="162">
        <v>600</v>
      </c>
      <c r="G157" s="162">
        <v>1</v>
      </c>
    </row>
    <row r="158" spans="2:7" ht="28.8">
      <c r="B158" s="162" t="s">
        <v>26</v>
      </c>
      <c r="C158" s="162" t="s">
        <v>216</v>
      </c>
      <c r="D158" s="162" t="s">
        <v>217</v>
      </c>
      <c r="E158" s="162" t="s">
        <v>2893</v>
      </c>
      <c r="F158" s="162">
        <v>562</v>
      </c>
      <c r="G158" s="162">
        <v>1</v>
      </c>
    </row>
    <row r="159" spans="2:7" ht="28.8">
      <c r="B159" s="162" t="s">
        <v>26</v>
      </c>
      <c r="C159" s="162" t="s">
        <v>218</v>
      </c>
      <c r="D159" s="162" t="s">
        <v>219</v>
      </c>
      <c r="E159" s="162" t="s">
        <v>2893</v>
      </c>
      <c r="F159" s="162">
        <v>856</v>
      </c>
      <c r="G159" s="162">
        <v>1</v>
      </c>
    </row>
    <row r="160" spans="2:7" ht="28.8">
      <c r="B160" s="162" t="s">
        <v>26</v>
      </c>
      <c r="C160" s="162" t="s">
        <v>2896</v>
      </c>
      <c r="D160" s="162" t="s">
        <v>2897</v>
      </c>
      <c r="E160" s="162" t="s">
        <v>2893</v>
      </c>
      <c r="F160" s="162">
        <v>480</v>
      </c>
      <c r="G160" s="162">
        <v>1</v>
      </c>
    </row>
    <row r="161" spans="2:7" ht="28.8">
      <c r="B161" s="162" t="s">
        <v>26</v>
      </c>
      <c r="C161" s="162" t="s">
        <v>220</v>
      </c>
      <c r="D161" s="162" t="s">
        <v>221</v>
      </c>
      <c r="E161" s="162" t="s">
        <v>2893</v>
      </c>
      <c r="F161" s="162">
        <v>51</v>
      </c>
      <c r="G161" s="162">
        <v>1</v>
      </c>
    </row>
    <row r="162" spans="2:7" ht="28.8">
      <c r="B162" s="162" t="s">
        <v>26</v>
      </c>
      <c r="C162" s="162" t="s">
        <v>222</v>
      </c>
      <c r="D162" s="162" t="s">
        <v>223</v>
      </c>
      <c r="E162" s="162" t="s">
        <v>2893</v>
      </c>
      <c r="F162" s="162">
        <v>1552</v>
      </c>
      <c r="G162" s="162">
        <v>1</v>
      </c>
    </row>
    <row r="163" spans="2:7" ht="43.2">
      <c r="B163" s="162" t="s">
        <v>26</v>
      </c>
      <c r="C163" s="162" t="s">
        <v>224</v>
      </c>
      <c r="D163" s="162" t="s">
        <v>225</v>
      </c>
      <c r="E163" s="162" t="s">
        <v>2893</v>
      </c>
      <c r="F163" s="162">
        <v>1017</v>
      </c>
      <c r="G163" s="162">
        <v>1</v>
      </c>
    </row>
    <row r="164" spans="2:7" ht="28.8">
      <c r="B164" s="162" t="s">
        <v>26</v>
      </c>
      <c r="C164" s="162" t="s">
        <v>226</v>
      </c>
      <c r="D164" s="162" t="s">
        <v>227</v>
      </c>
      <c r="E164" s="162" t="s">
        <v>2893</v>
      </c>
      <c r="F164" s="162">
        <v>803</v>
      </c>
      <c r="G164" s="162">
        <v>1</v>
      </c>
    </row>
    <row r="165" spans="2:7" ht="28.8">
      <c r="B165" s="162" t="s">
        <v>26</v>
      </c>
      <c r="C165" s="162" t="s">
        <v>228</v>
      </c>
      <c r="D165" s="162" t="s">
        <v>229</v>
      </c>
      <c r="E165" s="162" t="s">
        <v>2893</v>
      </c>
      <c r="F165" s="162">
        <v>803</v>
      </c>
      <c r="G165" s="162">
        <v>1</v>
      </c>
    </row>
    <row r="166" spans="2:7" ht="28.8">
      <c r="B166" s="162" t="s">
        <v>26</v>
      </c>
      <c r="C166" s="162" t="s">
        <v>230</v>
      </c>
      <c r="D166" s="162" t="s">
        <v>231</v>
      </c>
      <c r="E166" s="162" t="s">
        <v>2893</v>
      </c>
      <c r="F166" s="162">
        <v>920</v>
      </c>
      <c r="G166" s="162">
        <v>1</v>
      </c>
    </row>
    <row r="167" spans="2:7" ht="28.8">
      <c r="B167" s="162" t="s">
        <v>26</v>
      </c>
      <c r="C167" s="162" t="s">
        <v>232</v>
      </c>
      <c r="D167" s="162" t="s">
        <v>233</v>
      </c>
      <c r="E167" s="162" t="s">
        <v>2893</v>
      </c>
      <c r="F167" s="162">
        <v>920</v>
      </c>
      <c r="G167" s="162">
        <v>1</v>
      </c>
    </row>
    <row r="168" spans="2:7" ht="28.8">
      <c r="B168" s="162" t="s">
        <v>26</v>
      </c>
      <c r="C168" s="162" t="s">
        <v>234</v>
      </c>
      <c r="D168" s="162" t="s">
        <v>235</v>
      </c>
      <c r="E168" s="162" t="s">
        <v>2893</v>
      </c>
      <c r="F168" s="162">
        <v>1701</v>
      </c>
      <c r="G168" s="162">
        <v>1</v>
      </c>
    </row>
    <row r="169" spans="2:7" ht="43.2">
      <c r="B169" s="162" t="s">
        <v>26</v>
      </c>
      <c r="C169" s="162" t="s">
        <v>236</v>
      </c>
      <c r="D169" s="162" t="s">
        <v>237</v>
      </c>
      <c r="E169" s="162" t="s">
        <v>2893</v>
      </c>
      <c r="F169" s="162">
        <v>1043</v>
      </c>
      <c r="G169" s="162">
        <v>1</v>
      </c>
    </row>
    <row r="170" spans="2:7" ht="43.2">
      <c r="B170" s="162" t="s">
        <v>26</v>
      </c>
      <c r="C170" s="162" t="s">
        <v>238</v>
      </c>
      <c r="D170" s="162" t="s">
        <v>239</v>
      </c>
      <c r="E170" s="162" t="s">
        <v>2893</v>
      </c>
      <c r="F170" s="162">
        <v>696</v>
      </c>
      <c r="G170" s="162">
        <v>1</v>
      </c>
    </row>
    <row r="171" spans="2:7" ht="28.8">
      <c r="B171" s="162" t="s">
        <v>26</v>
      </c>
      <c r="C171" s="162" t="s">
        <v>240</v>
      </c>
      <c r="D171" s="162" t="s">
        <v>241</v>
      </c>
      <c r="E171" s="162" t="s">
        <v>2893</v>
      </c>
      <c r="F171" s="162">
        <v>1391</v>
      </c>
      <c r="G171" s="162">
        <v>1</v>
      </c>
    </row>
    <row r="172" spans="2:7" ht="28.8">
      <c r="B172" s="162" t="s">
        <v>26</v>
      </c>
      <c r="C172" s="162" t="s">
        <v>242</v>
      </c>
      <c r="D172" s="162" t="s">
        <v>243</v>
      </c>
      <c r="E172" s="162" t="s">
        <v>2893</v>
      </c>
      <c r="F172" s="162">
        <v>2087</v>
      </c>
      <c r="G172" s="162">
        <v>1</v>
      </c>
    </row>
    <row r="173" spans="2:7" ht="28.8">
      <c r="B173" s="162" t="s">
        <v>26</v>
      </c>
      <c r="C173" s="162" t="s">
        <v>244</v>
      </c>
      <c r="D173" s="162" t="s">
        <v>245</v>
      </c>
      <c r="E173" s="162" t="s">
        <v>2893</v>
      </c>
      <c r="F173" s="162">
        <v>660</v>
      </c>
      <c r="G173" s="162">
        <v>1</v>
      </c>
    </row>
    <row r="174" spans="2:7" ht="28.8">
      <c r="B174" s="162" t="s">
        <v>26</v>
      </c>
      <c r="C174" s="162" t="s">
        <v>246</v>
      </c>
      <c r="D174" s="162" t="s">
        <v>247</v>
      </c>
      <c r="E174" s="162" t="s">
        <v>2893</v>
      </c>
      <c r="F174" s="162">
        <v>294</v>
      </c>
      <c r="G174" s="162">
        <v>1</v>
      </c>
    </row>
    <row r="175" spans="2:7" ht="28.8">
      <c r="B175" s="162" t="s">
        <v>26</v>
      </c>
      <c r="C175" s="162" t="s">
        <v>248</v>
      </c>
      <c r="D175" s="162" t="s">
        <v>249</v>
      </c>
      <c r="E175" s="162" t="s">
        <v>2893</v>
      </c>
      <c r="F175" s="162">
        <v>530</v>
      </c>
      <c r="G175" s="162">
        <v>1</v>
      </c>
    </row>
    <row r="176" spans="2:7" ht="28.8">
      <c r="B176" s="162" t="s">
        <v>26</v>
      </c>
      <c r="C176" s="162" t="s">
        <v>250</v>
      </c>
      <c r="D176" s="162" t="s">
        <v>251</v>
      </c>
      <c r="E176" s="162" t="s">
        <v>2893</v>
      </c>
      <c r="F176" s="162">
        <v>530</v>
      </c>
      <c r="G176" s="162">
        <v>1</v>
      </c>
    </row>
    <row r="177" spans="2:7" ht="28.8">
      <c r="B177" s="162" t="s">
        <v>26</v>
      </c>
      <c r="C177" s="162" t="s">
        <v>252</v>
      </c>
      <c r="D177" s="162" t="s">
        <v>253</v>
      </c>
      <c r="E177" s="162" t="s">
        <v>2893</v>
      </c>
      <c r="F177" s="162">
        <v>530</v>
      </c>
      <c r="G177" s="162">
        <v>1</v>
      </c>
    </row>
    <row r="178" spans="2:7" ht="28.8">
      <c r="B178" s="162" t="s">
        <v>26</v>
      </c>
      <c r="C178" s="162" t="s">
        <v>254</v>
      </c>
      <c r="D178" s="162" t="s">
        <v>255</v>
      </c>
      <c r="E178" s="162" t="s">
        <v>2893</v>
      </c>
      <c r="F178" s="162">
        <v>369</v>
      </c>
      <c r="G178" s="162">
        <v>1</v>
      </c>
    </row>
    <row r="179" spans="2:7" ht="28.8">
      <c r="B179" s="162" t="s">
        <v>26</v>
      </c>
      <c r="C179" s="162" t="s">
        <v>256</v>
      </c>
      <c r="D179" s="162" t="s">
        <v>257</v>
      </c>
      <c r="E179" s="162" t="s">
        <v>2893</v>
      </c>
      <c r="F179" s="162">
        <v>423</v>
      </c>
      <c r="G179" s="162">
        <v>1</v>
      </c>
    </row>
    <row r="180" spans="2:7" ht="28.8">
      <c r="B180" s="162" t="s">
        <v>26</v>
      </c>
      <c r="C180" s="162" t="s">
        <v>258</v>
      </c>
      <c r="D180" s="162" t="s">
        <v>259</v>
      </c>
      <c r="E180" s="162" t="s">
        <v>2893</v>
      </c>
      <c r="F180" s="162">
        <v>621</v>
      </c>
      <c r="G180" s="162">
        <v>1</v>
      </c>
    </row>
    <row r="181" spans="2:7">
      <c r="B181" s="162" t="s">
        <v>26</v>
      </c>
      <c r="C181" s="162" t="s">
        <v>260</v>
      </c>
      <c r="D181" s="162" t="s">
        <v>261</v>
      </c>
      <c r="E181" s="162" t="s">
        <v>2898</v>
      </c>
      <c r="F181" s="162">
        <v>2589</v>
      </c>
      <c r="G181" s="162">
        <v>1</v>
      </c>
    </row>
    <row r="182" spans="2:7">
      <c r="B182" s="162" t="s">
        <v>26</v>
      </c>
      <c r="C182" s="162" t="s">
        <v>262</v>
      </c>
      <c r="D182" s="162" t="s">
        <v>263</v>
      </c>
      <c r="E182" s="162" t="s">
        <v>2898</v>
      </c>
      <c r="F182" s="162">
        <v>4193</v>
      </c>
      <c r="G182" s="162">
        <v>1</v>
      </c>
    </row>
    <row r="183" spans="2:7" ht="28.8">
      <c r="B183" s="162" t="s">
        <v>26</v>
      </c>
      <c r="C183" s="162" t="s">
        <v>264</v>
      </c>
      <c r="D183" s="162" t="s">
        <v>265</v>
      </c>
      <c r="E183" s="162" t="s">
        <v>2898</v>
      </c>
      <c r="F183" s="162">
        <v>1150</v>
      </c>
      <c r="G183" s="162">
        <v>1</v>
      </c>
    </row>
    <row r="184" spans="2:7" ht="28.8">
      <c r="B184" s="162" t="s">
        <v>26</v>
      </c>
      <c r="C184" s="162" t="s">
        <v>266</v>
      </c>
      <c r="D184" s="162" t="s">
        <v>267</v>
      </c>
      <c r="E184" s="162" t="s">
        <v>2898</v>
      </c>
      <c r="F184" s="162">
        <v>749</v>
      </c>
      <c r="G184" s="162">
        <v>1</v>
      </c>
    </row>
    <row r="185" spans="2:7" ht="28.8">
      <c r="B185" s="162" t="s">
        <v>26</v>
      </c>
      <c r="C185" s="162" t="s">
        <v>268</v>
      </c>
      <c r="D185" s="162" t="s">
        <v>269</v>
      </c>
      <c r="E185" s="162" t="s">
        <v>2898</v>
      </c>
      <c r="F185" s="162">
        <v>642</v>
      </c>
      <c r="G185" s="162">
        <v>1</v>
      </c>
    </row>
    <row r="186" spans="2:7" ht="43.2">
      <c r="B186" s="162" t="s">
        <v>26</v>
      </c>
      <c r="C186" s="162" t="s">
        <v>270</v>
      </c>
      <c r="D186" s="162" t="s">
        <v>271</v>
      </c>
      <c r="E186" s="162" t="s">
        <v>2898</v>
      </c>
      <c r="F186" s="162">
        <v>749</v>
      </c>
      <c r="G186" s="162">
        <v>1</v>
      </c>
    </row>
    <row r="187" spans="2:7" ht="28.8">
      <c r="B187" s="162" t="s">
        <v>26</v>
      </c>
      <c r="C187" s="162" t="s">
        <v>272</v>
      </c>
      <c r="D187" s="162" t="s">
        <v>273</v>
      </c>
      <c r="E187" s="162" t="s">
        <v>2898</v>
      </c>
      <c r="F187" s="162">
        <v>642</v>
      </c>
      <c r="G187" s="162">
        <v>1</v>
      </c>
    </row>
    <row r="188" spans="2:7" ht="28.8">
      <c r="B188" s="162" t="s">
        <v>26</v>
      </c>
      <c r="C188" s="162" t="s">
        <v>274</v>
      </c>
      <c r="D188" s="162" t="s">
        <v>275</v>
      </c>
      <c r="E188" s="162" t="s">
        <v>2898</v>
      </c>
      <c r="F188" s="162">
        <v>1150</v>
      </c>
      <c r="G188" s="162">
        <v>1</v>
      </c>
    </row>
    <row r="189" spans="2:7" ht="28.8">
      <c r="B189" s="162" t="s">
        <v>26</v>
      </c>
      <c r="C189" s="162" t="s">
        <v>276</v>
      </c>
      <c r="D189" s="162" t="s">
        <v>277</v>
      </c>
      <c r="E189" s="162" t="s">
        <v>2898</v>
      </c>
      <c r="F189" s="162">
        <v>920</v>
      </c>
      <c r="G189" s="162">
        <v>1</v>
      </c>
    </row>
    <row r="190" spans="2:7" ht="43.2">
      <c r="B190" s="162" t="s">
        <v>26</v>
      </c>
      <c r="C190" s="162" t="s">
        <v>278</v>
      </c>
      <c r="D190" s="162" t="s">
        <v>279</v>
      </c>
      <c r="E190" s="162" t="s">
        <v>2898</v>
      </c>
      <c r="F190" s="162">
        <v>1000</v>
      </c>
      <c r="G190" s="162">
        <v>1</v>
      </c>
    </row>
    <row r="191" spans="2:7" ht="28.8">
      <c r="B191" s="162" t="s">
        <v>26</v>
      </c>
      <c r="C191" s="162" t="s">
        <v>280</v>
      </c>
      <c r="D191" s="162" t="s">
        <v>281</v>
      </c>
      <c r="E191" s="162" t="s">
        <v>2898</v>
      </c>
      <c r="F191" s="162">
        <v>1000</v>
      </c>
      <c r="G191" s="162">
        <v>1</v>
      </c>
    </row>
    <row r="192" spans="2:7" ht="43.2">
      <c r="B192" s="162" t="s">
        <v>26</v>
      </c>
      <c r="C192" s="162" t="s">
        <v>282</v>
      </c>
      <c r="D192" s="162" t="s">
        <v>283</v>
      </c>
      <c r="E192" s="162" t="s">
        <v>2898</v>
      </c>
      <c r="F192" s="162">
        <v>1038</v>
      </c>
      <c r="G192" s="162">
        <v>1</v>
      </c>
    </row>
    <row r="193" spans="2:7" ht="28.8">
      <c r="B193" s="162" t="s">
        <v>26</v>
      </c>
      <c r="C193" s="162" t="s">
        <v>284</v>
      </c>
      <c r="D193" s="162" t="s">
        <v>285</v>
      </c>
      <c r="E193" s="162" t="s">
        <v>2898</v>
      </c>
      <c r="F193" s="162">
        <v>958</v>
      </c>
      <c r="G193" s="162">
        <v>1</v>
      </c>
    </row>
    <row r="194" spans="2:7" ht="28.8">
      <c r="B194" s="162" t="s">
        <v>26</v>
      </c>
      <c r="C194" s="162" t="s">
        <v>286</v>
      </c>
      <c r="D194" s="162" t="s">
        <v>287</v>
      </c>
      <c r="E194" s="162" t="s">
        <v>2898</v>
      </c>
      <c r="F194" s="162">
        <v>1386</v>
      </c>
      <c r="G194" s="162">
        <v>1</v>
      </c>
    </row>
    <row r="195" spans="2:7" ht="28.8">
      <c r="B195" s="162" t="s">
        <v>26</v>
      </c>
      <c r="C195" s="162" t="s">
        <v>288</v>
      </c>
      <c r="D195" s="162" t="s">
        <v>289</v>
      </c>
      <c r="E195" s="162" t="s">
        <v>2898</v>
      </c>
      <c r="F195" s="162">
        <v>578</v>
      </c>
      <c r="G195" s="162">
        <v>1</v>
      </c>
    </row>
    <row r="196" spans="2:7" ht="28.8">
      <c r="B196" s="162" t="s">
        <v>26</v>
      </c>
      <c r="C196" s="162" t="s">
        <v>290</v>
      </c>
      <c r="D196" s="162" t="s">
        <v>291</v>
      </c>
      <c r="E196" s="162" t="s">
        <v>2898</v>
      </c>
      <c r="F196" s="162">
        <v>712</v>
      </c>
      <c r="G196" s="162">
        <v>1</v>
      </c>
    </row>
    <row r="197" spans="2:7" ht="43.2">
      <c r="B197" s="162" t="s">
        <v>26</v>
      </c>
      <c r="C197" s="162" t="s">
        <v>2899</v>
      </c>
      <c r="D197" s="162" t="s">
        <v>2900</v>
      </c>
      <c r="E197" s="162" t="s">
        <v>2898</v>
      </c>
      <c r="F197" s="162">
        <v>950</v>
      </c>
      <c r="G197" s="162">
        <v>1</v>
      </c>
    </row>
    <row r="198" spans="2:7" ht="43.2">
      <c r="B198" s="162" t="s">
        <v>26</v>
      </c>
      <c r="C198" s="162" t="s">
        <v>292</v>
      </c>
      <c r="D198" s="162" t="s">
        <v>293</v>
      </c>
      <c r="E198" s="162" t="s">
        <v>2898</v>
      </c>
      <c r="F198" s="162">
        <v>1883</v>
      </c>
      <c r="G198" s="162">
        <v>1</v>
      </c>
    </row>
    <row r="199" spans="2:7" ht="43.2">
      <c r="B199" s="162" t="s">
        <v>26</v>
      </c>
      <c r="C199" s="162" t="s">
        <v>294</v>
      </c>
      <c r="D199" s="162" t="s">
        <v>295</v>
      </c>
      <c r="E199" s="162" t="s">
        <v>2898</v>
      </c>
      <c r="F199" s="162">
        <v>2600</v>
      </c>
      <c r="G199" s="162">
        <v>1</v>
      </c>
    </row>
    <row r="200" spans="2:7" ht="57.6">
      <c r="B200" s="162" t="s">
        <v>26</v>
      </c>
      <c r="C200" s="162" t="s">
        <v>296</v>
      </c>
      <c r="D200" s="162" t="s">
        <v>297</v>
      </c>
      <c r="E200" s="162" t="s">
        <v>2898</v>
      </c>
      <c r="F200" s="162">
        <v>2996</v>
      </c>
      <c r="G200" s="162">
        <v>1</v>
      </c>
    </row>
    <row r="201" spans="2:7" ht="57.6">
      <c r="B201" s="162" t="s">
        <v>26</v>
      </c>
      <c r="C201" s="162" t="s">
        <v>298</v>
      </c>
      <c r="D201" s="162" t="s">
        <v>299</v>
      </c>
      <c r="E201" s="162" t="s">
        <v>2898</v>
      </c>
      <c r="F201" s="162">
        <v>4494</v>
      </c>
      <c r="G201" s="162">
        <v>1</v>
      </c>
    </row>
    <row r="202" spans="2:7" ht="43.2">
      <c r="B202" s="162" t="s">
        <v>26</v>
      </c>
      <c r="C202" s="162" t="s">
        <v>300</v>
      </c>
      <c r="D202" s="162" t="s">
        <v>301</v>
      </c>
      <c r="E202" s="162" t="s">
        <v>2898</v>
      </c>
      <c r="F202" s="162">
        <v>1124</v>
      </c>
      <c r="G202" s="162">
        <v>1</v>
      </c>
    </row>
    <row r="203" spans="2:7" ht="43.2">
      <c r="B203" s="162" t="s">
        <v>26</v>
      </c>
      <c r="C203" s="162" t="s">
        <v>302</v>
      </c>
      <c r="D203" s="162" t="s">
        <v>303</v>
      </c>
      <c r="E203" s="162" t="s">
        <v>2898</v>
      </c>
      <c r="F203" s="162">
        <v>1819</v>
      </c>
      <c r="G203" s="162">
        <v>1</v>
      </c>
    </row>
    <row r="204" spans="2:7" ht="28.8">
      <c r="B204" s="162" t="s">
        <v>26</v>
      </c>
      <c r="C204" s="162" t="s">
        <v>304</v>
      </c>
      <c r="D204" s="162" t="s">
        <v>305</v>
      </c>
      <c r="E204" s="162" t="s">
        <v>2898</v>
      </c>
      <c r="F204" s="162">
        <v>1552</v>
      </c>
      <c r="G204" s="162">
        <v>1</v>
      </c>
    </row>
    <row r="205" spans="2:7" ht="28.8">
      <c r="B205" s="162" t="s">
        <v>26</v>
      </c>
      <c r="C205" s="162" t="s">
        <v>306</v>
      </c>
      <c r="D205" s="162" t="s">
        <v>307</v>
      </c>
      <c r="E205" s="162" t="s">
        <v>2898</v>
      </c>
      <c r="F205" s="162">
        <v>1124</v>
      </c>
      <c r="G205" s="162">
        <v>1</v>
      </c>
    </row>
    <row r="206" spans="2:7" ht="28.8">
      <c r="B206" s="162" t="s">
        <v>26</v>
      </c>
      <c r="C206" s="162" t="s">
        <v>308</v>
      </c>
      <c r="D206" s="162" t="s">
        <v>309</v>
      </c>
      <c r="E206" s="162" t="s">
        <v>2898</v>
      </c>
      <c r="F206" s="162">
        <v>1054</v>
      </c>
      <c r="G206" s="162">
        <v>1</v>
      </c>
    </row>
    <row r="207" spans="2:7" ht="28.8">
      <c r="B207" s="162" t="s">
        <v>26</v>
      </c>
      <c r="C207" s="162" t="s">
        <v>310</v>
      </c>
      <c r="D207" s="162" t="s">
        <v>311</v>
      </c>
      <c r="E207" s="162" t="s">
        <v>2898</v>
      </c>
      <c r="F207" s="162">
        <v>1990</v>
      </c>
      <c r="G207" s="162">
        <v>1</v>
      </c>
    </row>
    <row r="208" spans="2:7" ht="28.8">
      <c r="B208" s="162" t="s">
        <v>26</v>
      </c>
      <c r="C208" s="162" t="s">
        <v>312</v>
      </c>
      <c r="D208" s="162" t="s">
        <v>313</v>
      </c>
      <c r="E208" s="162" t="s">
        <v>2898</v>
      </c>
      <c r="F208" s="162">
        <v>2194</v>
      </c>
      <c r="G208" s="162">
        <v>1</v>
      </c>
    </row>
    <row r="209" spans="2:7" ht="28.8">
      <c r="B209" s="162" t="s">
        <v>26</v>
      </c>
      <c r="C209" s="162" t="s">
        <v>314</v>
      </c>
      <c r="D209" s="162" t="s">
        <v>315</v>
      </c>
      <c r="E209" s="162" t="s">
        <v>2898</v>
      </c>
      <c r="F209" s="162">
        <v>2568</v>
      </c>
      <c r="G209" s="162">
        <v>1</v>
      </c>
    </row>
    <row r="210" spans="2:7" ht="28.8">
      <c r="B210" s="162" t="s">
        <v>26</v>
      </c>
      <c r="C210" s="162" t="s">
        <v>316</v>
      </c>
      <c r="D210" s="162" t="s">
        <v>317</v>
      </c>
      <c r="E210" s="162" t="s">
        <v>2898</v>
      </c>
      <c r="F210" s="162">
        <v>1990</v>
      </c>
      <c r="G210" s="162">
        <v>1</v>
      </c>
    </row>
    <row r="211" spans="2:7">
      <c r="B211" s="162" t="s">
        <v>26</v>
      </c>
      <c r="C211" s="162" t="s">
        <v>318</v>
      </c>
      <c r="D211" s="162" t="s">
        <v>319</v>
      </c>
      <c r="E211" s="162" t="s">
        <v>2898</v>
      </c>
      <c r="F211" s="162">
        <v>615</v>
      </c>
      <c r="G211" s="162">
        <v>1</v>
      </c>
    </row>
    <row r="212" spans="2:7">
      <c r="B212" s="162" t="s">
        <v>26</v>
      </c>
      <c r="C212" s="162" t="s">
        <v>320</v>
      </c>
      <c r="D212" s="162" t="s">
        <v>321</v>
      </c>
      <c r="E212" s="162" t="s">
        <v>2898</v>
      </c>
      <c r="F212" s="162">
        <v>615</v>
      </c>
      <c r="G212" s="162">
        <v>1</v>
      </c>
    </row>
    <row r="213" spans="2:7" ht="28.8">
      <c r="B213" s="162" t="s">
        <v>26</v>
      </c>
      <c r="C213" s="162" t="s">
        <v>322</v>
      </c>
      <c r="D213" s="162" t="s">
        <v>323</v>
      </c>
      <c r="E213" s="162" t="s">
        <v>2898</v>
      </c>
      <c r="F213" s="162">
        <v>1980</v>
      </c>
      <c r="G213" s="162">
        <v>1</v>
      </c>
    </row>
    <row r="214" spans="2:7" ht="28.8">
      <c r="B214" s="162" t="s">
        <v>26</v>
      </c>
      <c r="C214" s="162" t="s">
        <v>324</v>
      </c>
      <c r="D214" s="162" t="s">
        <v>325</v>
      </c>
      <c r="E214" s="162" t="s">
        <v>2898</v>
      </c>
      <c r="F214" s="162">
        <v>1059</v>
      </c>
      <c r="G214" s="162">
        <v>1</v>
      </c>
    </row>
    <row r="215" spans="2:7" ht="43.2">
      <c r="B215" s="162" t="s">
        <v>26</v>
      </c>
      <c r="C215" s="162" t="s">
        <v>326</v>
      </c>
      <c r="D215" s="162" t="s">
        <v>327</v>
      </c>
      <c r="E215" s="162" t="s">
        <v>2898</v>
      </c>
      <c r="F215" s="162">
        <v>2140</v>
      </c>
      <c r="G215" s="162">
        <v>1</v>
      </c>
    </row>
    <row r="216" spans="2:7" ht="43.2">
      <c r="B216" s="162" t="s">
        <v>26</v>
      </c>
      <c r="C216" s="162" t="s">
        <v>328</v>
      </c>
      <c r="D216" s="162" t="s">
        <v>329</v>
      </c>
      <c r="E216" s="162" t="s">
        <v>2898</v>
      </c>
      <c r="F216" s="162">
        <v>4152</v>
      </c>
      <c r="G216" s="162">
        <v>1</v>
      </c>
    </row>
    <row r="217" spans="2:7" ht="28.8">
      <c r="B217" s="162" t="s">
        <v>26</v>
      </c>
      <c r="C217" s="162" t="s">
        <v>330</v>
      </c>
      <c r="D217" s="162" t="s">
        <v>331</v>
      </c>
      <c r="E217" s="162" t="s">
        <v>2898</v>
      </c>
      <c r="F217" s="162">
        <v>2284</v>
      </c>
      <c r="G217" s="162">
        <v>1</v>
      </c>
    </row>
    <row r="218" spans="2:7">
      <c r="B218" s="162" t="s">
        <v>26</v>
      </c>
      <c r="C218" s="162" t="s">
        <v>332</v>
      </c>
      <c r="D218" s="162" t="s">
        <v>333</v>
      </c>
      <c r="E218" s="162" t="s">
        <v>2898</v>
      </c>
      <c r="F218" s="162">
        <v>560</v>
      </c>
      <c r="G218" s="162">
        <v>1</v>
      </c>
    </row>
    <row r="219" spans="2:7" ht="28.8">
      <c r="B219" s="162" t="s">
        <v>26</v>
      </c>
      <c r="C219" s="162" t="s">
        <v>334</v>
      </c>
      <c r="D219" s="162" t="s">
        <v>335</v>
      </c>
      <c r="E219" s="162" t="s">
        <v>2898</v>
      </c>
      <c r="F219" s="162">
        <v>1900</v>
      </c>
      <c r="G219" s="162">
        <v>1</v>
      </c>
    </row>
    <row r="220" spans="2:7" ht="28.8">
      <c r="B220" s="162" t="s">
        <v>26</v>
      </c>
      <c r="C220" s="162" t="s">
        <v>336</v>
      </c>
      <c r="D220" s="162" t="s">
        <v>337</v>
      </c>
      <c r="E220" s="162" t="s">
        <v>2898</v>
      </c>
      <c r="F220" s="162">
        <v>2392</v>
      </c>
      <c r="G220" s="162">
        <v>1</v>
      </c>
    </row>
    <row r="221" spans="2:7" ht="28.8">
      <c r="B221" s="162" t="s">
        <v>26</v>
      </c>
      <c r="C221" s="162" t="s">
        <v>338</v>
      </c>
      <c r="D221" s="162" t="s">
        <v>339</v>
      </c>
      <c r="E221" s="162" t="s">
        <v>2898</v>
      </c>
      <c r="F221" s="162">
        <v>1006</v>
      </c>
      <c r="G221" s="162">
        <v>1</v>
      </c>
    </row>
    <row r="222" spans="2:7" ht="28.8">
      <c r="B222" s="162" t="s">
        <v>26</v>
      </c>
      <c r="C222" s="162" t="s">
        <v>340</v>
      </c>
      <c r="D222" s="162" t="s">
        <v>341</v>
      </c>
      <c r="E222" s="162" t="s">
        <v>2901</v>
      </c>
      <c r="F222" s="162">
        <v>278</v>
      </c>
      <c r="G222" s="162">
        <v>1</v>
      </c>
    </row>
    <row r="223" spans="2:7">
      <c r="B223" s="162" t="s">
        <v>26</v>
      </c>
      <c r="C223" s="162" t="s">
        <v>342</v>
      </c>
      <c r="D223" s="162" t="s">
        <v>343</v>
      </c>
      <c r="E223" s="162" t="s">
        <v>2901</v>
      </c>
      <c r="F223" s="162">
        <v>642</v>
      </c>
      <c r="G223" s="162">
        <v>1</v>
      </c>
    </row>
    <row r="224" spans="2:7" ht="28.8">
      <c r="B224" s="162" t="s">
        <v>26</v>
      </c>
      <c r="C224" s="162" t="s">
        <v>344</v>
      </c>
      <c r="D224" s="162" t="s">
        <v>345</v>
      </c>
      <c r="E224" s="162" t="s">
        <v>2901</v>
      </c>
      <c r="F224" s="162">
        <v>900</v>
      </c>
      <c r="G224" s="162">
        <v>1</v>
      </c>
    </row>
    <row r="225" spans="2:7" ht="28.8">
      <c r="B225" s="162" t="s">
        <v>26</v>
      </c>
      <c r="C225" s="162" t="s">
        <v>2902</v>
      </c>
      <c r="D225" s="162" t="s">
        <v>2903</v>
      </c>
      <c r="E225" s="162" t="s">
        <v>2904</v>
      </c>
      <c r="F225" s="162">
        <v>1214</v>
      </c>
      <c r="G225" s="162">
        <v>1</v>
      </c>
    </row>
    <row r="226" spans="2:7" ht="28.8">
      <c r="B226" s="162" t="s">
        <v>26</v>
      </c>
      <c r="C226" s="162" t="s">
        <v>2905</v>
      </c>
      <c r="D226" s="162" t="s">
        <v>2906</v>
      </c>
      <c r="E226" s="162" t="s">
        <v>2904</v>
      </c>
      <c r="F226" s="162">
        <v>1947</v>
      </c>
      <c r="G226" s="162">
        <v>1</v>
      </c>
    </row>
    <row r="227" spans="2:7" ht="28.8">
      <c r="B227" s="162" t="s">
        <v>26</v>
      </c>
      <c r="C227" s="162" t="s">
        <v>2907</v>
      </c>
      <c r="D227" s="162" t="s">
        <v>2908</v>
      </c>
      <c r="E227" s="162" t="s">
        <v>2904</v>
      </c>
      <c r="F227" s="162">
        <v>2365</v>
      </c>
      <c r="G227" s="162">
        <v>1</v>
      </c>
    </row>
    <row r="228" spans="2:7" ht="28.8">
      <c r="B228" s="162" t="s">
        <v>26</v>
      </c>
      <c r="C228" s="162" t="s">
        <v>2909</v>
      </c>
      <c r="D228" s="162" t="s">
        <v>2910</v>
      </c>
      <c r="E228" s="162" t="s">
        <v>2904</v>
      </c>
      <c r="F228" s="162">
        <v>3280</v>
      </c>
      <c r="G228" s="162">
        <v>1</v>
      </c>
    </row>
    <row r="229" spans="2:7" ht="28.8">
      <c r="B229" s="162" t="s">
        <v>26</v>
      </c>
      <c r="C229" s="162" t="s">
        <v>346</v>
      </c>
      <c r="D229" s="162" t="s">
        <v>347</v>
      </c>
      <c r="E229" s="162" t="s">
        <v>2904</v>
      </c>
      <c r="F229" s="162">
        <v>423</v>
      </c>
      <c r="G229" s="162">
        <v>1</v>
      </c>
    </row>
    <row r="230" spans="2:7" ht="28.8">
      <c r="B230" s="162" t="s">
        <v>26</v>
      </c>
      <c r="C230" s="162" t="s">
        <v>348</v>
      </c>
      <c r="D230" s="162" t="s">
        <v>349</v>
      </c>
      <c r="E230" s="162" t="s">
        <v>2904</v>
      </c>
      <c r="F230" s="162">
        <v>530</v>
      </c>
      <c r="G230" s="162">
        <v>1</v>
      </c>
    </row>
    <row r="231" spans="2:7" ht="28.8">
      <c r="B231" s="162" t="s">
        <v>26</v>
      </c>
      <c r="C231" s="162" t="s">
        <v>350</v>
      </c>
      <c r="D231" s="162" t="s">
        <v>351</v>
      </c>
      <c r="E231" s="162" t="s">
        <v>2904</v>
      </c>
      <c r="F231" s="162">
        <v>963</v>
      </c>
      <c r="G231" s="162">
        <v>1</v>
      </c>
    </row>
    <row r="232" spans="2:7">
      <c r="B232" s="162" t="s">
        <v>26</v>
      </c>
      <c r="C232" s="162" t="s">
        <v>352</v>
      </c>
      <c r="D232" s="162" t="s">
        <v>353</v>
      </c>
      <c r="E232" s="162" t="s">
        <v>2911</v>
      </c>
      <c r="F232" s="162">
        <v>51</v>
      </c>
      <c r="G232" s="162">
        <v>1</v>
      </c>
    </row>
    <row r="233" spans="2:7" ht="28.8">
      <c r="B233" s="162" t="s">
        <v>26</v>
      </c>
      <c r="C233" s="162" t="s">
        <v>354</v>
      </c>
      <c r="D233" s="162" t="s">
        <v>355</v>
      </c>
      <c r="E233" s="162" t="s">
        <v>2911</v>
      </c>
      <c r="F233" s="162">
        <v>12</v>
      </c>
      <c r="G233" s="162">
        <v>1</v>
      </c>
    </row>
    <row r="234" spans="2:7" ht="28.8">
      <c r="B234" s="162" t="s">
        <v>26</v>
      </c>
      <c r="C234" s="162" t="s">
        <v>356</v>
      </c>
      <c r="D234" s="162" t="s">
        <v>357</v>
      </c>
      <c r="E234" s="162" t="s">
        <v>2911</v>
      </c>
      <c r="F234" s="162">
        <v>21</v>
      </c>
      <c r="G234" s="162">
        <v>1</v>
      </c>
    </row>
    <row r="235" spans="2:7" ht="28.8">
      <c r="B235" s="162" t="s">
        <v>26</v>
      </c>
      <c r="C235" s="162" t="s">
        <v>358</v>
      </c>
      <c r="D235" s="162" t="s">
        <v>359</v>
      </c>
      <c r="E235" s="162" t="s">
        <v>2911</v>
      </c>
      <c r="F235" s="162">
        <v>27</v>
      </c>
      <c r="G235" s="162">
        <v>1</v>
      </c>
    </row>
    <row r="236" spans="2:7" ht="28.8">
      <c r="B236" s="162" t="s">
        <v>26</v>
      </c>
      <c r="C236" s="162" t="s">
        <v>360</v>
      </c>
      <c r="D236" s="162" t="s">
        <v>361</v>
      </c>
      <c r="E236" s="162" t="s">
        <v>2911</v>
      </c>
      <c r="F236" s="162">
        <v>36</v>
      </c>
      <c r="G236" s="162">
        <v>1</v>
      </c>
    </row>
    <row r="237" spans="2:7" ht="28.8">
      <c r="B237" s="162" t="s">
        <v>26</v>
      </c>
      <c r="C237" s="162" t="s">
        <v>362</v>
      </c>
      <c r="D237" s="162" t="s">
        <v>363</v>
      </c>
      <c r="E237" s="162" t="s">
        <v>2911</v>
      </c>
      <c r="F237" s="162">
        <v>43</v>
      </c>
      <c r="G237" s="162">
        <v>1</v>
      </c>
    </row>
    <row r="238" spans="2:7" ht="28.8">
      <c r="B238" s="162" t="s">
        <v>26</v>
      </c>
      <c r="C238" s="162" t="s">
        <v>364</v>
      </c>
      <c r="D238" s="162" t="s">
        <v>365</v>
      </c>
      <c r="E238" s="162" t="s">
        <v>2911</v>
      </c>
      <c r="F238" s="162">
        <v>48</v>
      </c>
      <c r="G238" s="162">
        <v>1</v>
      </c>
    </row>
    <row r="239" spans="2:7" ht="28.8">
      <c r="B239" s="162" t="s">
        <v>26</v>
      </c>
      <c r="C239" s="162" t="s">
        <v>366</v>
      </c>
      <c r="D239" s="162" t="s">
        <v>367</v>
      </c>
      <c r="E239" s="162" t="s">
        <v>2911</v>
      </c>
      <c r="F239" s="162">
        <v>53</v>
      </c>
      <c r="G239" s="162">
        <v>1</v>
      </c>
    </row>
    <row r="240" spans="2:7" ht="28.8">
      <c r="B240" s="162" t="s">
        <v>26</v>
      </c>
      <c r="C240" s="162" t="s">
        <v>368</v>
      </c>
      <c r="D240" s="162" t="s">
        <v>369</v>
      </c>
      <c r="E240" s="162" t="s">
        <v>2911</v>
      </c>
      <c r="F240" s="162">
        <v>44</v>
      </c>
      <c r="G240" s="162">
        <v>1</v>
      </c>
    </row>
    <row r="241" spans="2:7">
      <c r="B241" s="162" t="s">
        <v>26</v>
      </c>
      <c r="C241" s="162" t="s">
        <v>370</v>
      </c>
      <c r="D241" s="162" t="s">
        <v>371</v>
      </c>
      <c r="E241" s="162" t="s">
        <v>2911</v>
      </c>
      <c r="F241" s="162">
        <v>17</v>
      </c>
      <c r="G241" s="162">
        <v>1</v>
      </c>
    </row>
    <row r="242" spans="2:7" ht="28.8">
      <c r="B242" s="162" t="s">
        <v>26</v>
      </c>
      <c r="C242" s="162" t="s">
        <v>372</v>
      </c>
      <c r="D242" s="162" t="s">
        <v>373</v>
      </c>
      <c r="E242" s="162" t="s">
        <v>2911</v>
      </c>
      <c r="F242" s="162">
        <v>209</v>
      </c>
      <c r="G242" s="162">
        <v>1</v>
      </c>
    </row>
    <row r="243" spans="2:7" ht="57.6">
      <c r="B243" s="162" t="s">
        <v>26</v>
      </c>
      <c r="C243" s="162" t="s">
        <v>374</v>
      </c>
      <c r="D243" s="162" t="s">
        <v>375</v>
      </c>
      <c r="E243" s="162" t="s">
        <v>2911</v>
      </c>
      <c r="F243" s="162">
        <v>185</v>
      </c>
      <c r="G243" s="162">
        <v>1</v>
      </c>
    </row>
    <row r="244" spans="2:7" ht="43.2">
      <c r="B244" s="162" t="s">
        <v>26</v>
      </c>
      <c r="C244" s="162" t="s">
        <v>376</v>
      </c>
      <c r="D244" s="162" t="s">
        <v>377</v>
      </c>
      <c r="E244" s="162" t="s">
        <v>2911</v>
      </c>
      <c r="F244" s="162">
        <v>285</v>
      </c>
      <c r="G244" s="162">
        <v>1</v>
      </c>
    </row>
    <row r="245" spans="2:7" ht="28.8">
      <c r="B245" s="162" t="s">
        <v>26</v>
      </c>
      <c r="C245" s="162" t="s">
        <v>378</v>
      </c>
      <c r="D245" s="162" t="s">
        <v>379</v>
      </c>
      <c r="E245" s="162" t="s">
        <v>2911</v>
      </c>
      <c r="F245" s="162">
        <v>220</v>
      </c>
      <c r="G245" s="162">
        <v>1</v>
      </c>
    </row>
    <row r="246" spans="2:7">
      <c r="B246" s="162" t="s">
        <v>26</v>
      </c>
      <c r="C246" s="162" t="s">
        <v>380</v>
      </c>
      <c r="D246" s="162" t="s">
        <v>381</v>
      </c>
      <c r="E246" s="162" t="s">
        <v>2912</v>
      </c>
      <c r="F246" s="162">
        <v>123</v>
      </c>
      <c r="G246" s="162">
        <v>1</v>
      </c>
    </row>
    <row r="247" spans="2:7">
      <c r="B247" s="162" t="s">
        <v>26</v>
      </c>
      <c r="C247" s="162" t="s">
        <v>2913</v>
      </c>
      <c r="D247" s="162" t="s">
        <v>2914</v>
      </c>
      <c r="E247" s="162" t="s">
        <v>2912</v>
      </c>
      <c r="F247" s="162">
        <v>288</v>
      </c>
      <c r="G247" s="162">
        <v>1</v>
      </c>
    </row>
    <row r="248" spans="2:7">
      <c r="B248" s="162" t="s">
        <v>26</v>
      </c>
      <c r="C248" s="162" t="s">
        <v>2915</v>
      </c>
      <c r="D248" s="162" t="s">
        <v>2916</v>
      </c>
      <c r="E248" s="162" t="s">
        <v>2912</v>
      </c>
      <c r="F248" s="162">
        <v>31</v>
      </c>
      <c r="G248" s="162">
        <v>1</v>
      </c>
    </row>
    <row r="249" spans="2:7" ht="28.8">
      <c r="B249" s="162" t="s">
        <v>26</v>
      </c>
      <c r="C249" s="162" t="s">
        <v>2917</v>
      </c>
      <c r="D249" s="162" t="s">
        <v>2918</v>
      </c>
      <c r="E249" s="162" t="s">
        <v>2912</v>
      </c>
      <c r="F249" s="162">
        <v>35</v>
      </c>
      <c r="G249" s="162">
        <v>1</v>
      </c>
    </row>
    <row r="250" spans="2:7">
      <c r="B250" s="162" t="s">
        <v>26</v>
      </c>
      <c r="C250" s="162" t="s">
        <v>2919</v>
      </c>
      <c r="D250" s="162" t="s">
        <v>2920</v>
      </c>
      <c r="E250" s="162" t="s">
        <v>2912</v>
      </c>
      <c r="F250" s="162">
        <v>42</v>
      </c>
      <c r="G250" s="162">
        <v>1</v>
      </c>
    </row>
    <row r="251" spans="2:7">
      <c r="B251" s="162" t="s">
        <v>26</v>
      </c>
      <c r="C251" s="162" t="s">
        <v>382</v>
      </c>
      <c r="D251" s="162" t="s">
        <v>383</v>
      </c>
      <c r="E251" s="162" t="s">
        <v>2912</v>
      </c>
      <c r="F251" s="162">
        <v>1070</v>
      </c>
      <c r="G251" s="162">
        <v>1</v>
      </c>
    </row>
    <row r="252" spans="2:7" ht="28.8">
      <c r="B252" s="162" t="s">
        <v>26</v>
      </c>
      <c r="C252" s="162" t="s">
        <v>384</v>
      </c>
      <c r="D252" s="162" t="s">
        <v>385</v>
      </c>
      <c r="E252" s="162" t="s">
        <v>2912</v>
      </c>
      <c r="F252" s="162">
        <v>642</v>
      </c>
      <c r="G252" s="162">
        <v>1</v>
      </c>
    </row>
    <row r="253" spans="2:7" ht="28.8">
      <c r="B253" s="162" t="s">
        <v>26</v>
      </c>
      <c r="C253" s="162" t="s">
        <v>386</v>
      </c>
      <c r="D253" s="162" t="s">
        <v>387</v>
      </c>
      <c r="E253" s="162" t="s">
        <v>2912</v>
      </c>
      <c r="F253" s="162">
        <v>380</v>
      </c>
      <c r="G253" s="162">
        <v>1</v>
      </c>
    </row>
    <row r="254" spans="2:7" ht="28.8">
      <c r="B254" s="162" t="s">
        <v>26</v>
      </c>
      <c r="C254" s="162" t="s">
        <v>388</v>
      </c>
      <c r="D254" s="162" t="s">
        <v>389</v>
      </c>
      <c r="E254" s="162" t="s">
        <v>2912</v>
      </c>
      <c r="F254" s="162">
        <v>575</v>
      </c>
      <c r="G254" s="162">
        <v>1</v>
      </c>
    </row>
    <row r="255" spans="2:7">
      <c r="B255" s="162" t="s">
        <v>26</v>
      </c>
      <c r="C255" s="162" t="s">
        <v>390</v>
      </c>
      <c r="D255" s="162" t="s">
        <v>391</v>
      </c>
      <c r="E255" s="162" t="s">
        <v>2912</v>
      </c>
      <c r="F255" s="162">
        <v>310</v>
      </c>
      <c r="G255" s="162">
        <v>1</v>
      </c>
    </row>
    <row r="256" spans="2:7">
      <c r="B256" s="162" t="s">
        <v>26</v>
      </c>
      <c r="C256" s="162" t="s">
        <v>392</v>
      </c>
      <c r="D256" s="162" t="s">
        <v>393</v>
      </c>
      <c r="E256" s="162" t="s">
        <v>2921</v>
      </c>
      <c r="F256" s="162">
        <v>364</v>
      </c>
      <c r="G256" s="162">
        <v>1</v>
      </c>
    </row>
    <row r="257" spans="2:7" ht="28.8">
      <c r="B257" s="162" t="s">
        <v>26</v>
      </c>
      <c r="C257" s="162" t="s">
        <v>394</v>
      </c>
      <c r="D257" s="162" t="s">
        <v>395</v>
      </c>
      <c r="E257" s="162" t="s">
        <v>2922</v>
      </c>
      <c r="F257" s="162">
        <v>70</v>
      </c>
      <c r="G257" s="162">
        <v>1</v>
      </c>
    </row>
    <row r="258" spans="2:7" ht="28.8">
      <c r="B258" s="162" t="s">
        <v>26</v>
      </c>
      <c r="C258" s="162" t="s">
        <v>396</v>
      </c>
      <c r="D258" s="162" t="s">
        <v>397</v>
      </c>
      <c r="E258" s="162" t="s">
        <v>2922</v>
      </c>
      <c r="F258" s="162">
        <v>161</v>
      </c>
      <c r="G258" s="162">
        <v>1</v>
      </c>
    </row>
    <row r="259" spans="2:7">
      <c r="B259" s="162" t="s">
        <v>26</v>
      </c>
      <c r="C259" s="162" t="s">
        <v>398</v>
      </c>
      <c r="D259" s="162" t="s">
        <v>399</v>
      </c>
      <c r="E259" s="162" t="s">
        <v>2922</v>
      </c>
      <c r="F259" s="162">
        <v>59</v>
      </c>
      <c r="G259" s="162">
        <v>1</v>
      </c>
    </row>
    <row r="260" spans="2:7">
      <c r="B260" s="162" t="s">
        <v>26</v>
      </c>
      <c r="C260" s="162" t="s">
        <v>400</v>
      </c>
      <c r="D260" s="162" t="s">
        <v>401</v>
      </c>
      <c r="E260" s="162" t="s">
        <v>2922</v>
      </c>
      <c r="F260" s="162">
        <v>161</v>
      </c>
      <c r="G260" s="162">
        <v>1</v>
      </c>
    </row>
    <row r="261" spans="2:7" ht="28.8">
      <c r="B261" s="162" t="s">
        <v>26</v>
      </c>
      <c r="C261" s="162" t="s">
        <v>402</v>
      </c>
      <c r="D261" s="162" t="s">
        <v>403</v>
      </c>
      <c r="E261" s="162" t="s">
        <v>2922</v>
      </c>
      <c r="F261" s="162">
        <v>59</v>
      </c>
      <c r="G261" s="162">
        <v>1</v>
      </c>
    </row>
    <row r="262" spans="2:7" ht="28.8">
      <c r="B262" s="162" t="s">
        <v>26</v>
      </c>
      <c r="C262" s="162" t="s">
        <v>404</v>
      </c>
      <c r="D262" s="162" t="s">
        <v>405</v>
      </c>
      <c r="E262" s="162" t="s">
        <v>2922</v>
      </c>
      <c r="F262" s="162">
        <v>209</v>
      </c>
      <c r="G262" s="162">
        <v>1</v>
      </c>
    </row>
    <row r="263" spans="2:7">
      <c r="B263" s="162" t="s">
        <v>26</v>
      </c>
      <c r="C263" s="162" t="s">
        <v>406</v>
      </c>
      <c r="D263" s="162" t="s">
        <v>407</v>
      </c>
      <c r="E263" s="162" t="s">
        <v>2922</v>
      </c>
      <c r="F263" s="162">
        <v>139</v>
      </c>
      <c r="G263" s="162">
        <v>1</v>
      </c>
    </row>
    <row r="264" spans="2:7">
      <c r="B264" s="162" t="s">
        <v>26</v>
      </c>
      <c r="C264" s="162" t="s">
        <v>408</v>
      </c>
      <c r="D264" s="162" t="s">
        <v>409</v>
      </c>
      <c r="E264" s="162" t="s">
        <v>2922</v>
      </c>
      <c r="F264" s="162">
        <v>171</v>
      </c>
      <c r="G264" s="162">
        <v>1</v>
      </c>
    </row>
    <row r="265" spans="2:7" ht="28.8">
      <c r="B265" s="162" t="s">
        <v>26</v>
      </c>
      <c r="C265" s="162" t="s">
        <v>410</v>
      </c>
      <c r="D265" s="162" t="s">
        <v>411</v>
      </c>
      <c r="E265" s="162" t="s">
        <v>2922</v>
      </c>
      <c r="F265" s="162">
        <v>30</v>
      </c>
      <c r="G265" s="162">
        <v>1</v>
      </c>
    </row>
    <row r="266" spans="2:7" ht="28.8">
      <c r="B266" s="162" t="s">
        <v>26</v>
      </c>
      <c r="C266" s="162" t="s">
        <v>2923</v>
      </c>
      <c r="D266" s="162" t="s">
        <v>2924</v>
      </c>
      <c r="E266" s="162" t="s">
        <v>2922</v>
      </c>
      <c r="F266" s="162">
        <v>600</v>
      </c>
      <c r="G266" s="162">
        <v>1</v>
      </c>
    </row>
    <row r="267" spans="2:7" ht="28.8">
      <c r="B267" s="162" t="s">
        <v>26</v>
      </c>
      <c r="C267" s="162" t="s">
        <v>2925</v>
      </c>
      <c r="D267" s="162" t="s">
        <v>2926</v>
      </c>
      <c r="E267" s="162" t="s">
        <v>2922</v>
      </c>
      <c r="F267" s="162">
        <v>600</v>
      </c>
      <c r="G267" s="162">
        <v>1</v>
      </c>
    </row>
    <row r="268" spans="2:7" ht="28.8">
      <c r="B268" s="162" t="s">
        <v>26</v>
      </c>
      <c r="C268" s="162" t="s">
        <v>2927</v>
      </c>
      <c r="D268" s="162" t="s">
        <v>2928</v>
      </c>
      <c r="E268" s="162" t="s">
        <v>2922</v>
      </c>
      <c r="F268" s="162">
        <v>600</v>
      </c>
      <c r="G268" s="162">
        <v>1</v>
      </c>
    </row>
    <row r="269" spans="2:7" ht="28.8">
      <c r="B269" s="162" t="s">
        <v>26</v>
      </c>
      <c r="C269" s="162" t="s">
        <v>2929</v>
      </c>
      <c r="D269" s="162" t="s">
        <v>2930</v>
      </c>
      <c r="E269" s="162" t="s">
        <v>2922</v>
      </c>
      <c r="F269" s="162">
        <v>1120</v>
      </c>
      <c r="G269" s="162">
        <v>1</v>
      </c>
    </row>
    <row r="270" spans="2:7" ht="28.8">
      <c r="B270" s="162" t="s">
        <v>26</v>
      </c>
      <c r="C270" s="162" t="s">
        <v>2931</v>
      </c>
      <c r="D270" s="162" t="s">
        <v>2932</v>
      </c>
      <c r="E270" s="162" t="s">
        <v>2922</v>
      </c>
      <c r="F270" s="162">
        <v>1790</v>
      </c>
      <c r="G270" s="162">
        <v>1</v>
      </c>
    </row>
    <row r="271" spans="2:7" ht="28.8">
      <c r="B271" s="162" t="s">
        <v>26</v>
      </c>
      <c r="C271" s="162" t="s">
        <v>2933</v>
      </c>
      <c r="D271" s="162" t="s">
        <v>2934</v>
      </c>
      <c r="E271" s="162" t="s">
        <v>2922</v>
      </c>
      <c r="F271" s="162">
        <v>3190</v>
      </c>
      <c r="G271" s="162">
        <v>1</v>
      </c>
    </row>
    <row r="272" spans="2:7" ht="28.8">
      <c r="B272" s="162" t="s">
        <v>26</v>
      </c>
      <c r="C272" s="162" t="s">
        <v>2935</v>
      </c>
      <c r="D272" s="162" t="s">
        <v>2936</v>
      </c>
      <c r="E272" s="162" t="s">
        <v>2922</v>
      </c>
      <c r="F272" s="162">
        <v>5130</v>
      </c>
      <c r="G272" s="162">
        <v>1</v>
      </c>
    </row>
    <row r="273" spans="2:7">
      <c r="B273" s="162" t="s">
        <v>26</v>
      </c>
      <c r="C273" s="162" t="s">
        <v>412</v>
      </c>
      <c r="D273" s="162" t="s">
        <v>413</v>
      </c>
      <c r="E273" s="162" t="s">
        <v>2937</v>
      </c>
      <c r="F273" s="162">
        <v>535</v>
      </c>
      <c r="G273" s="162">
        <v>1</v>
      </c>
    </row>
    <row r="274" spans="2:7">
      <c r="B274" s="162" t="s">
        <v>26</v>
      </c>
      <c r="C274" s="162" t="s">
        <v>414</v>
      </c>
      <c r="D274" s="162" t="s">
        <v>415</v>
      </c>
      <c r="E274" s="162" t="s">
        <v>2937</v>
      </c>
      <c r="F274" s="162">
        <v>535</v>
      </c>
      <c r="G274" s="162">
        <v>1</v>
      </c>
    </row>
    <row r="275" spans="2:7" ht="43.2">
      <c r="B275" s="162" t="s">
        <v>26</v>
      </c>
      <c r="C275" s="162" t="s">
        <v>2938</v>
      </c>
      <c r="D275" s="162" t="s">
        <v>2939</v>
      </c>
      <c r="E275" s="162" t="s">
        <v>2937</v>
      </c>
      <c r="F275" s="162">
        <v>365</v>
      </c>
      <c r="G275" s="162">
        <v>1</v>
      </c>
    </row>
    <row r="276" spans="2:7" ht="28.8">
      <c r="B276" s="162" t="s">
        <v>26</v>
      </c>
      <c r="C276" s="162" t="s">
        <v>416</v>
      </c>
      <c r="D276" s="162" t="s">
        <v>417</v>
      </c>
      <c r="E276" s="162" t="s">
        <v>2937</v>
      </c>
      <c r="F276" s="162">
        <v>2600</v>
      </c>
      <c r="G276" s="162">
        <v>1</v>
      </c>
    </row>
    <row r="277" spans="2:7" ht="28.8">
      <c r="B277" s="162" t="s">
        <v>26</v>
      </c>
      <c r="C277" s="162" t="s">
        <v>418</v>
      </c>
      <c r="D277" s="162" t="s">
        <v>419</v>
      </c>
      <c r="E277" s="162" t="s">
        <v>2937</v>
      </c>
      <c r="F277" s="162">
        <v>4600</v>
      </c>
      <c r="G277" s="162">
        <v>1</v>
      </c>
    </row>
    <row r="278" spans="2:7" ht="28.8">
      <c r="B278" s="162" t="s">
        <v>26</v>
      </c>
      <c r="C278" s="162" t="s">
        <v>420</v>
      </c>
      <c r="D278" s="162" t="s">
        <v>421</v>
      </c>
      <c r="E278" s="162" t="s">
        <v>2937</v>
      </c>
      <c r="F278" s="162">
        <v>1552</v>
      </c>
      <c r="G278" s="162">
        <v>1</v>
      </c>
    </row>
    <row r="279" spans="2:7" ht="28.8">
      <c r="B279" s="162" t="s">
        <v>26</v>
      </c>
      <c r="C279" s="162" t="s">
        <v>422</v>
      </c>
      <c r="D279" s="162" t="s">
        <v>423</v>
      </c>
      <c r="E279" s="162" t="s">
        <v>2937</v>
      </c>
      <c r="F279" s="162">
        <v>4600</v>
      </c>
      <c r="G279" s="162">
        <v>1</v>
      </c>
    </row>
    <row r="280" spans="2:7" ht="43.2">
      <c r="B280" s="162" t="s">
        <v>26</v>
      </c>
      <c r="C280" s="162" t="s">
        <v>2940</v>
      </c>
      <c r="D280" s="162" t="s">
        <v>2941</v>
      </c>
      <c r="E280" s="162" t="s">
        <v>2937</v>
      </c>
      <c r="F280" s="162">
        <v>700</v>
      </c>
      <c r="G280" s="162">
        <v>1</v>
      </c>
    </row>
    <row r="281" spans="2:7" ht="43.2">
      <c r="B281" s="162" t="s">
        <v>26</v>
      </c>
      <c r="C281" s="162" t="s">
        <v>2942</v>
      </c>
      <c r="D281" s="162" t="s">
        <v>2943</v>
      </c>
      <c r="E281" s="162" t="s">
        <v>2937</v>
      </c>
      <c r="F281" s="162">
        <v>1600</v>
      </c>
      <c r="G281" s="162">
        <v>1</v>
      </c>
    </row>
    <row r="282" spans="2:7" ht="43.2">
      <c r="B282" s="162" t="s">
        <v>26</v>
      </c>
      <c r="C282" s="162" t="s">
        <v>2944</v>
      </c>
      <c r="D282" s="162" t="s">
        <v>2945</v>
      </c>
      <c r="E282" s="162" t="s">
        <v>2937</v>
      </c>
      <c r="F282" s="162">
        <v>2400</v>
      </c>
      <c r="G282" s="162">
        <v>1</v>
      </c>
    </row>
    <row r="283" spans="2:7" ht="28.8">
      <c r="B283" s="162" t="s">
        <v>26</v>
      </c>
      <c r="C283" s="162" t="s">
        <v>424</v>
      </c>
      <c r="D283" s="162" t="s">
        <v>425</v>
      </c>
      <c r="E283" s="162" t="s">
        <v>2937</v>
      </c>
      <c r="F283" s="162">
        <v>230</v>
      </c>
      <c r="G283" s="162">
        <v>1</v>
      </c>
    </row>
    <row r="284" spans="2:7" ht="28.8">
      <c r="B284" s="162" t="s">
        <v>26</v>
      </c>
      <c r="C284" s="162" t="s">
        <v>426</v>
      </c>
      <c r="D284" s="162" t="s">
        <v>427</v>
      </c>
      <c r="E284" s="162" t="s">
        <v>2937</v>
      </c>
      <c r="F284" s="162">
        <v>1030</v>
      </c>
      <c r="G284" s="162">
        <v>1</v>
      </c>
    </row>
    <row r="285" spans="2:7" ht="28.8">
      <c r="B285" s="162" t="s">
        <v>26</v>
      </c>
      <c r="C285" s="162" t="s">
        <v>428</v>
      </c>
      <c r="D285" s="162" t="s">
        <v>429</v>
      </c>
      <c r="E285" s="162" t="s">
        <v>2937</v>
      </c>
      <c r="F285" s="162">
        <v>1030</v>
      </c>
      <c r="G285" s="162">
        <v>1</v>
      </c>
    </row>
    <row r="286" spans="2:7" ht="43.2">
      <c r="B286" s="162" t="s">
        <v>26</v>
      </c>
      <c r="C286" s="162" t="s">
        <v>430</v>
      </c>
      <c r="D286" s="162" t="s">
        <v>431</v>
      </c>
      <c r="E286" s="162" t="s">
        <v>2937</v>
      </c>
      <c r="F286" s="162">
        <v>2204</v>
      </c>
      <c r="G286" s="162">
        <v>1</v>
      </c>
    </row>
    <row r="287" spans="2:7" ht="43.2">
      <c r="B287" s="162" t="s">
        <v>26</v>
      </c>
      <c r="C287" s="162" t="s">
        <v>432</v>
      </c>
      <c r="D287" s="162" t="s">
        <v>433</v>
      </c>
      <c r="E287" s="162" t="s">
        <v>2937</v>
      </c>
      <c r="F287" s="162">
        <v>2204</v>
      </c>
      <c r="G287" s="162">
        <v>1</v>
      </c>
    </row>
    <row r="288" spans="2:7">
      <c r="B288" s="162" t="s">
        <v>26</v>
      </c>
      <c r="C288" s="162" t="s">
        <v>434</v>
      </c>
      <c r="D288" s="162" t="s">
        <v>435</v>
      </c>
      <c r="E288" s="162" t="s">
        <v>2937</v>
      </c>
      <c r="F288" s="162">
        <v>695</v>
      </c>
      <c r="G288" s="162">
        <v>1</v>
      </c>
    </row>
    <row r="289" spans="2:7">
      <c r="B289" s="162" t="s">
        <v>26</v>
      </c>
      <c r="C289" s="162" t="s">
        <v>436</v>
      </c>
      <c r="D289" s="162" t="s">
        <v>437</v>
      </c>
      <c r="E289" s="162" t="s">
        <v>2937</v>
      </c>
      <c r="F289" s="162">
        <v>695</v>
      </c>
      <c r="G289" s="162">
        <v>1</v>
      </c>
    </row>
    <row r="290" spans="2:7">
      <c r="B290" s="162" t="s">
        <v>26</v>
      </c>
      <c r="C290" s="162" t="s">
        <v>438</v>
      </c>
      <c r="D290" s="162" t="s">
        <v>439</v>
      </c>
      <c r="E290" s="162" t="s">
        <v>2937</v>
      </c>
      <c r="F290" s="162">
        <v>950</v>
      </c>
      <c r="G290" s="162">
        <v>1</v>
      </c>
    </row>
    <row r="291" spans="2:7">
      <c r="B291" s="162" t="s">
        <v>26</v>
      </c>
      <c r="C291" s="162" t="s">
        <v>440</v>
      </c>
      <c r="D291" s="162" t="s">
        <v>441</v>
      </c>
      <c r="E291" s="162" t="s">
        <v>2937</v>
      </c>
      <c r="F291" s="162">
        <v>950</v>
      </c>
      <c r="G291" s="162">
        <v>1</v>
      </c>
    </row>
    <row r="292" spans="2:7" ht="43.2">
      <c r="B292" s="162" t="s">
        <v>26</v>
      </c>
      <c r="C292" s="162" t="s">
        <v>442</v>
      </c>
      <c r="D292" s="162" t="s">
        <v>443</v>
      </c>
      <c r="E292" s="162" t="s">
        <v>2937</v>
      </c>
      <c r="F292" s="162">
        <v>2675</v>
      </c>
      <c r="G292" s="162">
        <v>1</v>
      </c>
    </row>
    <row r="293" spans="2:7" ht="43.2">
      <c r="B293" s="162" t="s">
        <v>26</v>
      </c>
      <c r="C293" s="162" t="s">
        <v>444</v>
      </c>
      <c r="D293" s="162" t="s">
        <v>445</v>
      </c>
      <c r="E293" s="162" t="s">
        <v>2937</v>
      </c>
      <c r="F293" s="162">
        <v>2675</v>
      </c>
      <c r="G293" s="162">
        <v>1</v>
      </c>
    </row>
    <row r="294" spans="2:7" ht="28.8">
      <c r="B294" s="162" t="s">
        <v>26</v>
      </c>
      <c r="C294" s="162" t="s">
        <v>446</v>
      </c>
      <c r="D294" s="162" t="s">
        <v>447</v>
      </c>
      <c r="E294" s="162" t="s">
        <v>2937</v>
      </c>
      <c r="F294" s="162">
        <v>278</v>
      </c>
      <c r="G294" s="162">
        <v>1</v>
      </c>
    </row>
    <row r="295" spans="2:7" ht="28.8">
      <c r="B295" s="162" t="s">
        <v>26</v>
      </c>
      <c r="C295" s="162" t="s">
        <v>448</v>
      </c>
      <c r="D295" s="162" t="s">
        <v>449</v>
      </c>
      <c r="E295" s="162" t="s">
        <v>2937</v>
      </c>
      <c r="F295" s="162">
        <v>278</v>
      </c>
      <c r="G295" s="162">
        <v>1</v>
      </c>
    </row>
    <row r="296" spans="2:7">
      <c r="B296" s="162" t="s">
        <v>26</v>
      </c>
      <c r="C296" s="162" t="s">
        <v>2946</v>
      </c>
      <c r="D296" s="162" t="s">
        <v>2947</v>
      </c>
      <c r="E296" s="162" t="s">
        <v>2948</v>
      </c>
      <c r="F296" s="162">
        <v>550</v>
      </c>
      <c r="G296" s="162">
        <v>1</v>
      </c>
    </row>
    <row r="297" spans="2:7">
      <c r="B297" s="162" t="s">
        <v>26</v>
      </c>
      <c r="C297" s="162" t="s">
        <v>450</v>
      </c>
      <c r="D297" s="162" t="s">
        <v>451</v>
      </c>
      <c r="E297" s="162" t="s">
        <v>2948</v>
      </c>
      <c r="F297" s="162">
        <v>1000</v>
      </c>
      <c r="G297" s="162">
        <v>1</v>
      </c>
    </row>
    <row r="298" spans="2:7" ht="28.8">
      <c r="B298" s="162" t="s">
        <v>26</v>
      </c>
      <c r="C298" s="162" t="s">
        <v>452</v>
      </c>
      <c r="D298" s="162" t="s">
        <v>453</v>
      </c>
      <c r="E298" s="162" t="s">
        <v>2948</v>
      </c>
      <c r="F298" s="162">
        <v>1707</v>
      </c>
      <c r="G298" s="162">
        <v>1</v>
      </c>
    </row>
    <row r="299" spans="2:7" ht="28.8">
      <c r="B299" s="162" t="s">
        <v>26</v>
      </c>
      <c r="C299" s="162" t="s">
        <v>454</v>
      </c>
      <c r="D299" s="162" t="s">
        <v>455</v>
      </c>
      <c r="E299" s="162" t="s">
        <v>2948</v>
      </c>
      <c r="F299" s="162">
        <v>1707</v>
      </c>
      <c r="G299" s="162">
        <v>1</v>
      </c>
    </row>
    <row r="300" spans="2:7" ht="28.8">
      <c r="B300" s="162" t="s">
        <v>26</v>
      </c>
      <c r="C300" s="162" t="s">
        <v>456</v>
      </c>
      <c r="D300" s="162" t="s">
        <v>457</v>
      </c>
      <c r="E300" s="162" t="s">
        <v>2948</v>
      </c>
      <c r="F300" s="162">
        <v>1311</v>
      </c>
      <c r="G300" s="162">
        <v>1</v>
      </c>
    </row>
    <row r="301" spans="2:7" ht="28.8">
      <c r="B301" s="162" t="s">
        <v>26</v>
      </c>
      <c r="C301" s="162" t="s">
        <v>458</v>
      </c>
      <c r="D301" s="162" t="s">
        <v>459</v>
      </c>
      <c r="E301" s="162" t="s">
        <v>2948</v>
      </c>
      <c r="F301" s="162">
        <v>1311</v>
      </c>
      <c r="G301" s="162">
        <v>1</v>
      </c>
    </row>
    <row r="302" spans="2:7">
      <c r="B302" s="162" t="s">
        <v>26</v>
      </c>
      <c r="C302" s="162" t="s">
        <v>460</v>
      </c>
      <c r="D302" s="162" t="s">
        <v>461</v>
      </c>
      <c r="E302" s="162" t="s">
        <v>2948</v>
      </c>
      <c r="F302" s="162">
        <v>1000</v>
      </c>
      <c r="G302" s="162">
        <v>1</v>
      </c>
    </row>
    <row r="303" spans="2:7" ht="43.2">
      <c r="B303" s="162" t="s">
        <v>26</v>
      </c>
      <c r="C303" s="162" t="s">
        <v>2949</v>
      </c>
      <c r="D303" s="162" t="s">
        <v>2950</v>
      </c>
      <c r="E303" s="162" t="s">
        <v>2951</v>
      </c>
      <c r="F303" s="162">
        <v>9300</v>
      </c>
      <c r="G303" s="162">
        <v>1</v>
      </c>
    </row>
    <row r="304" spans="2:7" ht="57.6">
      <c r="B304" s="162" t="s">
        <v>26</v>
      </c>
      <c r="C304" s="162" t="s">
        <v>2952</v>
      </c>
      <c r="D304" s="162" t="s">
        <v>2953</v>
      </c>
      <c r="E304" s="162" t="s">
        <v>2951</v>
      </c>
      <c r="F304" s="162">
        <v>23888</v>
      </c>
      <c r="G304" s="162">
        <v>1</v>
      </c>
    </row>
    <row r="305" spans="2:7" ht="43.2">
      <c r="B305" s="162" t="s">
        <v>26</v>
      </c>
      <c r="C305" s="162" t="s">
        <v>2954</v>
      </c>
      <c r="D305" s="162" t="s">
        <v>2955</v>
      </c>
      <c r="E305" s="162" t="s">
        <v>2951</v>
      </c>
      <c r="F305" s="162">
        <v>12412</v>
      </c>
      <c r="G305" s="162">
        <v>1</v>
      </c>
    </row>
    <row r="306" spans="2:7" ht="57.6">
      <c r="B306" s="162" t="s">
        <v>26</v>
      </c>
      <c r="C306" s="162" t="s">
        <v>2956</v>
      </c>
      <c r="D306" s="162" t="s">
        <v>2957</v>
      </c>
      <c r="E306" s="162" t="s">
        <v>2951</v>
      </c>
      <c r="F306" s="162">
        <v>40660</v>
      </c>
      <c r="G306" s="162">
        <v>1</v>
      </c>
    </row>
    <row r="307" spans="2:7" ht="43.2">
      <c r="B307" s="162" t="s">
        <v>2958</v>
      </c>
      <c r="C307" s="162" t="s">
        <v>2959</v>
      </c>
      <c r="D307" s="162" t="s">
        <v>2960</v>
      </c>
      <c r="F307" s="162">
        <v>310</v>
      </c>
      <c r="G307" s="162">
        <v>1</v>
      </c>
    </row>
    <row r="308" spans="2:7" ht="43.2">
      <c r="B308" s="162" t="s">
        <v>2958</v>
      </c>
      <c r="C308" s="162" t="s">
        <v>2961</v>
      </c>
      <c r="D308" s="162" t="s">
        <v>2962</v>
      </c>
      <c r="F308" s="162">
        <v>605</v>
      </c>
      <c r="G308" s="162">
        <v>1</v>
      </c>
    </row>
    <row r="309" spans="2:7" ht="57.6">
      <c r="B309" s="162" t="s">
        <v>2958</v>
      </c>
      <c r="C309" s="162" t="s">
        <v>2963</v>
      </c>
      <c r="D309" s="162" t="s">
        <v>2964</v>
      </c>
      <c r="F309" s="162">
        <v>1717</v>
      </c>
      <c r="G309" s="162">
        <v>1</v>
      </c>
    </row>
    <row r="310" spans="2:7" ht="28.8">
      <c r="B310" s="162" t="s">
        <v>2958</v>
      </c>
      <c r="C310" s="162" t="s">
        <v>2965</v>
      </c>
      <c r="D310" s="162" t="s">
        <v>2966</v>
      </c>
      <c r="F310" s="162">
        <v>212</v>
      </c>
      <c r="G310" s="162">
        <v>1</v>
      </c>
    </row>
    <row r="311" spans="2:7" ht="28.8">
      <c r="B311" s="162" t="s">
        <v>2958</v>
      </c>
      <c r="C311" s="162" t="s">
        <v>2967</v>
      </c>
      <c r="D311" s="162" t="s">
        <v>2968</v>
      </c>
      <c r="F311" s="162">
        <v>680</v>
      </c>
      <c r="G311" s="162">
        <v>1</v>
      </c>
    </row>
    <row r="312" spans="2:7" ht="72">
      <c r="B312" s="162" t="s">
        <v>2958</v>
      </c>
      <c r="C312" s="162" t="s">
        <v>2969</v>
      </c>
      <c r="D312" s="162" t="s">
        <v>2970</v>
      </c>
      <c r="F312" s="162">
        <v>1150</v>
      </c>
      <c r="G312" s="162">
        <v>1</v>
      </c>
    </row>
    <row r="313" spans="2:7" ht="28.8">
      <c r="B313" s="162" t="s">
        <v>2958</v>
      </c>
      <c r="C313" s="162" t="s">
        <v>2971</v>
      </c>
      <c r="D313" s="162" t="s">
        <v>2972</v>
      </c>
      <c r="F313" s="162">
        <v>925</v>
      </c>
      <c r="G313" s="162">
        <v>1</v>
      </c>
    </row>
    <row r="314" spans="2:7" ht="28.8">
      <c r="B314" s="162" t="s">
        <v>2958</v>
      </c>
      <c r="C314" s="162" t="s">
        <v>2973</v>
      </c>
      <c r="D314" s="162" t="s">
        <v>2974</v>
      </c>
      <c r="F314" s="162">
        <v>3745</v>
      </c>
      <c r="G314" s="162">
        <v>1</v>
      </c>
    </row>
    <row r="315" spans="2:7" ht="57.6">
      <c r="B315" s="162" t="s">
        <v>2958</v>
      </c>
      <c r="C315" s="162" t="s">
        <v>2975</v>
      </c>
      <c r="D315" s="162" t="s">
        <v>2976</v>
      </c>
      <c r="F315" s="162">
        <v>1160</v>
      </c>
      <c r="G315" s="162">
        <v>1</v>
      </c>
    </row>
    <row r="316" spans="2:7" ht="43.2">
      <c r="B316" s="162" t="s">
        <v>2958</v>
      </c>
      <c r="C316" s="162" t="s">
        <v>2977</v>
      </c>
      <c r="D316" s="162" t="s">
        <v>2978</v>
      </c>
      <c r="F316" s="162">
        <v>1385</v>
      </c>
      <c r="G316" s="162">
        <v>1</v>
      </c>
    </row>
    <row r="317" spans="2:7" ht="28.8">
      <c r="B317" s="162" t="s">
        <v>2958</v>
      </c>
      <c r="C317" s="162" t="s">
        <v>2979</v>
      </c>
      <c r="D317" s="162" t="s">
        <v>2980</v>
      </c>
      <c r="F317" s="162">
        <v>1370</v>
      </c>
      <c r="G317" s="162">
        <v>1</v>
      </c>
    </row>
    <row r="318" spans="2:7" ht="57.6">
      <c r="B318" s="162" t="s">
        <v>2958</v>
      </c>
      <c r="C318" s="162" t="s">
        <v>2981</v>
      </c>
      <c r="D318" s="162" t="s">
        <v>2982</v>
      </c>
      <c r="F318" s="162">
        <v>1070</v>
      </c>
      <c r="G318" s="162">
        <v>1</v>
      </c>
    </row>
    <row r="319" spans="2:7" ht="43.2">
      <c r="B319" s="162" t="s">
        <v>2958</v>
      </c>
      <c r="C319" s="162" t="s">
        <v>2983</v>
      </c>
      <c r="D319" s="162" t="s">
        <v>2984</v>
      </c>
      <c r="F319" s="162">
        <v>1150</v>
      </c>
      <c r="G319" s="162">
        <v>1</v>
      </c>
    </row>
    <row r="320" spans="2:7" ht="28.8">
      <c r="B320" s="162" t="s">
        <v>2958</v>
      </c>
      <c r="C320" s="162" t="s">
        <v>2985</v>
      </c>
      <c r="D320" s="162" t="s">
        <v>2986</v>
      </c>
      <c r="F320" s="162">
        <v>1550</v>
      </c>
      <c r="G320" s="162">
        <v>1</v>
      </c>
    </row>
    <row r="321" spans="2:7" ht="28.8">
      <c r="B321" s="162" t="s">
        <v>2958</v>
      </c>
      <c r="C321" s="162" t="s">
        <v>2987</v>
      </c>
      <c r="D321" s="162" t="s">
        <v>2988</v>
      </c>
      <c r="F321" s="162">
        <v>5020</v>
      </c>
      <c r="G321" s="162">
        <v>1</v>
      </c>
    </row>
    <row r="322" spans="2:7" ht="28.8">
      <c r="B322" s="162" t="s">
        <v>2958</v>
      </c>
      <c r="C322" s="162" t="s">
        <v>2989</v>
      </c>
      <c r="D322" s="162" t="s">
        <v>2990</v>
      </c>
      <c r="F322" s="162">
        <v>6725</v>
      </c>
      <c r="G322" s="162">
        <v>1</v>
      </c>
    </row>
    <row r="323" spans="2:7" ht="28.8">
      <c r="B323" s="162" t="s">
        <v>2958</v>
      </c>
      <c r="C323" s="162" t="s">
        <v>2991</v>
      </c>
      <c r="D323" s="162" t="s">
        <v>2992</v>
      </c>
      <c r="F323" s="162">
        <v>4435</v>
      </c>
      <c r="G323" s="162">
        <v>1</v>
      </c>
    </row>
    <row r="324" spans="2:7" ht="28.8">
      <c r="B324" s="162" t="s">
        <v>2958</v>
      </c>
      <c r="C324" s="162" t="s">
        <v>2993</v>
      </c>
      <c r="D324" s="162" t="s">
        <v>2994</v>
      </c>
      <c r="F324" s="162">
        <v>1420</v>
      </c>
      <c r="G324" s="162">
        <v>1</v>
      </c>
    </row>
    <row r="325" spans="2:7" ht="28.8">
      <c r="B325" s="162" t="s">
        <v>2958</v>
      </c>
      <c r="C325" s="162" t="s">
        <v>2995</v>
      </c>
      <c r="D325" s="162" t="s">
        <v>2996</v>
      </c>
      <c r="F325" s="162">
        <v>1670</v>
      </c>
      <c r="G325" s="162">
        <v>1</v>
      </c>
    </row>
    <row r="326" spans="2:7" ht="28.8">
      <c r="B326" s="162" t="s">
        <v>2958</v>
      </c>
      <c r="C326" s="162" t="s">
        <v>2997</v>
      </c>
      <c r="D326" s="162" t="s">
        <v>2998</v>
      </c>
      <c r="F326" s="162">
        <v>53.5</v>
      </c>
      <c r="G326" s="162">
        <v>1</v>
      </c>
    </row>
    <row r="327" spans="2:7" ht="28.8">
      <c r="B327" s="162" t="s">
        <v>2958</v>
      </c>
      <c r="C327" s="162" t="s">
        <v>2999</v>
      </c>
      <c r="D327" s="162" t="s">
        <v>3000</v>
      </c>
      <c r="F327" s="162">
        <v>360</v>
      </c>
      <c r="G327" s="162">
        <v>1</v>
      </c>
    </row>
    <row r="328" spans="2:7" ht="28.8">
      <c r="B328" s="162" t="s">
        <v>2958</v>
      </c>
      <c r="C328" s="162" t="s">
        <v>3001</v>
      </c>
      <c r="D328" s="162" t="s">
        <v>3002</v>
      </c>
      <c r="F328" s="162">
        <v>450</v>
      </c>
      <c r="G328" s="162">
        <v>1</v>
      </c>
    </row>
    <row r="329" spans="2:7" ht="28.8">
      <c r="B329" s="162" t="s">
        <v>673</v>
      </c>
      <c r="C329" s="162" t="s">
        <v>803</v>
      </c>
      <c r="D329" s="162" t="s">
        <v>804</v>
      </c>
      <c r="F329" s="162">
        <v>1598</v>
      </c>
      <c r="G329" s="162">
        <v>1</v>
      </c>
    </row>
    <row r="330" spans="2:7" ht="57.6">
      <c r="B330" s="162" t="s">
        <v>673</v>
      </c>
      <c r="C330" s="162" t="s">
        <v>805</v>
      </c>
      <c r="D330" s="162" t="s">
        <v>806</v>
      </c>
      <c r="F330" s="162">
        <v>1898</v>
      </c>
      <c r="G330" s="162">
        <v>1</v>
      </c>
    </row>
    <row r="331" spans="2:7" ht="43.2">
      <c r="B331" s="162" t="s">
        <v>673</v>
      </c>
      <c r="C331" s="162" t="s">
        <v>807</v>
      </c>
      <c r="D331" s="162" t="s">
        <v>808</v>
      </c>
      <c r="F331" s="162">
        <v>2598</v>
      </c>
      <c r="G331" s="162">
        <v>1</v>
      </c>
    </row>
    <row r="332" spans="2:7" ht="43.2">
      <c r="B332" s="162" t="s">
        <v>673</v>
      </c>
      <c r="C332" s="162" t="s">
        <v>809</v>
      </c>
      <c r="D332" s="162" t="s">
        <v>810</v>
      </c>
      <c r="F332" s="162">
        <v>1598</v>
      </c>
      <c r="G332" s="162">
        <v>1</v>
      </c>
    </row>
    <row r="333" spans="2:7" ht="43.2">
      <c r="B333" s="162" t="s">
        <v>673</v>
      </c>
      <c r="C333" s="162" t="s">
        <v>811</v>
      </c>
      <c r="D333" s="162" t="s">
        <v>812</v>
      </c>
      <c r="F333" s="162">
        <v>1898</v>
      </c>
      <c r="G333" s="162">
        <v>1</v>
      </c>
    </row>
    <row r="334" spans="2:7" ht="43.2">
      <c r="B334" s="162" t="s">
        <v>673</v>
      </c>
      <c r="C334" s="162" t="s">
        <v>813</v>
      </c>
      <c r="D334" s="162" t="s">
        <v>814</v>
      </c>
      <c r="F334" s="162">
        <v>1898</v>
      </c>
      <c r="G334" s="162">
        <v>1</v>
      </c>
    </row>
    <row r="335" spans="2:7" ht="43.2">
      <c r="B335" s="162" t="s">
        <v>673</v>
      </c>
      <c r="C335" s="162" t="s">
        <v>815</v>
      </c>
      <c r="D335" s="162" t="s">
        <v>816</v>
      </c>
      <c r="F335" s="162">
        <v>1998</v>
      </c>
      <c r="G335" s="162">
        <v>1</v>
      </c>
    </row>
    <row r="336" spans="2:7" ht="43.2">
      <c r="B336" s="162" t="s">
        <v>673</v>
      </c>
      <c r="C336" s="162" t="s">
        <v>817</v>
      </c>
      <c r="D336" s="162" t="s">
        <v>818</v>
      </c>
      <c r="F336" s="162">
        <v>1998</v>
      </c>
      <c r="G336" s="162">
        <v>1</v>
      </c>
    </row>
    <row r="337" spans="2:7" ht="28.8">
      <c r="B337" s="162" t="s">
        <v>673</v>
      </c>
      <c r="C337" s="162" t="s">
        <v>819</v>
      </c>
      <c r="D337" s="162" t="s">
        <v>820</v>
      </c>
      <c r="F337" s="162">
        <v>1098</v>
      </c>
      <c r="G337" s="162">
        <v>1</v>
      </c>
    </row>
    <row r="338" spans="2:7" ht="43.2">
      <c r="B338" s="162" t="s">
        <v>673</v>
      </c>
      <c r="C338" s="162" t="s">
        <v>821</v>
      </c>
      <c r="D338" s="162" t="s">
        <v>822</v>
      </c>
      <c r="F338" s="162">
        <v>1298</v>
      </c>
      <c r="G338" s="162">
        <v>1</v>
      </c>
    </row>
    <row r="339" spans="2:7" ht="43.2">
      <c r="B339" s="162" t="s">
        <v>673</v>
      </c>
      <c r="C339" s="162" t="s">
        <v>823</v>
      </c>
      <c r="D339" s="162" t="s">
        <v>824</v>
      </c>
      <c r="F339" s="162">
        <v>1298</v>
      </c>
      <c r="G339" s="162">
        <v>1</v>
      </c>
    </row>
    <row r="340" spans="2:7" ht="28.8">
      <c r="B340" s="162" t="s">
        <v>673</v>
      </c>
      <c r="C340" s="162" t="s">
        <v>825</v>
      </c>
      <c r="D340" s="162" t="s">
        <v>826</v>
      </c>
      <c r="F340" s="162">
        <v>1298</v>
      </c>
      <c r="G340" s="162">
        <v>1</v>
      </c>
    </row>
    <row r="341" spans="2:7" ht="28.8">
      <c r="B341" s="162" t="s">
        <v>673</v>
      </c>
      <c r="C341" s="162" t="s">
        <v>827</v>
      </c>
      <c r="D341" s="162" t="s">
        <v>828</v>
      </c>
      <c r="F341" s="162">
        <v>1298</v>
      </c>
      <c r="G341" s="162">
        <v>1</v>
      </c>
    </row>
    <row r="342" spans="2:7" ht="28.8">
      <c r="B342" s="162" t="s">
        <v>673</v>
      </c>
      <c r="C342" s="162" t="s">
        <v>829</v>
      </c>
      <c r="D342" s="162" t="s">
        <v>830</v>
      </c>
      <c r="F342" s="162">
        <v>698</v>
      </c>
      <c r="G342" s="162">
        <v>1</v>
      </c>
    </row>
    <row r="343" spans="2:7" ht="28.8">
      <c r="B343" s="162" t="s">
        <v>673</v>
      </c>
      <c r="C343" s="162" t="s">
        <v>831</v>
      </c>
      <c r="D343" s="162" t="s">
        <v>832</v>
      </c>
      <c r="F343" s="162">
        <v>698</v>
      </c>
      <c r="G343" s="162">
        <v>1</v>
      </c>
    </row>
    <row r="344" spans="2:7" ht="28.8">
      <c r="B344" s="162" t="s">
        <v>673</v>
      </c>
      <c r="C344" s="162" t="s">
        <v>833</v>
      </c>
      <c r="D344" s="162" t="s">
        <v>834</v>
      </c>
      <c r="F344" s="162">
        <v>1350</v>
      </c>
      <c r="G344" s="162">
        <v>1</v>
      </c>
    </row>
    <row r="345" spans="2:7" ht="28.8">
      <c r="B345" s="162" t="s">
        <v>673</v>
      </c>
      <c r="C345" s="162" t="s">
        <v>835</v>
      </c>
      <c r="D345" s="162" t="s">
        <v>836</v>
      </c>
      <c r="F345" s="162">
        <v>1350</v>
      </c>
      <c r="G345" s="162">
        <v>1</v>
      </c>
    </row>
    <row r="346" spans="2:7" ht="43.2">
      <c r="B346" s="162" t="s">
        <v>673</v>
      </c>
      <c r="C346" s="162" t="s">
        <v>837</v>
      </c>
      <c r="D346" s="162" t="s">
        <v>838</v>
      </c>
      <c r="F346" s="162">
        <v>1350</v>
      </c>
      <c r="G346" s="162">
        <v>1</v>
      </c>
    </row>
    <row r="347" spans="2:7" ht="43.2">
      <c r="B347" s="162" t="s">
        <v>673</v>
      </c>
      <c r="C347" s="162" t="s">
        <v>839</v>
      </c>
      <c r="D347" s="162" t="s">
        <v>840</v>
      </c>
      <c r="F347" s="162">
        <v>1350</v>
      </c>
      <c r="G347" s="162">
        <v>1</v>
      </c>
    </row>
    <row r="348" spans="2:7" ht="43.2">
      <c r="B348" s="162" t="s">
        <v>673</v>
      </c>
      <c r="C348" s="162" t="s">
        <v>841</v>
      </c>
      <c r="D348" s="162" t="s">
        <v>842</v>
      </c>
      <c r="F348" s="162">
        <v>1598</v>
      </c>
      <c r="G348" s="162">
        <v>1</v>
      </c>
    </row>
    <row r="349" spans="2:7" ht="43.2">
      <c r="B349" s="162" t="s">
        <v>673</v>
      </c>
      <c r="C349" s="162" t="s">
        <v>843</v>
      </c>
      <c r="D349" s="162" t="s">
        <v>844</v>
      </c>
      <c r="F349" s="162">
        <v>1598</v>
      </c>
      <c r="G349" s="162">
        <v>1</v>
      </c>
    </row>
    <row r="350" spans="2:7" ht="43.2">
      <c r="B350" s="162" t="s">
        <v>673</v>
      </c>
      <c r="C350" s="162" t="s">
        <v>845</v>
      </c>
      <c r="D350" s="162" t="s">
        <v>846</v>
      </c>
      <c r="F350" s="162">
        <v>1598</v>
      </c>
      <c r="G350" s="162">
        <v>1</v>
      </c>
    </row>
    <row r="351" spans="2:7" ht="43.2">
      <c r="B351" s="162" t="s">
        <v>673</v>
      </c>
      <c r="C351" s="162" t="s">
        <v>847</v>
      </c>
      <c r="D351" s="162" t="s">
        <v>848</v>
      </c>
      <c r="F351" s="162">
        <v>1598</v>
      </c>
      <c r="G351" s="162">
        <v>1</v>
      </c>
    </row>
    <row r="352" spans="2:7" ht="57.6">
      <c r="B352" s="162" t="s">
        <v>673</v>
      </c>
      <c r="C352" s="162" t="s">
        <v>849</v>
      </c>
      <c r="D352" s="162" t="s">
        <v>850</v>
      </c>
      <c r="F352" s="162">
        <v>1798</v>
      </c>
      <c r="G352" s="162">
        <v>1</v>
      </c>
    </row>
    <row r="353" spans="2:7" ht="57.6">
      <c r="B353" s="162" t="s">
        <v>673</v>
      </c>
      <c r="C353" s="162" t="s">
        <v>851</v>
      </c>
      <c r="D353" s="162" t="s">
        <v>852</v>
      </c>
      <c r="F353" s="162">
        <v>1798</v>
      </c>
      <c r="G353" s="162">
        <v>1</v>
      </c>
    </row>
    <row r="354" spans="2:7" ht="57.6">
      <c r="B354" s="162" t="s">
        <v>673</v>
      </c>
      <c r="C354" s="162" t="s">
        <v>853</v>
      </c>
      <c r="D354" s="162" t="s">
        <v>854</v>
      </c>
      <c r="F354" s="162">
        <v>1798</v>
      </c>
      <c r="G354" s="162">
        <v>1</v>
      </c>
    </row>
    <row r="355" spans="2:7" ht="57.6">
      <c r="B355" s="162" t="s">
        <v>673</v>
      </c>
      <c r="C355" s="162" t="s">
        <v>855</v>
      </c>
      <c r="D355" s="162" t="s">
        <v>856</v>
      </c>
      <c r="F355" s="162">
        <v>1798</v>
      </c>
      <c r="G355" s="162">
        <v>1</v>
      </c>
    </row>
    <row r="356" spans="2:7" ht="57.6">
      <c r="B356" s="162" t="s">
        <v>673</v>
      </c>
      <c r="C356" s="162" t="s">
        <v>857</v>
      </c>
      <c r="D356" s="162" t="s">
        <v>850</v>
      </c>
      <c r="F356" s="162">
        <v>1898</v>
      </c>
      <c r="G356" s="162">
        <v>1</v>
      </c>
    </row>
    <row r="357" spans="2:7" ht="57.6">
      <c r="B357" s="162" t="s">
        <v>673</v>
      </c>
      <c r="C357" s="162" t="s">
        <v>858</v>
      </c>
      <c r="D357" s="162" t="s">
        <v>852</v>
      </c>
      <c r="F357" s="162">
        <v>1898</v>
      </c>
      <c r="G357" s="162">
        <v>1</v>
      </c>
    </row>
    <row r="358" spans="2:7" ht="57.6">
      <c r="B358" s="162" t="s">
        <v>673</v>
      </c>
      <c r="C358" s="162" t="s">
        <v>859</v>
      </c>
      <c r="D358" s="162" t="s">
        <v>854</v>
      </c>
      <c r="F358" s="162">
        <v>1898</v>
      </c>
      <c r="G358" s="162">
        <v>1</v>
      </c>
    </row>
    <row r="359" spans="2:7" ht="57.6">
      <c r="B359" s="162" t="s">
        <v>673</v>
      </c>
      <c r="C359" s="162" t="s">
        <v>860</v>
      </c>
      <c r="D359" s="162" t="s">
        <v>856</v>
      </c>
      <c r="F359" s="162">
        <v>1898</v>
      </c>
      <c r="G359" s="162">
        <v>1</v>
      </c>
    </row>
    <row r="360" spans="2:7" ht="57.6">
      <c r="B360" s="162" t="s">
        <v>673</v>
      </c>
      <c r="C360" s="162" t="s">
        <v>861</v>
      </c>
      <c r="D360" s="162" t="s">
        <v>862</v>
      </c>
      <c r="F360" s="162">
        <v>2098</v>
      </c>
      <c r="G360" s="162">
        <v>1</v>
      </c>
    </row>
    <row r="361" spans="2:7" ht="57.6">
      <c r="B361" s="162" t="s">
        <v>673</v>
      </c>
      <c r="C361" s="162" t="s">
        <v>863</v>
      </c>
      <c r="D361" s="162" t="s">
        <v>864</v>
      </c>
      <c r="F361" s="162">
        <v>2098</v>
      </c>
      <c r="G361" s="162">
        <v>1</v>
      </c>
    </row>
    <row r="362" spans="2:7" ht="28.8">
      <c r="B362" s="162" t="s">
        <v>673</v>
      </c>
      <c r="C362" s="162" t="s">
        <v>865</v>
      </c>
      <c r="D362" s="162" t="s">
        <v>866</v>
      </c>
      <c r="F362" s="162">
        <v>898</v>
      </c>
      <c r="G362" s="162">
        <v>1</v>
      </c>
    </row>
    <row r="363" spans="2:7" ht="28.8">
      <c r="B363" s="162" t="s">
        <v>673</v>
      </c>
      <c r="C363" s="162" t="s">
        <v>867</v>
      </c>
      <c r="D363" s="162" t="s">
        <v>868</v>
      </c>
      <c r="F363" s="162">
        <v>898</v>
      </c>
      <c r="G363" s="162">
        <v>1</v>
      </c>
    </row>
    <row r="364" spans="2:7" ht="43.2">
      <c r="B364" s="162" t="s">
        <v>673</v>
      </c>
      <c r="C364" s="162" t="s">
        <v>869</v>
      </c>
      <c r="D364" s="162" t="s">
        <v>870</v>
      </c>
      <c r="F364" s="162">
        <v>1098</v>
      </c>
      <c r="G364" s="162">
        <v>1</v>
      </c>
    </row>
    <row r="365" spans="2:7" ht="43.2">
      <c r="B365" s="162" t="s">
        <v>673</v>
      </c>
      <c r="C365" s="162" t="s">
        <v>871</v>
      </c>
      <c r="D365" s="162" t="s">
        <v>872</v>
      </c>
      <c r="F365" s="162">
        <v>1098</v>
      </c>
      <c r="G365" s="162">
        <v>1</v>
      </c>
    </row>
    <row r="366" spans="2:7" ht="43.2">
      <c r="B366" s="162" t="s">
        <v>673</v>
      </c>
      <c r="C366" s="162" t="s">
        <v>873</v>
      </c>
      <c r="D366" s="162" t="s">
        <v>874</v>
      </c>
      <c r="F366" s="162">
        <v>1098</v>
      </c>
      <c r="G366" s="162">
        <v>1</v>
      </c>
    </row>
    <row r="367" spans="2:7" ht="43.2">
      <c r="B367" s="162" t="s">
        <v>673</v>
      </c>
      <c r="C367" s="162" t="s">
        <v>875</v>
      </c>
      <c r="D367" s="162" t="s">
        <v>876</v>
      </c>
      <c r="F367" s="162">
        <v>1098</v>
      </c>
      <c r="G367" s="162">
        <v>1</v>
      </c>
    </row>
    <row r="368" spans="2:7" ht="43.2">
      <c r="B368" s="162" t="s">
        <v>673</v>
      </c>
      <c r="C368" s="162" t="s">
        <v>877</v>
      </c>
      <c r="D368" s="162" t="s">
        <v>878</v>
      </c>
      <c r="F368" s="162">
        <v>1098</v>
      </c>
      <c r="G368" s="162">
        <v>1</v>
      </c>
    </row>
    <row r="369" spans="2:7" ht="43.2">
      <c r="B369" s="162" t="s">
        <v>673</v>
      </c>
      <c r="C369" s="162" t="s">
        <v>879</v>
      </c>
      <c r="D369" s="162" t="s">
        <v>880</v>
      </c>
      <c r="F369" s="162">
        <v>1098</v>
      </c>
      <c r="G369" s="162">
        <v>1</v>
      </c>
    </row>
    <row r="370" spans="2:7" ht="43.2">
      <c r="B370" s="162" t="s">
        <v>673</v>
      </c>
      <c r="C370" s="162" t="s">
        <v>881</v>
      </c>
      <c r="D370" s="162" t="s">
        <v>882</v>
      </c>
      <c r="F370" s="162">
        <v>1098</v>
      </c>
      <c r="G370" s="162">
        <v>1</v>
      </c>
    </row>
    <row r="371" spans="2:7" ht="43.2">
      <c r="B371" s="162" t="s">
        <v>673</v>
      </c>
      <c r="C371" s="162" t="s">
        <v>883</v>
      </c>
      <c r="D371" s="162" t="s">
        <v>884</v>
      </c>
      <c r="F371" s="162">
        <v>1098</v>
      </c>
      <c r="G371" s="162">
        <v>1</v>
      </c>
    </row>
    <row r="372" spans="2:7" ht="43.2">
      <c r="B372" s="162" t="s">
        <v>673</v>
      </c>
      <c r="C372" s="162" t="s">
        <v>885</v>
      </c>
      <c r="D372" s="162" t="s">
        <v>886</v>
      </c>
      <c r="F372" s="162">
        <v>1098</v>
      </c>
      <c r="G372" s="162">
        <v>1</v>
      </c>
    </row>
    <row r="373" spans="2:7" ht="43.2">
      <c r="B373" s="162" t="s">
        <v>673</v>
      </c>
      <c r="C373" s="162" t="s">
        <v>887</v>
      </c>
      <c r="D373" s="162" t="s">
        <v>888</v>
      </c>
      <c r="F373" s="162">
        <v>1098</v>
      </c>
      <c r="G373" s="162">
        <v>1</v>
      </c>
    </row>
    <row r="374" spans="2:7">
      <c r="B374" s="162" t="s">
        <v>673</v>
      </c>
      <c r="C374" s="162" t="s">
        <v>889</v>
      </c>
      <c r="D374" s="162" t="s">
        <v>890</v>
      </c>
      <c r="F374" s="162">
        <v>450</v>
      </c>
      <c r="G374" s="162">
        <v>1</v>
      </c>
    </row>
    <row r="375" spans="2:7" ht="28.8">
      <c r="B375" s="162" t="s">
        <v>673</v>
      </c>
      <c r="C375" s="162" t="s">
        <v>891</v>
      </c>
      <c r="D375" s="162" t="s">
        <v>892</v>
      </c>
      <c r="F375" s="162">
        <v>550</v>
      </c>
      <c r="G375" s="162">
        <v>1</v>
      </c>
    </row>
    <row r="376" spans="2:7" ht="28.8">
      <c r="B376" s="162" t="s">
        <v>673</v>
      </c>
      <c r="C376" s="162" t="s">
        <v>893</v>
      </c>
      <c r="D376" s="162" t="s">
        <v>894</v>
      </c>
      <c r="F376" s="162">
        <v>540</v>
      </c>
      <c r="G376" s="162">
        <v>1</v>
      </c>
    </row>
    <row r="377" spans="2:7">
      <c r="B377" s="162" t="s">
        <v>673</v>
      </c>
      <c r="C377" s="162" t="s">
        <v>895</v>
      </c>
      <c r="D377" s="162" t="s">
        <v>896</v>
      </c>
      <c r="F377" s="162">
        <v>450</v>
      </c>
      <c r="G377" s="162">
        <v>1</v>
      </c>
    </row>
    <row r="378" spans="2:7" ht="28.8">
      <c r="B378" s="162" t="s">
        <v>673</v>
      </c>
      <c r="C378" s="162" t="s">
        <v>897</v>
      </c>
      <c r="D378" s="162" t="s">
        <v>898</v>
      </c>
      <c r="F378" s="162">
        <v>550</v>
      </c>
      <c r="G378" s="162">
        <v>1</v>
      </c>
    </row>
    <row r="379" spans="2:7" ht="43.2">
      <c r="B379" s="162" t="s">
        <v>673</v>
      </c>
      <c r="C379" s="162" t="s">
        <v>899</v>
      </c>
      <c r="D379" s="162" t="s">
        <v>900</v>
      </c>
      <c r="F379" s="162">
        <v>798</v>
      </c>
      <c r="G379" s="162">
        <v>1</v>
      </c>
    </row>
    <row r="380" spans="2:7" ht="57.6">
      <c r="B380" s="162" t="s">
        <v>673</v>
      </c>
      <c r="C380" s="162" t="s">
        <v>901</v>
      </c>
      <c r="D380" s="162" t="s">
        <v>902</v>
      </c>
      <c r="F380" s="162">
        <v>998</v>
      </c>
      <c r="G380" s="162">
        <v>1</v>
      </c>
    </row>
    <row r="381" spans="2:7" ht="28.8">
      <c r="B381" s="162" t="s">
        <v>673</v>
      </c>
      <c r="C381" s="162" t="s">
        <v>903</v>
      </c>
      <c r="D381" s="162" t="s">
        <v>904</v>
      </c>
      <c r="F381" s="162">
        <v>650</v>
      </c>
      <c r="G381" s="162">
        <v>1</v>
      </c>
    </row>
    <row r="382" spans="2:7" ht="43.2">
      <c r="B382" s="162" t="s">
        <v>673</v>
      </c>
      <c r="C382" s="162" t="s">
        <v>905</v>
      </c>
      <c r="D382" s="162" t="s">
        <v>906</v>
      </c>
      <c r="F382" s="162">
        <v>898</v>
      </c>
      <c r="G382" s="162">
        <v>1</v>
      </c>
    </row>
    <row r="383" spans="2:7" ht="28.8">
      <c r="B383" s="162" t="s">
        <v>673</v>
      </c>
      <c r="C383" s="162" t="s">
        <v>907</v>
      </c>
      <c r="D383" s="162" t="s">
        <v>908</v>
      </c>
      <c r="F383" s="162">
        <v>198</v>
      </c>
      <c r="G383" s="162">
        <v>1</v>
      </c>
    </row>
    <row r="384" spans="2:7" ht="28.8">
      <c r="B384" s="162" t="s">
        <v>673</v>
      </c>
      <c r="C384" s="162" t="s">
        <v>909</v>
      </c>
      <c r="D384" s="162" t="s">
        <v>910</v>
      </c>
      <c r="F384" s="162">
        <v>198</v>
      </c>
      <c r="G384" s="162">
        <v>1</v>
      </c>
    </row>
    <row r="385" spans="2:7" ht="28.8">
      <c r="B385" s="162" t="s">
        <v>673</v>
      </c>
      <c r="C385" s="162" t="s">
        <v>3003</v>
      </c>
      <c r="D385" s="162" t="s">
        <v>3004</v>
      </c>
      <c r="F385" s="162">
        <v>1598</v>
      </c>
      <c r="G385" s="162">
        <v>1</v>
      </c>
    </row>
    <row r="386" spans="2:7" ht="28.8">
      <c r="B386" s="162" t="s">
        <v>673</v>
      </c>
      <c r="C386" s="162" t="s">
        <v>3005</v>
      </c>
      <c r="D386" s="162" t="s">
        <v>3006</v>
      </c>
      <c r="F386" s="162">
        <v>1498</v>
      </c>
      <c r="G386" s="162">
        <v>1</v>
      </c>
    </row>
    <row r="387" spans="2:7" ht="28.8">
      <c r="B387" s="162" t="s">
        <v>673</v>
      </c>
      <c r="C387" s="162" t="s">
        <v>3007</v>
      </c>
      <c r="D387" s="162" t="s">
        <v>3008</v>
      </c>
      <c r="F387" s="162">
        <v>1498</v>
      </c>
      <c r="G387" s="162">
        <v>1</v>
      </c>
    </row>
    <row r="388" spans="2:7" ht="28.8">
      <c r="B388" s="162" t="s">
        <v>673</v>
      </c>
      <c r="C388" s="162" t="s">
        <v>3009</v>
      </c>
      <c r="D388" s="162" t="s">
        <v>3010</v>
      </c>
      <c r="F388" s="162">
        <v>998</v>
      </c>
      <c r="G388" s="162">
        <v>1</v>
      </c>
    </row>
    <row r="389" spans="2:7" ht="28.8">
      <c r="B389" s="162" t="s">
        <v>673</v>
      </c>
      <c r="C389" s="162" t="s">
        <v>3011</v>
      </c>
      <c r="D389" s="162" t="s">
        <v>3012</v>
      </c>
      <c r="F389" s="162">
        <v>1298</v>
      </c>
      <c r="G389" s="162">
        <v>1</v>
      </c>
    </row>
    <row r="390" spans="2:7" ht="28.8">
      <c r="B390" s="162" t="s">
        <v>673</v>
      </c>
      <c r="C390" s="162" t="s">
        <v>3013</v>
      </c>
      <c r="D390" s="162" t="s">
        <v>3014</v>
      </c>
      <c r="F390" s="162">
        <v>1298</v>
      </c>
      <c r="G390" s="162">
        <v>1</v>
      </c>
    </row>
    <row r="391" spans="2:7" ht="28.8">
      <c r="B391" s="162" t="s">
        <v>673</v>
      </c>
      <c r="C391" s="162" t="s">
        <v>3015</v>
      </c>
      <c r="D391" s="162" t="s">
        <v>3016</v>
      </c>
      <c r="F391" s="162">
        <v>1298</v>
      </c>
      <c r="G391" s="162">
        <v>1</v>
      </c>
    </row>
    <row r="392" spans="2:7" ht="28.8">
      <c r="B392" s="162" t="s">
        <v>673</v>
      </c>
      <c r="C392" s="162" t="s">
        <v>3017</v>
      </c>
      <c r="D392" s="162" t="s">
        <v>3018</v>
      </c>
      <c r="F392" s="162">
        <v>1298</v>
      </c>
      <c r="G392" s="162">
        <v>1</v>
      </c>
    </row>
    <row r="393" spans="2:7">
      <c r="B393" s="162" t="s">
        <v>673</v>
      </c>
      <c r="C393" s="162" t="s">
        <v>3019</v>
      </c>
      <c r="D393" s="162" t="s">
        <v>3020</v>
      </c>
      <c r="F393" s="162">
        <v>1253</v>
      </c>
      <c r="G393" s="162">
        <v>1</v>
      </c>
    </row>
    <row r="394" spans="2:7">
      <c r="B394" s="162" t="s">
        <v>673</v>
      </c>
      <c r="C394" s="162" t="s">
        <v>3021</v>
      </c>
      <c r="D394" s="162" t="s">
        <v>3022</v>
      </c>
      <c r="F394" s="162">
        <v>1940</v>
      </c>
      <c r="G394" s="162">
        <v>1</v>
      </c>
    </row>
    <row r="395" spans="2:7" ht="28.8">
      <c r="B395" s="162" t="s">
        <v>673</v>
      </c>
      <c r="C395" s="162" t="s">
        <v>3023</v>
      </c>
      <c r="D395" s="162" t="s">
        <v>3024</v>
      </c>
      <c r="F395" s="162">
        <v>2772</v>
      </c>
      <c r="G395" s="162">
        <v>1</v>
      </c>
    </row>
    <row r="396" spans="2:7">
      <c r="B396" s="162" t="s">
        <v>673</v>
      </c>
      <c r="C396" s="162" t="s">
        <v>3025</v>
      </c>
      <c r="D396" s="162" t="s">
        <v>3026</v>
      </c>
      <c r="F396" s="162">
        <v>3552</v>
      </c>
      <c r="G396" s="162">
        <v>1</v>
      </c>
    </row>
    <row r="397" spans="2:7">
      <c r="B397" s="162" t="s">
        <v>673</v>
      </c>
      <c r="C397" s="162" t="s">
        <v>3027</v>
      </c>
      <c r="D397" s="162" t="s">
        <v>3028</v>
      </c>
      <c r="F397" s="162">
        <v>3634</v>
      </c>
      <c r="G397" s="162">
        <v>1</v>
      </c>
    </row>
    <row r="398" spans="2:7" ht="28.8">
      <c r="B398" s="162" t="s">
        <v>673</v>
      </c>
      <c r="C398" s="162" t="s">
        <v>3029</v>
      </c>
      <c r="D398" s="162" t="s">
        <v>3030</v>
      </c>
      <c r="F398" s="162">
        <v>1198</v>
      </c>
      <c r="G398" s="162">
        <v>1</v>
      </c>
    </row>
    <row r="399" spans="2:7" ht="28.8">
      <c r="B399" s="162" t="s">
        <v>673</v>
      </c>
      <c r="C399" s="162" t="s">
        <v>3031</v>
      </c>
      <c r="D399" s="162" t="s">
        <v>3032</v>
      </c>
      <c r="F399" s="162">
        <v>1538</v>
      </c>
      <c r="G399" s="162">
        <v>1</v>
      </c>
    </row>
    <row r="400" spans="2:7" ht="28.8">
      <c r="B400" s="162" t="s">
        <v>673</v>
      </c>
      <c r="C400" s="162" t="s">
        <v>3033</v>
      </c>
      <c r="D400" s="162" t="s">
        <v>3034</v>
      </c>
      <c r="F400" s="162">
        <v>1538</v>
      </c>
      <c r="G400" s="162">
        <v>1</v>
      </c>
    </row>
    <row r="401" spans="2:7" ht="28.8">
      <c r="B401" s="162" t="s">
        <v>673</v>
      </c>
      <c r="C401" s="162" t="s">
        <v>3035</v>
      </c>
      <c r="D401" s="162" t="s">
        <v>3036</v>
      </c>
      <c r="F401" s="162">
        <v>1978</v>
      </c>
      <c r="G401" s="162">
        <v>1</v>
      </c>
    </row>
    <row r="402" spans="2:7" ht="28.8">
      <c r="B402" s="162" t="s">
        <v>673</v>
      </c>
      <c r="C402" s="162" t="s">
        <v>3037</v>
      </c>
      <c r="D402" s="162" t="s">
        <v>3038</v>
      </c>
      <c r="F402" s="162">
        <v>1978</v>
      </c>
      <c r="G402" s="162">
        <v>1</v>
      </c>
    </row>
    <row r="403" spans="2:7" ht="28.8">
      <c r="B403" s="162" t="s">
        <v>673</v>
      </c>
      <c r="C403" s="162" t="s">
        <v>3039</v>
      </c>
      <c r="D403" s="162" t="s">
        <v>3040</v>
      </c>
      <c r="F403" s="162">
        <v>1538</v>
      </c>
      <c r="G403" s="162">
        <v>1</v>
      </c>
    </row>
    <row r="404" spans="2:7" ht="28.8">
      <c r="B404" s="162" t="s">
        <v>673</v>
      </c>
      <c r="C404" s="162" t="s">
        <v>3041</v>
      </c>
      <c r="D404" s="162" t="s">
        <v>3042</v>
      </c>
      <c r="F404" s="162">
        <v>1978</v>
      </c>
      <c r="G404" s="162">
        <v>1</v>
      </c>
    </row>
    <row r="405" spans="2:7" ht="28.8">
      <c r="B405" s="162" t="s">
        <v>673</v>
      </c>
      <c r="C405" s="162" t="s">
        <v>3043</v>
      </c>
      <c r="D405" s="162" t="s">
        <v>3044</v>
      </c>
      <c r="F405" s="162">
        <v>1198</v>
      </c>
      <c r="G405" s="162">
        <v>1</v>
      </c>
    </row>
    <row r="406" spans="2:7" ht="28.8">
      <c r="B406" s="162" t="s">
        <v>673</v>
      </c>
      <c r="C406" s="162" t="s">
        <v>3045</v>
      </c>
      <c r="D406" s="162" t="s">
        <v>3046</v>
      </c>
      <c r="F406" s="162">
        <v>1998</v>
      </c>
      <c r="G406" s="162">
        <v>1</v>
      </c>
    </row>
    <row r="407" spans="2:7" ht="28.8">
      <c r="B407" s="162" t="s">
        <v>673</v>
      </c>
      <c r="C407" s="162" t="s">
        <v>3047</v>
      </c>
      <c r="D407" s="162" t="s">
        <v>3048</v>
      </c>
      <c r="F407" s="162">
        <v>1498</v>
      </c>
      <c r="G407" s="162">
        <v>1</v>
      </c>
    </row>
    <row r="408" spans="2:7" ht="28.8">
      <c r="B408" s="162" t="s">
        <v>673</v>
      </c>
      <c r="C408" s="162" t="s">
        <v>3049</v>
      </c>
      <c r="D408" s="162" t="s">
        <v>3050</v>
      </c>
      <c r="F408" s="162">
        <v>39.9</v>
      </c>
      <c r="G408" s="162">
        <v>1</v>
      </c>
    </row>
    <row r="409" spans="2:7" ht="28.8">
      <c r="B409" s="162" t="s">
        <v>673</v>
      </c>
      <c r="C409" s="162" t="s">
        <v>3051</v>
      </c>
      <c r="D409" s="162" t="s">
        <v>3052</v>
      </c>
      <c r="F409" s="162">
        <v>99.9</v>
      </c>
      <c r="G409" s="162">
        <v>1</v>
      </c>
    </row>
    <row r="410" spans="2:7">
      <c r="B410" s="162" t="s">
        <v>673</v>
      </c>
      <c r="C410" s="162" t="s">
        <v>3053</v>
      </c>
      <c r="D410" s="162" t="s">
        <v>3054</v>
      </c>
      <c r="F410" s="162">
        <v>3898</v>
      </c>
      <c r="G410" s="162">
        <v>1</v>
      </c>
    </row>
    <row r="411" spans="2:7">
      <c r="B411" s="162" t="s">
        <v>673</v>
      </c>
      <c r="C411" s="162" t="s">
        <v>3055</v>
      </c>
      <c r="D411" s="162" t="s">
        <v>3056</v>
      </c>
      <c r="F411" s="162">
        <v>7990</v>
      </c>
      <c r="G411" s="162">
        <v>1</v>
      </c>
    </row>
    <row r="412" spans="2:7">
      <c r="B412" s="162" t="s">
        <v>673</v>
      </c>
      <c r="C412" s="162" t="s">
        <v>3057</v>
      </c>
      <c r="D412" s="162" t="s">
        <v>3058</v>
      </c>
      <c r="F412" s="162">
        <v>1498</v>
      </c>
      <c r="G412" s="162">
        <v>1</v>
      </c>
    </row>
    <row r="413" spans="2:7">
      <c r="B413" s="162" t="s">
        <v>673</v>
      </c>
      <c r="C413" s="162" t="s">
        <v>3059</v>
      </c>
      <c r="D413" s="162" t="s">
        <v>3060</v>
      </c>
      <c r="F413" s="162">
        <v>3398</v>
      </c>
      <c r="G413" s="162">
        <v>1</v>
      </c>
    </row>
    <row r="414" spans="2:7" ht="43.2">
      <c r="B414" s="162" t="s">
        <v>673</v>
      </c>
      <c r="C414" s="162" t="s">
        <v>3061</v>
      </c>
      <c r="D414" s="162" t="s">
        <v>3062</v>
      </c>
      <c r="F414" s="162">
        <v>1598</v>
      </c>
      <c r="G414" s="162">
        <v>1</v>
      </c>
    </row>
    <row r="415" spans="2:7" ht="43.2">
      <c r="B415" s="162" t="s">
        <v>673</v>
      </c>
      <c r="C415" s="162" t="s">
        <v>3063</v>
      </c>
      <c r="D415" s="162" t="s">
        <v>3064</v>
      </c>
      <c r="F415" s="162">
        <v>1898</v>
      </c>
      <c r="G415" s="162">
        <v>1</v>
      </c>
    </row>
    <row r="416" spans="2:7" ht="43.2">
      <c r="B416" s="162" t="s">
        <v>673</v>
      </c>
      <c r="C416" s="162" t="s">
        <v>3065</v>
      </c>
      <c r="D416" s="162" t="s">
        <v>3066</v>
      </c>
      <c r="F416" s="162">
        <v>2298</v>
      </c>
      <c r="G416" s="162">
        <v>1</v>
      </c>
    </row>
    <row r="417" spans="2:7" ht="129.6">
      <c r="B417" s="162" t="s">
        <v>3067</v>
      </c>
      <c r="C417" s="162" t="s">
        <v>3003</v>
      </c>
      <c r="D417" s="162" t="s">
        <v>3068</v>
      </c>
      <c r="E417" s="162" t="s">
        <v>3069</v>
      </c>
      <c r="F417" s="162">
        <v>1598</v>
      </c>
      <c r="G417" s="162">
        <v>1</v>
      </c>
    </row>
    <row r="418" spans="2:7" ht="129.6">
      <c r="B418" s="162" t="s">
        <v>3067</v>
      </c>
      <c r="C418" s="162" t="s">
        <v>3070</v>
      </c>
      <c r="D418" s="162" t="s">
        <v>3071</v>
      </c>
      <c r="E418" s="162" t="s">
        <v>3072</v>
      </c>
      <c r="F418" s="162">
        <v>1198</v>
      </c>
      <c r="G418" s="162">
        <v>1</v>
      </c>
    </row>
    <row r="419" spans="2:7" ht="86.4">
      <c r="B419" s="162" t="s">
        <v>3067</v>
      </c>
      <c r="C419" s="162" t="s">
        <v>3073</v>
      </c>
      <c r="D419" s="162" t="s">
        <v>3074</v>
      </c>
      <c r="E419" s="162" t="s">
        <v>3075</v>
      </c>
      <c r="F419" s="162">
        <v>1498</v>
      </c>
      <c r="G419" s="162">
        <v>1</v>
      </c>
    </row>
    <row r="420" spans="2:7" ht="86.4">
      <c r="B420" s="162" t="s">
        <v>3067</v>
      </c>
      <c r="C420" s="162" t="s">
        <v>3076</v>
      </c>
      <c r="D420" s="162" t="s">
        <v>3077</v>
      </c>
      <c r="E420" s="162" t="s">
        <v>3075</v>
      </c>
      <c r="F420" s="162">
        <v>1498</v>
      </c>
      <c r="G420" s="162">
        <v>1</v>
      </c>
    </row>
    <row r="421" spans="2:7" ht="28.8">
      <c r="B421" s="162" t="s">
        <v>3067</v>
      </c>
      <c r="C421" s="162" t="s">
        <v>3078</v>
      </c>
      <c r="D421" s="162" t="s">
        <v>3079</v>
      </c>
      <c r="E421" s="162" t="s">
        <v>3080</v>
      </c>
      <c r="F421" s="162">
        <v>198</v>
      </c>
      <c r="G421" s="162">
        <v>1</v>
      </c>
    </row>
    <row r="422" spans="2:7" ht="28.8">
      <c r="B422" s="162" t="s">
        <v>3067</v>
      </c>
      <c r="C422" s="162" t="s">
        <v>3081</v>
      </c>
      <c r="D422" s="162" t="s">
        <v>3082</v>
      </c>
      <c r="E422" s="162" t="s">
        <v>3083</v>
      </c>
      <c r="F422" s="162">
        <v>298</v>
      </c>
      <c r="G422" s="162">
        <v>1</v>
      </c>
    </row>
    <row r="423" spans="2:7" ht="43.2">
      <c r="B423" s="162" t="s">
        <v>3067</v>
      </c>
      <c r="C423" s="162" t="s">
        <v>3084</v>
      </c>
      <c r="G423" s="162">
        <v>1</v>
      </c>
    </row>
    <row r="424" spans="2:7" ht="115.2">
      <c r="B424" s="162" t="s">
        <v>3067</v>
      </c>
      <c r="C424" s="162" t="s">
        <v>3009</v>
      </c>
      <c r="D424" s="162" t="s">
        <v>3085</v>
      </c>
      <c r="E424" s="162" t="s">
        <v>3086</v>
      </c>
      <c r="F424" s="162">
        <v>998</v>
      </c>
      <c r="G424" s="162">
        <v>1</v>
      </c>
    </row>
    <row r="425" spans="2:7" ht="100.8">
      <c r="B425" s="162" t="s">
        <v>3067</v>
      </c>
      <c r="C425" s="162" t="s">
        <v>3011</v>
      </c>
      <c r="D425" s="162" t="s">
        <v>3012</v>
      </c>
      <c r="E425" s="162" t="s">
        <v>3087</v>
      </c>
      <c r="F425" s="162">
        <v>1298</v>
      </c>
      <c r="G425" s="162">
        <v>1</v>
      </c>
    </row>
    <row r="426" spans="2:7" ht="100.8">
      <c r="B426" s="162" t="s">
        <v>3067</v>
      </c>
      <c r="C426" s="162" t="s">
        <v>3013</v>
      </c>
      <c r="D426" s="162" t="s">
        <v>3014</v>
      </c>
      <c r="E426" s="162" t="s">
        <v>3087</v>
      </c>
      <c r="F426" s="162">
        <v>1298</v>
      </c>
      <c r="G426" s="162">
        <v>1</v>
      </c>
    </row>
    <row r="427" spans="2:7" ht="100.8">
      <c r="B427" s="162" t="s">
        <v>3067</v>
      </c>
      <c r="C427" s="162" t="s">
        <v>3015</v>
      </c>
      <c r="D427" s="162" t="s">
        <v>3016</v>
      </c>
      <c r="E427" s="162" t="s">
        <v>3087</v>
      </c>
      <c r="F427" s="162">
        <v>1298</v>
      </c>
      <c r="G427" s="162">
        <v>1</v>
      </c>
    </row>
    <row r="428" spans="2:7" ht="100.8">
      <c r="B428" s="162" t="s">
        <v>3067</v>
      </c>
      <c r="C428" s="162" t="s">
        <v>3017</v>
      </c>
      <c r="D428" s="162" t="s">
        <v>3018</v>
      </c>
      <c r="E428" s="162" t="s">
        <v>3087</v>
      </c>
      <c r="F428" s="162">
        <v>1298</v>
      </c>
      <c r="G428" s="162">
        <v>1</v>
      </c>
    </row>
    <row r="429" spans="2:7" ht="43.2">
      <c r="B429" s="162" t="s">
        <v>3067</v>
      </c>
      <c r="C429" s="162" t="s">
        <v>3088</v>
      </c>
      <c r="G429" s="162">
        <v>1</v>
      </c>
    </row>
    <row r="430" spans="2:7" ht="187.2">
      <c r="B430" s="162" t="s">
        <v>3067</v>
      </c>
      <c r="C430" s="162" t="s">
        <v>3089</v>
      </c>
      <c r="D430" s="162" t="s">
        <v>3090</v>
      </c>
      <c r="E430" s="162" t="s">
        <v>3091</v>
      </c>
      <c r="F430" s="162">
        <v>3198</v>
      </c>
      <c r="G430" s="162">
        <v>1</v>
      </c>
    </row>
    <row r="431" spans="2:7" ht="187.2">
      <c r="B431" s="162" t="s">
        <v>3067</v>
      </c>
      <c r="C431" s="162" t="s">
        <v>805</v>
      </c>
      <c r="D431" s="162" t="s">
        <v>3092</v>
      </c>
      <c r="E431" s="162" t="s">
        <v>3091</v>
      </c>
      <c r="F431" s="162">
        <v>1898</v>
      </c>
      <c r="G431" s="162">
        <v>1</v>
      </c>
    </row>
    <row r="432" spans="2:7" ht="187.2">
      <c r="B432" s="162" t="s">
        <v>3067</v>
      </c>
      <c r="C432" s="162" t="s">
        <v>807</v>
      </c>
      <c r="D432" s="162" t="s">
        <v>3093</v>
      </c>
      <c r="E432" s="162" t="s">
        <v>3094</v>
      </c>
      <c r="F432" s="162">
        <v>2598</v>
      </c>
      <c r="G432" s="162">
        <v>1</v>
      </c>
    </row>
    <row r="433" spans="2:7" ht="129.6">
      <c r="B433" s="162" t="s">
        <v>3067</v>
      </c>
      <c r="C433" s="162" t="s">
        <v>3095</v>
      </c>
      <c r="D433" s="162" t="s">
        <v>3096</v>
      </c>
      <c r="E433" s="162" t="s">
        <v>3097</v>
      </c>
      <c r="F433" s="162">
        <v>1598</v>
      </c>
      <c r="G433" s="162">
        <v>1</v>
      </c>
    </row>
    <row r="434" spans="2:7" ht="144">
      <c r="B434" s="162" t="s">
        <v>3067</v>
      </c>
      <c r="C434" s="162" t="s">
        <v>811</v>
      </c>
      <c r="D434" s="162" t="s">
        <v>3098</v>
      </c>
      <c r="E434" s="162" t="s">
        <v>3099</v>
      </c>
      <c r="F434" s="162">
        <v>1898</v>
      </c>
      <c r="G434" s="162">
        <v>1</v>
      </c>
    </row>
    <row r="435" spans="2:7" ht="144">
      <c r="B435" s="162" t="s">
        <v>3067</v>
      </c>
      <c r="C435" s="162" t="s">
        <v>813</v>
      </c>
      <c r="D435" s="162" t="s">
        <v>3100</v>
      </c>
      <c r="E435" s="162" t="s">
        <v>3101</v>
      </c>
      <c r="F435" s="162">
        <v>1898</v>
      </c>
      <c r="G435" s="162">
        <v>1</v>
      </c>
    </row>
    <row r="436" spans="2:7" ht="158.4">
      <c r="B436" s="162" t="s">
        <v>3067</v>
      </c>
      <c r="C436" s="162" t="s">
        <v>815</v>
      </c>
      <c r="D436" s="162" t="s">
        <v>3102</v>
      </c>
      <c r="E436" s="162" t="s">
        <v>3103</v>
      </c>
      <c r="F436" s="162">
        <v>1998</v>
      </c>
      <c r="G436" s="162">
        <v>1</v>
      </c>
    </row>
    <row r="437" spans="2:7" ht="158.4">
      <c r="B437" s="162" t="s">
        <v>3067</v>
      </c>
      <c r="C437" s="162" t="s">
        <v>817</v>
      </c>
      <c r="D437" s="162" t="s">
        <v>3104</v>
      </c>
      <c r="E437" s="162" t="s">
        <v>3105</v>
      </c>
      <c r="F437" s="162">
        <v>1998</v>
      </c>
      <c r="G437" s="162">
        <v>1</v>
      </c>
    </row>
    <row r="438" spans="2:7" ht="72">
      <c r="B438" s="162" t="s">
        <v>3067</v>
      </c>
      <c r="C438" s="162" t="s">
        <v>3106</v>
      </c>
      <c r="D438" s="162" t="s">
        <v>3107</v>
      </c>
      <c r="E438" s="162" t="s">
        <v>3108</v>
      </c>
      <c r="F438" s="162">
        <v>1498</v>
      </c>
      <c r="G438" s="162">
        <v>1</v>
      </c>
    </row>
    <row r="439" spans="2:7" ht="72">
      <c r="B439" s="162" t="s">
        <v>3067</v>
      </c>
      <c r="C439" s="162" t="s">
        <v>3109</v>
      </c>
      <c r="D439" s="162" t="s">
        <v>3110</v>
      </c>
      <c r="E439" s="162" t="s">
        <v>3108</v>
      </c>
      <c r="F439" s="162">
        <v>1498</v>
      </c>
      <c r="G439" s="162">
        <v>1</v>
      </c>
    </row>
    <row r="440" spans="2:7" ht="43.2">
      <c r="B440" s="162" t="s">
        <v>3067</v>
      </c>
      <c r="C440" s="162" t="s">
        <v>3111</v>
      </c>
      <c r="G440" s="162">
        <v>1</v>
      </c>
    </row>
    <row r="441" spans="2:7" ht="43.2">
      <c r="B441" s="162" t="s">
        <v>3067</v>
      </c>
      <c r="C441" s="162" t="s">
        <v>3112</v>
      </c>
      <c r="D441" s="162" t="s">
        <v>3113</v>
      </c>
      <c r="E441" s="162" t="s">
        <v>3114</v>
      </c>
      <c r="F441" s="162">
        <v>9998</v>
      </c>
      <c r="G441" s="162">
        <v>1</v>
      </c>
    </row>
    <row r="442" spans="2:7" ht="43.2">
      <c r="B442" s="162" t="s">
        <v>3067</v>
      </c>
      <c r="C442" s="162" t="s">
        <v>3115</v>
      </c>
      <c r="D442" s="162" t="s">
        <v>3116</v>
      </c>
      <c r="E442" s="162" t="s">
        <v>3117</v>
      </c>
      <c r="F442" s="162">
        <v>11198</v>
      </c>
      <c r="G442" s="162">
        <v>1</v>
      </c>
    </row>
    <row r="443" spans="2:7" ht="43.2">
      <c r="B443" s="162" t="s">
        <v>3067</v>
      </c>
      <c r="C443" s="162" t="s">
        <v>3118</v>
      </c>
      <c r="D443" s="162" t="s">
        <v>3119</v>
      </c>
      <c r="E443" s="162" t="s">
        <v>3120</v>
      </c>
      <c r="F443" s="162">
        <v>12998</v>
      </c>
      <c r="G443" s="162">
        <v>1</v>
      </c>
    </row>
    <row r="444" spans="2:7" ht="28.8">
      <c r="B444" s="162" t="s">
        <v>3067</v>
      </c>
      <c r="C444" s="162" t="s">
        <v>3121</v>
      </c>
      <c r="G444" s="162">
        <v>1</v>
      </c>
    </row>
    <row r="445" spans="2:7" ht="43.2">
      <c r="B445" s="162" t="s">
        <v>3067</v>
      </c>
      <c r="C445" s="162" t="s">
        <v>3122</v>
      </c>
      <c r="D445" s="162" t="s">
        <v>3123</v>
      </c>
      <c r="E445" s="162" t="s">
        <v>3124</v>
      </c>
      <c r="F445" s="162">
        <v>1758</v>
      </c>
      <c r="G445" s="162">
        <v>1</v>
      </c>
    </row>
    <row r="446" spans="2:7" ht="28.8">
      <c r="B446" s="162" t="s">
        <v>3067</v>
      </c>
      <c r="C446" s="162" t="s">
        <v>3078</v>
      </c>
      <c r="D446" s="162" t="s">
        <v>3079</v>
      </c>
      <c r="E446" s="162" t="s">
        <v>3080</v>
      </c>
      <c r="F446" s="162">
        <v>198</v>
      </c>
      <c r="G446" s="162">
        <v>1</v>
      </c>
    </row>
    <row r="447" spans="2:7" ht="28.8">
      <c r="B447" s="162" t="s">
        <v>3067</v>
      </c>
      <c r="C447" s="162" t="s">
        <v>3081</v>
      </c>
      <c r="D447" s="162" t="s">
        <v>3082</v>
      </c>
      <c r="E447" s="162" t="s">
        <v>3083</v>
      </c>
      <c r="F447" s="162">
        <v>298</v>
      </c>
      <c r="G447" s="162">
        <v>1</v>
      </c>
    </row>
    <row r="448" spans="2:7" ht="115.2">
      <c r="B448" s="162" t="s">
        <v>3067</v>
      </c>
      <c r="C448" s="162" t="s">
        <v>3125</v>
      </c>
      <c r="D448" s="162" t="s">
        <v>3126</v>
      </c>
      <c r="E448" s="162" t="s">
        <v>3127</v>
      </c>
      <c r="F448" s="162">
        <v>598</v>
      </c>
      <c r="G448" s="162">
        <v>1</v>
      </c>
    </row>
    <row r="449" spans="2:7" ht="43.2">
      <c r="B449" s="162" t="s">
        <v>3067</v>
      </c>
      <c r="C449" s="162" t="s">
        <v>3128</v>
      </c>
      <c r="D449" s="162" t="s">
        <v>3129</v>
      </c>
      <c r="E449" s="162" t="s">
        <v>3130</v>
      </c>
      <c r="F449" s="162">
        <v>308</v>
      </c>
      <c r="G449" s="162">
        <v>1</v>
      </c>
    </row>
    <row r="450" spans="2:7" ht="28.8">
      <c r="B450" s="162" t="s">
        <v>3067</v>
      </c>
      <c r="C450" s="162" t="s">
        <v>3131</v>
      </c>
      <c r="D450" s="162" t="s">
        <v>3132</v>
      </c>
      <c r="E450" s="162" t="s">
        <v>3133</v>
      </c>
      <c r="F450" s="162">
        <v>298</v>
      </c>
      <c r="G450" s="162">
        <v>1</v>
      </c>
    </row>
    <row r="451" spans="2:7" ht="43.2">
      <c r="B451" s="162" t="s">
        <v>3067</v>
      </c>
      <c r="C451" s="162" t="s">
        <v>3134</v>
      </c>
      <c r="D451" s="162" t="s">
        <v>3135</v>
      </c>
      <c r="E451" s="162" t="s">
        <v>3136</v>
      </c>
      <c r="F451" s="162">
        <v>318</v>
      </c>
      <c r="G451" s="162">
        <v>1</v>
      </c>
    </row>
    <row r="452" spans="2:7" ht="57.6">
      <c r="B452" s="162" t="s">
        <v>3067</v>
      </c>
      <c r="C452" s="162" t="s">
        <v>3137</v>
      </c>
      <c r="D452" s="162" t="s">
        <v>3138</v>
      </c>
      <c r="E452" s="162" t="s">
        <v>3139</v>
      </c>
      <c r="F452" s="162">
        <v>19.899999999999999</v>
      </c>
      <c r="G452" s="162">
        <v>1</v>
      </c>
    </row>
    <row r="453" spans="2:7" ht="57.6">
      <c r="B453" s="162" t="s">
        <v>3067</v>
      </c>
      <c r="C453" s="162" t="s">
        <v>3140</v>
      </c>
      <c r="D453" s="162" t="s">
        <v>3141</v>
      </c>
      <c r="E453" s="162" t="s">
        <v>3139</v>
      </c>
      <c r="F453" s="162">
        <v>19.899999999999999</v>
      </c>
      <c r="G453" s="162">
        <v>1</v>
      </c>
    </row>
    <row r="454" spans="2:7" ht="28.8">
      <c r="B454" s="162" t="s">
        <v>3067</v>
      </c>
      <c r="C454" s="162" t="s">
        <v>3142</v>
      </c>
      <c r="D454" s="162" t="s">
        <v>3143</v>
      </c>
      <c r="E454" s="162" t="s">
        <v>3144</v>
      </c>
      <c r="F454" s="162">
        <v>98</v>
      </c>
      <c r="G454" s="162">
        <v>1</v>
      </c>
    </row>
    <row r="455" spans="2:7" ht="28.8">
      <c r="B455" s="162" t="s">
        <v>3067</v>
      </c>
      <c r="C455" s="162" t="s">
        <v>3145</v>
      </c>
      <c r="D455" s="162" t="s">
        <v>3146</v>
      </c>
      <c r="E455" s="162" t="s">
        <v>3144</v>
      </c>
      <c r="F455" s="162">
        <v>59.9</v>
      </c>
      <c r="G455" s="162">
        <v>1</v>
      </c>
    </row>
    <row r="456" spans="2:7" ht="28.8">
      <c r="B456" s="162" t="s">
        <v>3067</v>
      </c>
      <c r="C456" s="162" t="s">
        <v>3147</v>
      </c>
      <c r="D456" s="162" t="s">
        <v>3148</v>
      </c>
      <c r="E456" s="162" t="s">
        <v>3144</v>
      </c>
      <c r="F456" s="162">
        <v>79.900000000000006</v>
      </c>
      <c r="G456" s="162">
        <v>1</v>
      </c>
    </row>
    <row r="457" spans="2:7" ht="28.8">
      <c r="B457" s="162" t="s">
        <v>3067</v>
      </c>
      <c r="C457" s="162" t="s">
        <v>3149</v>
      </c>
      <c r="D457" s="162" t="s">
        <v>3150</v>
      </c>
      <c r="E457" s="162" t="s">
        <v>3151</v>
      </c>
      <c r="F457" s="162">
        <v>118</v>
      </c>
      <c r="G457" s="162">
        <v>1</v>
      </c>
    </row>
    <row r="458" spans="2:7" ht="28.8">
      <c r="B458" s="162" t="s">
        <v>3067</v>
      </c>
      <c r="C458" s="162" t="s">
        <v>3152</v>
      </c>
      <c r="D458" s="162" t="s">
        <v>3153</v>
      </c>
      <c r="E458" s="162" t="s">
        <v>3151</v>
      </c>
      <c r="F458" s="162">
        <v>796</v>
      </c>
      <c r="G458" s="162">
        <v>1</v>
      </c>
    </row>
    <row r="459" spans="2:7" ht="28.8">
      <c r="B459" s="162" t="s">
        <v>3067</v>
      </c>
      <c r="C459" s="162" t="s">
        <v>3154</v>
      </c>
      <c r="D459" s="162" t="s">
        <v>3155</v>
      </c>
      <c r="E459" s="162" t="s">
        <v>3151</v>
      </c>
      <c r="F459" s="162">
        <v>498</v>
      </c>
      <c r="G459" s="162">
        <v>1</v>
      </c>
    </row>
    <row r="460" spans="2:7" ht="28.8">
      <c r="B460" s="162" t="s">
        <v>3067</v>
      </c>
      <c r="C460" s="162" t="s">
        <v>3156</v>
      </c>
      <c r="D460" s="162" t="s">
        <v>3157</v>
      </c>
      <c r="E460" s="162" t="s">
        <v>3151</v>
      </c>
      <c r="F460" s="162">
        <v>498</v>
      </c>
      <c r="G460" s="162">
        <v>1</v>
      </c>
    </row>
    <row r="461" spans="2:7" ht="28.8">
      <c r="B461" s="162" t="s">
        <v>3067</v>
      </c>
      <c r="C461" s="162" t="s">
        <v>3158</v>
      </c>
      <c r="D461" s="162" t="s">
        <v>3159</v>
      </c>
      <c r="E461" s="162" t="s">
        <v>3151</v>
      </c>
      <c r="F461" s="162">
        <v>398</v>
      </c>
      <c r="G461" s="162">
        <v>1</v>
      </c>
    </row>
    <row r="462" spans="2:7" ht="28.8">
      <c r="B462" s="162" t="s">
        <v>3067</v>
      </c>
      <c r="C462" s="162" t="s">
        <v>3160</v>
      </c>
      <c r="D462" s="162" t="s">
        <v>3161</v>
      </c>
      <c r="E462" s="162" t="s">
        <v>3151</v>
      </c>
      <c r="F462" s="162">
        <v>84</v>
      </c>
      <c r="G462" s="162">
        <v>1</v>
      </c>
    </row>
    <row r="463" spans="2:7" ht="28.8">
      <c r="B463" s="162" t="s">
        <v>3067</v>
      </c>
      <c r="C463" s="162" t="s">
        <v>3162</v>
      </c>
      <c r="D463" s="162" t="s">
        <v>3163</v>
      </c>
      <c r="E463" s="162" t="s">
        <v>3151</v>
      </c>
      <c r="F463" s="162">
        <v>19.98</v>
      </c>
      <c r="G463" s="162">
        <v>1</v>
      </c>
    </row>
    <row r="464" spans="2:7" ht="28.8">
      <c r="B464" s="162" t="s">
        <v>3067</v>
      </c>
      <c r="C464" s="162" t="s">
        <v>3164</v>
      </c>
      <c r="D464" s="162" t="s">
        <v>3165</v>
      </c>
      <c r="E464" s="162" t="s">
        <v>3166</v>
      </c>
      <c r="F464" s="162">
        <v>20</v>
      </c>
      <c r="G464" s="162">
        <v>1</v>
      </c>
    </row>
    <row r="465" spans="2:7" ht="28.8">
      <c r="B465" s="162" t="s">
        <v>3067</v>
      </c>
      <c r="C465" s="162" t="s">
        <v>3167</v>
      </c>
      <c r="D465" s="162" t="s">
        <v>3168</v>
      </c>
      <c r="E465" s="162" t="s">
        <v>3169</v>
      </c>
      <c r="F465" s="162">
        <v>24</v>
      </c>
      <c r="G465" s="162">
        <v>1</v>
      </c>
    </row>
    <row r="466" spans="2:7" ht="43.2">
      <c r="B466" s="162" t="s">
        <v>3067</v>
      </c>
      <c r="C466" s="162" t="s">
        <v>3170</v>
      </c>
      <c r="G466" s="162">
        <v>1</v>
      </c>
    </row>
    <row r="467" spans="2:7" ht="115.2">
      <c r="B467" s="162" t="s">
        <v>3067</v>
      </c>
      <c r="C467" s="162" t="s">
        <v>3171</v>
      </c>
      <c r="D467" s="162" t="s">
        <v>3172</v>
      </c>
      <c r="E467" s="162" t="s">
        <v>3173</v>
      </c>
      <c r="F467" s="162">
        <v>1198</v>
      </c>
      <c r="G467" s="162">
        <v>1</v>
      </c>
    </row>
    <row r="468" spans="2:7" ht="129.6">
      <c r="B468" s="162" t="s">
        <v>3067</v>
      </c>
      <c r="C468" s="162" t="s">
        <v>3174</v>
      </c>
      <c r="D468" s="162" t="s">
        <v>3175</v>
      </c>
      <c r="E468" s="162" t="s">
        <v>3176</v>
      </c>
      <c r="F468" s="162">
        <v>1798</v>
      </c>
      <c r="G468" s="162">
        <v>1</v>
      </c>
    </row>
    <row r="469" spans="2:7" ht="129.6">
      <c r="B469" s="162" t="s">
        <v>3067</v>
      </c>
      <c r="C469" s="162" t="s">
        <v>3177</v>
      </c>
      <c r="D469" s="162" t="s">
        <v>3178</v>
      </c>
      <c r="E469" s="162" t="s">
        <v>3179</v>
      </c>
      <c r="F469" s="162">
        <v>2398</v>
      </c>
      <c r="G469" s="162">
        <v>1</v>
      </c>
    </row>
    <row r="470" spans="2:7" ht="86.4">
      <c r="B470" s="162" t="s">
        <v>3067</v>
      </c>
      <c r="C470" s="162" t="s">
        <v>3031</v>
      </c>
      <c r="D470" s="162" t="s">
        <v>3180</v>
      </c>
      <c r="E470" s="162" t="s">
        <v>3181</v>
      </c>
      <c r="F470" s="162">
        <v>1538</v>
      </c>
      <c r="G470" s="162">
        <v>1</v>
      </c>
    </row>
    <row r="471" spans="2:7" ht="86.4">
      <c r="B471" s="162" t="s">
        <v>3067</v>
      </c>
      <c r="C471" s="162" t="s">
        <v>3033</v>
      </c>
      <c r="D471" s="162" t="s">
        <v>3182</v>
      </c>
      <c r="E471" s="162" t="s">
        <v>3183</v>
      </c>
      <c r="F471" s="162">
        <v>1538</v>
      </c>
      <c r="G471" s="162">
        <v>1</v>
      </c>
    </row>
    <row r="472" spans="2:7" ht="86.4">
      <c r="B472" s="162" t="s">
        <v>3067</v>
      </c>
      <c r="C472" s="162" t="s">
        <v>3035</v>
      </c>
      <c r="D472" s="162" t="s">
        <v>3184</v>
      </c>
      <c r="E472" s="162" t="s">
        <v>3185</v>
      </c>
      <c r="F472" s="162">
        <v>1978</v>
      </c>
      <c r="G472" s="162">
        <v>1</v>
      </c>
    </row>
    <row r="473" spans="2:7" ht="86.4">
      <c r="B473" s="162" t="s">
        <v>3067</v>
      </c>
      <c r="C473" s="162" t="s">
        <v>3037</v>
      </c>
      <c r="D473" s="162" t="s">
        <v>3186</v>
      </c>
      <c r="E473" s="162" t="s">
        <v>3185</v>
      </c>
      <c r="F473" s="162">
        <v>1978</v>
      </c>
      <c r="G473" s="162">
        <v>1</v>
      </c>
    </row>
    <row r="474" spans="2:7" ht="86.4">
      <c r="B474" s="162" t="s">
        <v>3067</v>
      </c>
      <c r="C474" s="162" t="s">
        <v>3187</v>
      </c>
      <c r="D474" s="162" t="s">
        <v>3188</v>
      </c>
      <c r="E474" s="162" t="s">
        <v>3189</v>
      </c>
      <c r="F474" s="162">
        <v>1990</v>
      </c>
      <c r="G474" s="162">
        <v>1</v>
      </c>
    </row>
    <row r="475" spans="2:7" ht="86.4">
      <c r="B475" s="162" t="s">
        <v>3067</v>
      </c>
      <c r="C475" s="162" t="s">
        <v>3190</v>
      </c>
      <c r="D475" s="162" t="s">
        <v>3191</v>
      </c>
      <c r="E475" s="162" t="s">
        <v>3189</v>
      </c>
      <c r="F475" s="162">
        <v>1990</v>
      </c>
      <c r="G475" s="162">
        <v>1</v>
      </c>
    </row>
    <row r="476" spans="2:7" ht="86.4">
      <c r="B476" s="162" t="s">
        <v>3067</v>
      </c>
      <c r="C476" s="162" t="s">
        <v>3192</v>
      </c>
      <c r="D476" s="162" t="s">
        <v>3193</v>
      </c>
      <c r="E476" s="162" t="s">
        <v>3194</v>
      </c>
      <c r="F476" s="162">
        <v>2590</v>
      </c>
      <c r="G476" s="162">
        <v>1</v>
      </c>
    </row>
    <row r="477" spans="2:7" ht="86.4">
      <c r="B477" s="162" t="s">
        <v>3067</v>
      </c>
      <c r="C477" s="162" t="s">
        <v>3195</v>
      </c>
      <c r="D477" s="162" t="s">
        <v>3196</v>
      </c>
      <c r="E477" s="162" t="s">
        <v>3197</v>
      </c>
      <c r="F477" s="162">
        <v>3190</v>
      </c>
      <c r="G477" s="162">
        <v>1</v>
      </c>
    </row>
    <row r="478" spans="2:7" ht="43.2">
      <c r="B478" s="162" t="s">
        <v>3067</v>
      </c>
      <c r="C478" s="162" t="s">
        <v>3198</v>
      </c>
      <c r="D478" s="162" t="s">
        <v>3199</v>
      </c>
      <c r="E478" s="162" t="s">
        <v>3200</v>
      </c>
      <c r="F478" s="162">
        <v>23.9</v>
      </c>
      <c r="G478" s="162">
        <v>1</v>
      </c>
    </row>
    <row r="479" spans="2:7" ht="28.8">
      <c r="B479" s="162" t="s">
        <v>3067</v>
      </c>
      <c r="C479" s="162" t="s">
        <v>3201</v>
      </c>
      <c r="D479" s="162" t="s">
        <v>3202</v>
      </c>
      <c r="E479" s="162" t="s">
        <v>3203</v>
      </c>
      <c r="F479" s="162">
        <v>59.9</v>
      </c>
      <c r="G479" s="162">
        <v>1</v>
      </c>
    </row>
    <row r="480" spans="2:7" ht="28.8">
      <c r="B480" s="162" t="s">
        <v>3067</v>
      </c>
      <c r="C480" s="162" t="s">
        <v>3204</v>
      </c>
      <c r="D480" s="162" t="s">
        <v>3205</v>
      </c>
      <c r="E480" s="162" t="s">
        <v>3203</v>
      </c>
      <c r="F480" s="162">
        <v>59.9</v>
      </c>
      <c r="G480" s="162">
        <v>1</v>
      </c>
    </row>
    <row r="481" spans="2:7" ht="28.8">
      <c r="B481" s="162" t="s">
        <v>3067</v>
      </c>
      <c r="C481" s="162" t="s">
        <v>3206</v>
      </c>
      <c r="G481" s="162">
        <v>1</v>
      </c>
    </row>
    <row r="482" spans="2:7" ht="86.4">
      <c r="B482" s="162" t="s">
        <v>3067</v>
      </c>
      <c r="C482" s="162" t="s">
        <v>3207</v>
      </c>
      <c r="D482" s="162" t="s">
        <v>3208</v>
      </c>
      <c r="E482" s="162" t="s">
        <v>3209</v>
      </c>
      <c r="F482" s="162">
        <v>798</v>
      </c>
      <c r="G482" s="162">
        <v>1</v>
      </c>
    </row>
    <row r="483" spans="2:7" ht="100.8">
      <c r="B483" s="162" t="s">
        <v>3067</v>
      </c>
      <c r="C483" s="162" t="s">
        <v>3210</v>
      </c>
      <c r="D483" s="162" t="s">
        <v>3211</v>
      </c>
      <c r="E483" s="162" t="s">
        <v>3212</v>
      </c>
      <c r="F483" s="162">
        <v>1198</v>
      </c>
      <c r="G483" s="162">
        <v>1</v>
      </c>
    </row>
    <row r="484" spans="2:7" ht="86.4">
      <c r="B484" s="162" t="s">
        <v>3067</v>
      </c>
      <c r="C484" s="162" t="s">
        <v>3213</v>
      </c>
      <c r="D484" s="162" t="s">
        <v>3214</v>
      </c>
      <c r="E484" s="162" t="s">
        <v>3215</v>
      </c>
      <c r="F484" s="162">
        <v>1598</v>
      </c>
      <c r="G484" s="162">
        <v>1</v>
      </c>
    </row>
    <row r="485" spans="2:7" ht="144">
      <c r="B485" s="162" t="s">
        <v>3067</v>
      </c>
      <c r="C485" s="162" t="s">
        <v>3043</v>
      </c>
      <c r="D485" s="162" t="s">
        <v>3216</v>
      </c>
      <c r="E485" s="162" t="s">
        <v>3217</v>
      </c>
      <c r="F485" s="162">
        <v>1198</v>
      </c>
      <c r="G485" s="162">
        <v>1</v>
      </c>
    </row>
    <row r="486" spans="2:7" ht="72">
      <c r="B486" s="162" t="s">
        <v>3067</v>
      </c>
      <c r="C486" s="162" t="s">
        <v>3045</v>
      </c>
      <c r="D486" s="162" t="s">
        <v>3218</v>
      </c>
      <c r="E486" s="162" t="s">
        <v>3219</v>
      </c>
      <c r="F486" s="162">
        <v>1998</v>
      </c>
      <c r="G486" s="162">
        <v>1</v>
      </c>
    </row>
    <row r="487" spans="2:7" ht="57.6">
      <c r="B487" s="162" t="s">
        <v>3067</v>
      </c>
      <c r="C487" s="162" t="s">
        <v>3220</v>
      </c>
      <c r="G487" s="162">
        <v>1</v>
      </c>
    </row>
    <row r="488" spans="2:7" ht="216">
      <c r="B488" s="162" t="s">
        <v>3067</v>
      </c>
      <c r="C488" s="162" t="s">
        <v>3221</v>
      </c>
      <c r="D488" s="162" t="s">
        <v>3222</v>
      </c>
      <c r="E488" s="162" t="s">
        <v>3223</v>
      </c>
      <c r="F488" s="162">
        <v>458</v>
      </c>
      <c r="G488" s="162">
        <v>1</v>
      </c>
    </row>
    <row r="489" spans="2:7" ht="187.2">
      <c r="B489" s="162" t="s">
        <v>3067</v>
      </c>
      <c r="C489" s="162" t="s">
        <v>3224</v>
      </c>
      <c r="D489" s="162" t="s">
        <v>3225</v>
      </c>
      <c r="E489" s="162" t="s">
        <v>3226</v>
      </c>
      <c r="F489" s="162">
        <v>498</v>
      </c>
      <c r="G489" s="162">
        <v>1</v>
      </c>
    </row>
    <row r="490" spans="2:7" ht="187.2">
      <c r="B490" s="162" t="s">
        <v>3067</v>
      </c>
      <c r="C490" s="162" t="s">
        <v>3227</v>
      </c>
      <c r="D490" s="162" t="s">
        <v>3228</v>
      </c>
      <c r="E490" s="162" t="s">
        <v>3226</v>
      </c>
      <c r="F490" s="162">
        <v>498</v>
      </c>
      <c r="G490" s="162">
        <v>1</v>
      </c>
    </row>
    <row r="491" spans="2:7" ht="172.8">
      <c r="B491" s="162" t="s">
        <v>3067</v>
      </c>
      <c r="C491" s="162" t="s">
        <v>3229</v>
      </c>
      <c r="D491" s="162" t="s">
        <v>3230</v>
      </c>
      <c r="E491" s="162" t="s">
        <v>3231</v>
      </c>
      <c r="F491" s="162">
        <v>398</v>
      </c>
      <c r="G491" s="162">
        <v>1</v>
      </c>
    </row>
    <row r="492" spans="2:7" ht="172.8">
      <c r="B492" s="162" t="s">
        <v>3067</v>
      </c>
      <c r="C492" s="162" t="s">
        <v>3232</v>
      </c>
      <c r="D492" s="162" t="s">
        <v>3233</v>
      </c>
      <c r="E492" s="162" t="s">
        <v>3231</v>
      </c>
      <c r="F492" s="162">
        <v>398</v>
      </c>
      <c r="G492" s="162">
        <v>1</v>
      </c>
    </row>
    <row r="493" spans="2:7" ht="100.8">
      <c r="B493" s="162" t="s">
        <v>3067</v>
      </c>
      <c r="C493" s="162" t="s">
        <v>3234</v>
      </c>
      <c r="D493" s="162" t="s">
        <v>3235</v>
      </c>
      <c r="E493" s="162" t="s">
        <v>3236</v>
      </c>
      <c r="F493" s="162">
        <v>58</v>
      </c>
      <c r="G493" s="162">
        <v>1</v>
      </c>
    </row>
    <row r="494" spans="2:7">
      <c r="B494" s="162" t="s">
        <v>3067</v>
      </c>
      <c r="C494" s="162" t="s">
        <v>3237</v>
      </c>
      <c r="G494" s="162">
        <v>1</v>
      </c>
    </row>
    <row r="495" spans="2:7" ht="28.8">
      <c r="B495" s="162" t="s">
        <v>3067</v>
      </c>
      <c r="C495" s="162" t="s">
        <v>3238</v>
      </c>
      <c r="D495" s="162" t="s">
        <v>3239</v>
      </c>
      <c r="E495" s="162" t="s">
        <v>3240</v>
      </c>
      <c r="F495" s="162">
        <v>298</v>
      </c>
      <c r="G495" s="162">
        <v>1</v>
      </c>
    </row>
    <row r="496" spans="2:7">
      <c r="B496" s="162" t="s">
        <v>3067</v>
      </c>
      <c r="C496" s="162" t="s">
        <v>3241</v>
      </c>
      <c r="D496" s="162" t="s">
        <v>3242</v>
      </c>
      <c r="E496" s="162" t="s">
        <v>3243</v>
      </c>
      <c r="F496" s="162">
        <v>40</v>
      </c>
      <c r="G496" s="162">
        <v>1</v>
      </c>
    </row>
    <row r="497" spans="2:7">
      <c r="B497" s="162" t="s">
        <v>3067</v>
      </c>
      <c r="C497" s="162" t="s">
        <v>3244</v>
      </c>
      <c r="D497" s="162" t="s">
        <v>3245</v>
      </c>
      <c r="E497" s="162" t="s">
        <v>3246</v>
      </c>
      <c r="F497" s="162">
        <v>36</v>
      </c>
      <c r="G497" s="162">
        <v>1</v>
      </c>
    </row>
    <row r="498" spans="2:7" ht="43.2">
      <c r="B498" s="162" t="s">
        <v>3067</v>
      </c>
      <c r="C498" s="162" t="s">
        <v>3198</v>
      </c>
      <c r="D498" s="162" t="s">
        <v>3199</v>
      </c>
      <c r="E498" s="162" t="s">
        <v>3200</v>
      </c>
      <c r="F498" s="162">
        <v>23.9</v>
      </c>
      <c r="G498" s="162">
        <v>1</v>
      </c>
    </row>
    <row r="499" spans="2:7" ht="28.8">
      <c r="B499" s="162" t="s">
        <v>3067</v>
      </c>
      <c r="C499" s="162" t="s">
        <v>3201</v>
      </c>
      <c r="D499" s="162" t="s">
        <v>3202</v>
      </c>
      <c r="E499" s="162" t="s">
        <v>3203</v>
      </c>
      <c r="F499" s="162">
        <v>59.9</v>
      </c>
      <c r="G499" s="162">
        <v>1</v>
      </c>
    </row>
    <row r="500" spans="2:7" ht="28.8">
      <c r="B500" s="162" t="s">
        <v>3067</v>
      </c>
      <c r="C500" s="162" t="s">
        <v>3204</v>
      </c>
      <c r="D500" s="162" t="s">
        <v>3205</v>
      </c>
      <c r="E500" s="162" t="s">
        <v>3203</v>
      </c>
      <c r="F500" s="162">
        <v>59.9</v>
      </c>
      <c r="G500" s="162">
        <v>1</v>
      </c>
    </row>
    <row r="501" spans="2:7" ht="57.6">
      <c r="B501" s="162" t="s">
        <v>3067</v>
      </c>
      <c r="C501" s="162" t="s">
        <v>3247</v>
      </c>
      <c r="D501" s="162" t="s">
        <v>3248</v>
      </c>
      <c r="E501" s="162" t="s">
        <v>3249</v>
      </c>
      <c r="F501" s="162">
        <v>118</v>
      </c>
      <c r="G501" s="162">
        <v>1</v>
      </c>
    </row>
    <row r="502" spans="2:7" ht="57.6">
      <c r="B502" s="162" t="s">
        <v>3067</v>
      </c>
      <c r="C502" s="162" t="s">
        <v>3250</v>
      </c>
      <c r="D502" s="162" t="s">
        <v>3251</v>
      </c>
      <c r="E502" s="162" t="s">
        <v>3252</v>
      </c>
      <c r="F502" s="162">
        <v>398</v>
      </c>
      <c r="G502" s="162">
        <v>1</v>
      </c>
    </row>
    <row r="503" spans="2:7" ht="28.8">
      <c r="B503" s="162" t="s">
        <v>3067</v>
      </c>
      <c r="C503" s="162" t="s">
        <v>3253</v>
      </c>
      <c r="D503" s="162" t="s">
        <v>3254</v>
      </c>
      <c r="E503" s="162" t="s">
        <v>3255</v>
      </c>
      <c r="F503" s="162">
        <v>29.98</v>
      </c>
      <c r="G503" s="162">
        <v>1</v>
      </c>
    </row>
    <row r="504" spans="2:7" ht="43.2">
      <c r="B504" s="162" t="s">
        <v>3067</v>
      </c>
      <c r="C504" s="162" t="s">
        <v>3256</v>
      </c>
      <c r="D504" s="162" t="s">
        <v>3257</v>
      </c>
      <c r="E504" s="162" t="s">
        <v>3258</v>
      </c>
      <c r="F504" s="162">
        <v>29.98</v>
      </c>
      <c r="G504" s="162">
        <v>1</v>
      </c>
    </row>
    <row r="505" spans="2:7" ht="28.8">
      <c r="B505" s="162" t="s">
        <v>3067</v>
      </c>
      <c r="C505" s="162" t="s">
        <v>3259</v>
      </c>
      <c r="G505" s="162">
        <v>1</v>
      </c>
    </row>
    <row r="506" spans="2:7" ht="129.6">
      <c r="B506" s="162" t="s">
        <v>3067</v>
      </c>
      <c r="C506" s="162" t="s">
        <v>3260</v>
      </c>
      <c r="D506" s="162" t="s">
        <v>3261</v>
      </c>
      <c r="E506" s="162" t="s">
        <v>3262</v>
      </c>
      <c r="F506" s="162">
        <v>3798</v>
      </c>
      <c r="G506" s="162">
        <v>1</v>
      </c>
    </row>
    <row r="507" spans="2:7" ht="129.6">
      <c r="B507" s="162" t="s">
        <v>3067</v>
      </c>
      <c r="C507" s="162" t="s">
        <v>3263</v>
      </c>
      <c r="D507" s="162" t="s">
        <v>3264</v>
      </c>
      <c r="E507" s="162" t="s">
        <v>3265</v>
      </c>
      <c r="F507" s="162">
        <v>3798</v>
      </c>
      <c r="G507" s="162">
        <v>1</v>
      </c>
    </row>
    <row r="508" spans="2:7" ht="129.6">
      <c r="B508" s="162" t="s">
        <v>3067</v>
      </c>
      <c r="C508" s="162" t="s">
        <v>3266</v>
      </c>
      <c r="D508" s="162" t="s">
        <v>3267</v>
      </c>
      <c r="E508" s="162" t="s">
        <v>3268</v>
      </c>
      <c r="F508" s="162">
        <v>4198</v>
      </c>
      <c r="G508" s="162">
        <v>1</v>
      </c>
    </row>
    <row r="509" spans="2:7" ht="129.6">
      <c r="B509" s="162" t="s">
        <v>3067</v>
      </c>
      <c r="C509" s="162" t="s">
        <v>3269</v>
      </c>
      <c r="D509" s="162" t="s">
        <v>3270</v>
      </c>
      <c r="E509" s="162" t="s">
        <v>3268</v>
      </c>
      <c r="F509" s="162">
        <v>4198</v>
      </c>
      <c r="G509" s="162">
        <v>1</v>
      </c>
    </row>
    <row r="510" spans="2:7" ht="129.6">
      <c r="B510" s="162" t="s">
        <v>3067</v>
      </c>
      <c r="C510" s="162" t="s">
        <v>3271</v>
      </c>
      <c r="D510" s="162" t="s">
        <v>3272</v>
      </c>
      <c r="E510" s="162" t="s">
        <v>3273</v>
      </c>
      <c r="F510" s="162">
        <v>4598</v>
      </c>
      <c r="G510" s="162">
        <v>1</v>
      </c>
    </row>
    <row r="511" spans="2:7" ht="129.6">
      <c r="B511" s="162" t="s">
        <v>3067</v>
      </c>
      <c r="C511" s="162" t="s">
        <v>3274</v>
      </c>
      <c r="D511" s="162" t="s">
        <v>3275</v>
      </c>
      <c r="E511" s="162" t="s">
        <v>3273</v>
      </c>
      <c r="F511" s="162">
        <v>4598</v>
      </c>
      <c r="G511" s="162">
        <v>1</v>
      </c>
    </row>
    <row r="512" spans="2:7" ht="144">
      <c r="B512" s="162" t="s">
        <v>3067</v>
      </c>
      <c r="C512" s="162" t="s">
        <v>3276</v>
      </c>
      <c r="D512" s="162" t="s">
        <v>3277</v>
      </c>
      <c r="E512" s="162" t="s">
        <v>3278</v>
      </c>
      <c r="F512" s="162">
        <v>3998</v>
      </c>
      <c r="G512" s="162">
        <v>1</v>
      </c>
    </row>
    <row r="513" spans="2:7" ht="144">
      <c r="B513" s="162" t="s">
        <v>3067</v>
      </c>
      <c r="C513" s="162" t="s">
        <v>3279</v>
      </c>
      <c r="D513" s="162" t="s">
        <v>3280</v>
      </c>
      <c r="E513" s="162" t="s">
        <v>3278</v>
      </c>
      <c r="F513" s="162">
        <v>3998</v>
      </c>
      <c r="G513" s="162">
        <v>1</v>
      </c>
    </row>
    <row r="514" spans="2:7" ht="57.6">
      <c r="B514" s="162" t="s">
        <v>3067</v>
      </c>
      <c r="C514" s="162" t="s">
        <v>3281</v>
      </c>
      <c r="G514" s="162">
        <v>1</v>
      </c>
    </row>
    <row r="515" spans="2:7" ht="86.4">
      <c r="B515" s="162" t="s">
        <v>3067</v>
      </c>
      <c r="C515" s="162" t="s">
        <v>3282</v>
      </c>
      <c r="D515" s="162" t="s">
        <v>3283</v>
      </c>
      <c r="E515" s="162" t="s">
        <v>3284</v>
      </c>
      <c r="F515" s="162">
        <v>3998</v>
      </c>
      <c r="G515" s="162">
        <v>1</v>
      </c>
    </row>
    <row r="516" spans="2:7" ht="28.8">
      <c r="B516" s="162" t="s">
        <v>3067</v>
      </c>
      <c r="C516" s="162" t="s">
        <v>3285</v>
      </c>
      <c r="D516" s="162" t="s">
        <v>3286</v>
      </c>
      <c r="E516" s="162" t="s">
        <v>3287</v>
      </c>
      <c r="F516" s="162">
        <v>799.6</v>
      </c>
      <c r="G516" s="162">
        <v>1</v>
      </c>
    </row>
    <row r="517" spans="2:7" ht="43.2">
      <c r="B517" s="162" t="s">
        <v>3067</v>
      </c>
      <c r="C517" s="162" t="s">
        <v>3288</v>
      </c>
      <c r="G517" s="162">
        <v>1</v>
      </c>
    </row>
    <row r="518" spans="2:7" ht="28.8">
      <c r="B518" s="162" t="s">
        <v>3067</v>
      </c>
      <c r="C518" s="162" t="s">
        <v>3289</v>
      </c>
      <c r="D518" s="162" t="s">
        <v>3290</v>
      </c>
      <c r="E518" s="162" t="s">
        <v>3291</v>
      </c>
      <c r="F518" s="162">
        <v>358</v>
      </c>
      <c r="G518" s="162">
        <v>1</v>
      </c>
    </row>
    <row r="519" spans="2:7" ht="86.4">
      <c r="B519" s="162" t="s">
        <v>3067</v>
      </c>
      <c r="C519" s="162" t="s">
        <v>3292</v>
      </c>
      <c r="D519" s="162" t="s">
        <v>3293</v>
      </c>
      <c r="E519" s="162" t="s">
        <v>3294</v>
      </c>
      <c r="F519" s="162">
        <v>398</v>
      </c>
      <c r="G519" s="162">
        <v>1</v>
      </c>
    </row>
    <row r="520" spans="2:7" ht="86.4">
      <c r="B520" s="162" t="s">
        <v>3067</v>
      </c>
      <c r="C520" s="162" t="s">
        <v>3295</v>
      </c>
      <c r="D520" s="162" t="s">
        <v>3296</v>
      </c>
      <c r="E520" s="162" t="s">
        <v>3297</v>
      </c>
      <c r="F520" s="162">
        <v>398</v>
      </c>
      <c r="G520" s="162">
        <v>1</v>
      </c>
    </row>
    <row r="521" spans="2:7" ht="28.8">
      <c r="B521" s="162" t="s">
        <v>3067</v>
      </c>
      <c r="C521" s="162" t="s">
        <v>3298</v>
      </c>
      <c r="D521" s="162" t="s">
        <v>3299</v>
      </c>
      <c r="E521" s="162" t="s">
        <v>3300</v>
      </c>
      <c r="F521" s="162">
        <v>49.9</v>
      </c>
      <c r="G521" s="162">
        <v>1</v>
      </c>
    </row>
    <row r="522" spans="2:7" ht="28.8">
      <c r="B522" s="162" t="s">
        <v>3067</v>
      </c>
      <c r="C522" s="162" t="s">
        <v>3301</v>
      </c>
      <c r="D522" s="162" t="s">
        <v>3302</v>
      </c>
      <c r="E522" s="162" t="s">
        <v>3303</v>
      </c>
      <c r="F522" s="162">
        <v>48</v>
      </c>
      <c r="G522" s="162">
        <v>1</v>
      </c>
    </row>
    <row r="523" spans="2:7" ht="28.8">
      <c r="B523" s="162" t="s">
        <v>3067</v>
      </c>
      <c r="C523" s="162" t="s">
        <v>3304</v>
      </c>
      <c r="D523" s="162" t="s">
        <v>3305</v>
      </c>
      <c r="E523" s="162" t="s">
        <v>3306</v>
      </c>
      <c r="F523" s="162">
        <v>150</v>
      </c>
      <c r="G523" s="162">
        <v>1</v>
      </c>
    </row>
    <row r="524" spans="2:7" ht="86.4">
      <c r="B524" s="162" t="s">
        <v>3067</v>
      </c>
      <c r="C524" s="162" t="s">
        <v>3307</v>
      </c>
      <c r="D524" s="162" t="s">
        <v>3305</v>
      </c>
      <c r="E524" s="162" t="s">
        <v>3308</v>
      </c>
      <c r="F524" s="162">
        <v>138</v>
      </c>
      <c r="G524" s="162">
        <v>1</v>
      </c>
    </row>
    <row r="525" spans="2:7" ht="28.8">
      <c r="B525" s="162" t="s">
        <v>3067</v>
      </c>
      <c r="C525" s="162" t="s">
        <v>3309</v>
      </c>
      <c r="G525" s="162">
        <v>1</v>
      </c>
    </row>
    <row r="526" spans="2:7" ht="273.60000000000002">
      <c r="B526" s="162" t="s">
        <v>3067</v>
      </c>
      <c r="C526" s="162" t="s">
        <v>3019</v>
      </c>
      <c r="D526" s="162" t="s">
        <v>3020</v>
      </c>
      <c r="E526" s="162" t="s">
        <v>3310</v>
      </c>
      <c r="F526" s="162">
        <v>2506</v>
      </c>
      <c r="G526" s="162">
        <v>1</v>
      </c>
    </row>
    <row r="527" spans="2:7" ht="273.60000000000002">
      <c r="B527" s="162" t="s">
        <v>3067</v>
      </c>
      <c r="C527" s="162" t="s">
        <v>3021</v>
      </c>
      <c r="D527" s="162" t="s">
        <v>3022</v>
      </c>
      <c r="E527" s="162" t="s">
        <v>3310</v>
      </c>
      <c r="F527" s="162">
        <v>3880</v>
      </c>
      <c r="G527" s="162">
        <v>1</v>
      </c>
    </row>
    <row r="528" spans="2:7" ht="259.2">
      <c r="B528" s="162" t="s">
        <v>3067</v>
      </c>
      <c r="C528" s="162" t="s">
        <v>3023</v>
      </c>
      <c r="D528" s="162" t="s">
        <v>3024</v>
      </c>
      <c r="E528" s="162" t="s">
        <v>3311</v>
      </c>
      <c r="F528" s="162">
        <v>5544</v>
      </c>
      <c r="G528" s="162">
        <v>1</v>
      </c>
    </row>
    <row r="529" spans="2:7" ht="259.2">
      <c r="B529" s="162" t="s">
        <v>3067</v>
      </c>
      <c r="C529" s="162" t="s">
        <v>3025</v>
      </c>
      <c r="D529" s="162" t="s">
        <v>3026</v>
      </c>
      <c r="E529" s="162" t="s">
        <v>3311</v>
      </c>
      <c r="F529" s="162">
        <v>7104</v>
      </c>
      <c r="G529" s="162">
        <v>1</v>
      </c>
    </row>
    <row r="530" spans="2:7" ht="259.2">
      <c r="B530" s="162" t="s">
        <v>3067</v>
      </c>
      <c r="C530" s="162" t="s">
        <v>3027</v>
      </c>
      <c r="D530" s="162" t="s">
        <v>3028</v>
      </c>
      <c r="E530" s="162" t="s">
        <v>3312</v>
      </c>
      <c r="F530" s="162">
        <v>7268</v>
      </c>
      <c r="G530" s="162">
        <v>1</v>
      </c>
    </row>
    <row r="531" spans="2:7" ht="28.8">
      <c r="B531" s="162" t="s">
        <v>3067</v>
      </c>
      <c r="C531" s="162" t="s">
        <v>3313</v>
      </c>
      <c r="G531" s="162">
        <v>1</v>
      </c>
    </row>
    <row r="532" spans="2:7" ht="187.2">
      <c r="B532" s="162" t="s">
        <v>3067</v>
      </c>
      <c r="C532" s="162" t="s">
        <v>3314</v>
      </c>
      <c r="D532" s="162" t="s">
        <v>3315</v>
      </c>
      <c r="E532" s="162" t="s">
        <v>3316</v>
      </c>
      <c r="F532" s="162">
        <v>378</v>
      </c>
      <c r="G532" s="162">
        <v>1</v>
      </c>
    </row>
    <row r="533" spans="2:7" ht="316.8">
      <c r="B533" s="162" t="s">
        <v>3067</v>
      </c>
      <c r="C533" s="162" t="s">
        <v>3317</v>
      </c>
      <c r="D533" s="162" t="s">
        <v>3318</v>
      </c>
      <c r="E533" s="162" t="s">
        <v>3319</v>
      </c>
      <c r="F533" s="162">
        <v>298</v>
      </c>
      <c r="G533" s="162">
        <v>1</v>
      </c>
    </row>
    <row r="534" spans="2:7" ht="316.8">
      <c r="B534" s="162" t="s">
        <v>3067</v>
      </c>
      <c r="C534" s="162" t="s">
        <v>3320</v>
      </c>
      <c r="D534" s="162" t="s">
        <v>3321</v>
      </c>
      <c r="E534" s="162" t="s">
        <v>3322</v>
      </c>
      <c r="F534" s="162">
        <v>458</v>
      </c>
      <c r="G534" s="162">
        <v>1</v>
      </c>
    </row>
    <row r="535" spans="2:7" ht="187.2">
      <c r="B535" s="162" t="s">
        <v>3067</v>
      </c>
      <c r="C535" s="162" t="s">
        <v>3323</v>
      </c>
      <c r="D535" s="162" t="s">
        <v>3324</v>
      </c>
      <c r="E535" s="162" t="s">
        <v>3325</v>
      </c>
      <c r="F535" s="162">
        <v>898</v>
      </c>
      <c r="G535" s="162">
        <v>1</v>
      </c>
    </row>
    <row r="536" spans="2:7" ht="57.6">
      <c r="B536" s="162" t="s">
        <v>3067</v>
      </c>
      <c r="C536" s="162" t="s">
        <v>3326</v>
      </c>
      <c r="G536" s="162">
        <v>1</v>
      </c>
    </row>
    <row r="537" spans="2:7" ht="273.60000000000002">
      <c r="B537" s="162" t="s">
        <v>3067</v>
      </c>
      <c r="C537" s="162" t="s">
        <v>3053</v>
      </c>
      <c r="D537" s="162" t="s">
        <v>3054</v>
      </c>
      <c r="E537" s="162" t="s">
        <v>3327</v>
      </c>
      <c r="F537" s="162">
        <v>3898</v>
      </c>
      <c r="G537" s="162">
        <v>1</v>
      </c>
    </row>
    <row r="538" spans="2:7" ht="273.60000000000002">
      <c r="B538" s="162" t="s">
        <v>3067</v>
      </c>
      <c r="C538" s="162" t="s">
        <v>3055</v>
      </c>
      <c r="D538" s="162" t="s">
        <v>3056</v>
      </c>
      <c r="E538" s="162" t="s">
        <v>3327</v>
      </c>
      <c r="F538" s="162">
        <v>7990</v>
      </c>
      <c r="G538" s="162">
        <v>1</v>
      </c>
    </row>
    <row r="539" spans="2:7" ht="72">
      <c r="B539" s="162" t="s">
        <v>3067</v>
      </c>
      <c r="C539" s="162" t="s">
        <v>3328</v>
      </c>
      <c r="D539" s="162" t="s">
        <v>3329</v>
      </c>
      <c r="E539" s="162" t="s">
        <v>3330</v>
      </c>
      <c r="F539" s="162">
        <v>258</v>
      </c>
      <c r="G539" s="162">
        <v>1</v>
      </c>
    </row>
    <row r="540" spans="2:7" ht="100.8">
      <c r="B540" s="162" t="s">
        <v>3067</v>
      </c>
      <c r="C540" s="162" t="s">
        <v>3331</v>
      </c>
      <c r="D540" s="162" t="s">
        <v>3332</v>
      </c>
      <c r="E540" s="162" t="s">
        <v>3333</v>
      </c>
      <c r="F540" s="162">
        <v>598</v>
      </c>
      <c r="G540" s="162">
        <v>1</v>
      </c>
    </row>
    <row r="541" spans="2:7" ht="100.8">
      <c r="B541" s="162" t="s">
        <v>3067</v>
      </c>
      <c r="C541" s="162" t="s">
        <v>3334</v>
      </c>
      <c r="D541" s="162" t="s">
        <v>3332</v>
      </c>
      <c r="E541" s="162" t="s">
        <v>3335</v>
      </c>
      <c r="F541" s="162">
        <v>758</v>
      </c>
      <c r="G541" s="162">
        <v>1</v>
      </c>
    </row>
    <row r="542" spans="2:7" ht="100.8">
      <c r="B542" s="162" t="s">
        <v>3067</v>
      </c>
      <c r="C542" s="162" t="s">
        <v>3336</v>
      </c>
      <c r="D542" s="162" t="s">
        <v>3337</v>
      </c>
      <c r="E542" s="162" t="s">
        <v>3338</v>
      </c>
      <c r="F542" s="162">
        <v>480</v>
      </c>
      <c r="G542" s="162">
        <v>1</v>
      </c>
    </row>
    <row r="543" spans="2:7" ht="86.4">
      <c r="B543" s="162" t="s">
        <v>3067</v>
      </c>
      <c r="C543" s="162" t="s">
        <v>3339</v>
      </c>
      <c r="D543" s="162" t="s">
        <v>3340</v>
      </c>
      <c r="E543" s="162" t="s">
        <v>3341</v>
      </c>
      <c r="F543" s="162">
        <v>258</v>
      </c>
      <c r="G543" s="162">
        <v>1</v>
      </c>
    </row>
    <row r="544" spans="2:7" ht="100.8">
      <c r="B544" s="162" t="s">
        <v>3067</v>
      </c>
      <c r="C544" s="162" t="s">
        <v>3342</v>
      </c>
      <c r="D544" s="162" t="s">
        <v>3343</v>
      </c>
      <c r="E544" s="162" t="s">
        <v>3344</v>
      </c>
      <c r="F544" s="162">
        <v>598</v>
      </c>
      <c r="G544" s="162">
        <v>1</v>
      </c>
    </row>
    <row r="545" spans="2:7" ht="100.8">
      <c r="B545" s="162" t="s">
        <v>3067</v>
      </c>
      <c r="C545" s="162" t="s">
        <v>3345</v>
      </c>
      <c r="D545" s="162" t="s">
        <v>3343</v>
      </c>
      <c r="E545" s="162" t="s">
        <v>3346</v>
      </c>
      <c r="F545" s="162">
        <v>758</v>
      </c>
      <c r="G545" s="162">
        <v>1</v>
      </c>
    </row>
    <row r="546" spans="2:7" ht="100.8">
      <c r="B546" s="162" t="s">
        <v>3067</v>
      </c>
      <c r="C546" s="162" t="s">
        <v>3347</v>
      </c>
      <c r="D546" s="162" t="s">
        <v>3348</v>
      </c>
      <c r="E546" s="162" t="s">
        <v>3349</v>
      </c>
      <c r="F546" s="162">
        <v>798</v>
      </c>
      <c r="G546" s="162">
        <v>1</v>
      </c>
    </row>
    <row r="547" spans="2:7" ht="28.8">
      <c r="B547" s="162" t="s">
        <v>3067</v>
      </c>
      <c r="C547" s="162" t="s">
        <v>3350</v>
      </c>
      <c r="D547" s="162" t="s">
        <v>3351</v>
      </c>
      <c r="E547" s="162" t="s">
        <v>3352</v>
      </c>
      <c r="F547" s="162">
        <v>39.979999999999997</v>
      </c>
      <c r="G547" s="162">
        <v>1</v>
      </c>
    </row>
    <row r="548" spans="2:7" ht="28.8">
      <c r="B548" s="162" t="s">
        <v>3067</v>
      </c>
      <c r="C548" s="162" t="s">
        <v>3353</v>
      </c>
      <c r="G548" s="162">
        <v>1</v>
      </c>
    </row>
    <row r="549" spans="2:7" ht="43.2">
      <c r="B549" s="162" t="s">
        <v>3067</v>
      </c>
      <c r="C549" s="162" t="s">
        <v>3354</v>
      </c>
      <c r="D549" s="162" t="s">
        <v>3355</v>
      </c>
      <c r="E549" s="162" t="s">
        <v>3356</v>
      </c>
      <c r="F549" s="162">
        <v>1298</v>
      </c>
      <c r="G549" s="162">
        <v>1</v>
      </c>
    </row>
    <row r="550" spans="2:7" ht="230.4">
      <c r="B550" s="162" t="s">
        <v>3067</v>
      </c>
      <c r="C550" s="162" t="s">
        <v>3057</v>
      </c>
      <c r="D550" s="162" t="s">
        <v>3058</v>
      </c>
      <c r="E550" s="162" t="s">
        <v>3357</v>
      </c>
      <c r="F550" s="162">
        <v>1498</v>
      </c>
      <c r="G550" s="162">
        <v>1</v>
      </c>
    </row>
    <row r="551" spans="2:7" ht="230.4">
      <c r="B551" s="162" t="s">
        <v>3067</v>
      </c>
      <c r="C551" s="162" t="s">
        <v>3059</v>
      </c>
      <c r="D551" s="162" t="s">
        <v>3060</v>
      </c>
      <c r="E551" s="162" t="s">
        <v>3357</v>
      </c>
      <c r="F551" s="162">
        <v>3398</v>
      </c>
      <c r="G551" s="162">
        <v>1</v>
      </c>
    </row>
    <row r="552" spans="2:7" ht="43.2">
      <c r="B552" s="162" t="s">
        <v>3067</v>
      </c>
      <c r="C552" s="162" t="s">
        <v>3358</v>
      </c>
      <c r="G552" s="162">
        <v>1</v>
      </c>
    </row>
    <row r="553" spans="2:7" ht="100.8">
      <c r="B553" s="162" t="s">
        <v>3067</v>
      </c>
      <c r="C553" s="162" t="s">
        <v>3359</v>
      </c>
      <c r="D553" s="162" t="s">
        <v>3360</v>
      </c>
      <c r="E553" s="162" t="s">
        <v>3361</v>
      </c>
      <c r="F553" s="162">
        <v>6998</v>
      </c>
      <c r="G553" s="162">
        <v>1</v>
      </c>
    </row>
    <row r="554" spans="2:7" ht="43.2">
      <c r="B554" s="162" t="s">
        <v>3067</v>
      </c>
      <c r="C554" s="162" t="s">
        <v>3362</v>
      </c>
      <c r="G554" s="162">
        <v>1</v>
      </c>
    </row>
    <row r="555" spans="2:7" ht="201.6">
      <c r="B555" s="162" t="s">
        <v>3067</v>
      </c>
      <c r="C555" s="162" t="s">
        <v>3061</v>
      </c>
      <c r="D555" s="162" t="s">
        <v>3062</v>
      </c>
      <c r="E555" s="162" t="s">
        <v>3363</v>
      </c>
      <c r="F555" s="162">
        <v>1598</v>
      </c>
      <c r="G555" s="162">
        <v>1</v>
      </c>
    </row>
    <row r="556" spans="2:7" ht="230.4">
      <c r="B556" s="162" t="s">
        <v>3067</v>
      </c>
      <c r="C556" s="162" t="s">
        <v>3063</v>
      </c>
      <c r="D556" s="162" t="s">
        <v>3064</v>
      </c>
      <c r="E556" s="162" t="s">
        <v>3364</v>
      </c>
      <c r="F556" s="162">
        <v>1898</v>
      </c>
      <c r="G556" s="162">
        <v>1</v>
      </c>
    </row>
    <row r="557" spans="2:7" ht="259.2">
      <c r="B557" s="162" t="s">
        <v>3067</v>
      </c>
      <c r="C557" s="162" t="s">
        <v>3065</v>
      </c>
      <c r="D557" s="162" t="s">
        <v>3066</v>
      </c>
      <c r="E557" s="162" t="s">
        <v>3365</v>
      </c>
      <c r="F557" s="162">
        <v>2298</v>
      </c>
      <c r="G557" s="162">
        <v>1</v>
      </c>
    </row>
    <row r="558" spans="2:7" ht="28.8">
      <c r="B558" s="162" t="s">
        <v>3067</v>
      </c>
      <c r="C558" s="162" t="s">
        <v>3366</v>
      </c>
      <c r="G558" s="162">
        <v>1</v>
      </c>
    </row>
    <row r="559" spans="2:7" ht="86.4">
      <c r="B559" s="162" t="s">
        <v>3067</v>
      </c>
      <c r="C559" s="162" t="s">
        <v>3047</v>
      </c>
      <c r="D559" s="162" t="s">
        <v>3048</v>
      </c>
      <c r="E559" s="162" t="s">
        <v>3367</v>
      </c>
      <c r="F559" s="162">
        <v>1498</v>
      </c>
      <c r="G559" s="162">
        <v>1</v>
      </c>
    </row>
    <row r="560" spans="2:7" ht="28.8">
      <c r="B560" s="162" t="s">
        <v>3067</v>
      </c>
      <c r="C560" s="162" t="s">
        <v>3049</v>
      </c>
      <c r="D560" s="162" t="s">
        <v>3050</v>
      </c>
      <c r="E560" s="162" t="s">
        <v>3368</v>
      </c>
      <c r="F560" s="162">
        <v>39.9</v>
      </c>
      <c r="G560" s="162">
        <v>1</v>
      </c>
    </row>
    <row r="561" spans="2:7" ht="28.8">
      <c r="B561" s="162" t="s">
        <v>3067</v>
      </c>
      <c r="C561" s="162" t="s">
        <v>3051</v>
      </c>
      <c r="D561" s="162" t="s">
        <v>3052</v>
      </c>
      <c r="E561" s="162" t="s">
        <v>3369</v>
      </c>
      <c r="F561" s="162">
        <v>99.9</v>
      </c>
      <c r="G561" s="162">
        <v>1</v>
      </c>
    </row>
    <row r="562" spans="2:7" ht="43.2">
      <c r="B562" s="162" t="s">
        <v>3067</v>
      </c>
      <c r="C562" s="162" t="s">
        <v>3370</v>
      </c>
      <c r="G562" s="162">
        <v>1</v>
      </c>
    </row>
    <row r="563" spans="2:7" ht="201.6">
      <c r="B563" s="162" t="s">
        <v>3067</v>
      </c>
      <c r="C563" s="162" t="s">
        <v>819</v>
      </c>
      <c r="D563" s="162" t="s">
        <v>820</v>
      </c>
      <c r="E563" s="162" t="s">
        <v>3371</v>
      </c>
      <c r="F563" s="162">
        <v>1198</v>
      </c>
      <c r="G563" s="162">
        <v>1</v>
      </c>
    </row>
    <row r="564" spans="2:7" ht="230.4">
      <c r="B564" s="162" t="s">
        <v>3067</v>
      </c>
      <c r="C564" s="162" t="s">
        <v>821</v>
      </c>
      <c r="D564" s="162" t="s">
        <v>822</v>
      </c>
      <c r="E564" s="162" t="s">
        <v>3372</v>
      </c>
      <c r="F564" s="162">
        <v>1298</v>
      </c>
      <c r="G564" s="162">
        <v>1</v>
      </c>
    </row>
    <row r="565" spans="2:7" ht="230.4">
      <c r="B565" s="162" t="s">
        <v>3067</v>
      </c>
      <c r="C565" s="162" t="s">
        <v>823</v>
      </c>
      <c r="D565" s="162" t="s">
        <v>3373</v>
      </c>
      <c r="E565" s="162" t="s">
        <v>3372</v>
      </c>
      <c r="F565" s="162">
        <v>1298</v>
      </c>
      <c r="G565" s="162">
        <v>1</v>
      </c>
    </row>
    <row r="566" spans="2:7" ht="259.2">
      <c r="B566" s="162" t="s">
        <v>3067</v>
      </c>
      <c r="C566" s="162" t="s">
        <v>825</v>
      </c>
      <c r="D566" s="162" t="s">
        <v>826</v>
      </c>
      <c r="E566" s="162" t="s">
        <v>3374</v>
      </c>
      <c r="F566" s="162">
        <v>1298</v>
      </c>
      <c r="G566" s="162">
        <v>1</v>
      </c>
    </row>
    <row r="567" spans="2:7" ht="259.2">
      <c r="B567" s="162" t="s">
        <v>3067</v>
      </c>
      <c r="C567" s="162" t="s">
        <v>827</v>
      </c>
      <c r="D567" s="162" t="s">
        <v>828</v>
      </c>
      <c r="E567" s="162" t="s">
        <v>3374</v>
      </c>
      <c r="F567" s="162">
        <v>1298</v>
      </c>
      <c r="G567" s="162">
        <v>1</v>
      </c>
    </row>
    <row r="568" spans="2:7" ht="244.8">
      <c r="B568" s="162" t="s">
        <v>3067</v>
      </c>
      <c r="C568" s="162" t="s">
        <v>829</v>
      </c>
      <c r="D568" s="162" t="s">
        <v>830</v>
      </c>
      <c r="E568" s="162" t="s">
        <v>3375</v>
      </c>
      <c r="F568" s="162">
        <v>698</v>
      </c>
      <c r="G568" s="162">
        <v>1</v>
      </c>
    </row>
    <row r="569" spans="2:7" ht="259.2">
      <c r="B569" s="162" t="s">
        <v>3067</v>
      </c>
      <c r="C569" s="162" t="s">
        <v>831</v>
      </c>
      <c r="D569" s="162" t="s">
        <v>832</v>
      </c>
      <c r="E569" s="162" t="s">
        <v>3376</v>
      </c>
      <c r="F569" s="162">
        <v>698</v>
      </c>
      <c r="G569" s="162">
        <v>1</v>
      </c>
    </row>
    <row r="570" spans="2:7" ht="57.6">
      <c r="B570" s="162" t="s">
        <v>3067</v>
      </c>
      <c r="C570" s="162" t="s">
        <v>3377</v>
      </c>
      <c r="G570" s="162">
        <v>1</v>
      </c>
    </row>
    <row r="571" spans="2:7" ht="86.4">
      <c r="B571" s="162" t="s">
        <v>3067</v>
      </c>
      <c r="C571" s="162" t="s">
        <v>899</v>
      </c>
      <c r="D571" s="162" t="s">
        <v>900</v>
      </c>
      <c r="E571" s="162" t="s">
        <v>3378</v>
      </c>
      <c r="F571" s="162">
        <v>798</v>
      </c>
      <c r="G571" s="162">
        <v>1</v>
      </c>
    </row>
    <row r="572" spans="2:7" ht="115.2">
      <c r="B572" s="162" t="s">
        <v>3067</v>
      </c>
      <c r="C572" s="162" t="s">
        <v>901</v>
      </c>
      <c r="D572" s="162" t="s">
        <v>902</v>
      </c>
      <c r="E572" s="162" t="s">
        <v>3379</v>
      </c>
      <c r="F572" s="162">
        <v>998</v>
      </c>
      <c r="G572" s="162">
        <v>1</v>
      </c>
    </row>
    <row r="573" spans="2:7" ht="144">
      <c r="B573" s="162" t="s">
        <v>3067</v>
      </c>
      <c r="C573" s="162" t="s">
        <v>903</v>
      </c>
      <c r="D573" s="162" t="s">
        <v>904</v>
      </c>
      <c r="E573" s="162" t="s">
        <v>3380</v>
      </c>
      <c r="F573" s="162">
        <v>650</v>
      </c>
      <c r="G573" s="162">
        <v>1</v>
      </c>
    </row>
    <row r="574" spans="2:7" ht="115.2">
      <c r="B574" s="162" t="s">
        <v>3067</v>
      </c>
      <c r="C574" s="162" t="s">
        <v>905</v>
      </c>
      <c r="D574" s="162" t="s">
        <v>906</v>
      </c>
      <c r="E574" s="162" t="s">
        <v>3381</v>
      </c>
      <c r="F574" s="162">
        <v>898</v>
      </c>
      <c r="G574" s="162">
        <v>1</v>
      </c>
    </row>
    <row r="575" spans="2:7" ht="43.2">
      <c r="B575" s="162" t="s">
        <v>3067</v>
      </c>
      <c r="C575" s="162" t="s">
        <v>3382</v>
      </c>
      <c r="G575" s="162">
        <v>1</v>
      </c>
    </row>
    <row r="576" spans="2:7" ht="201.6">
      <c r="B576" s="162" t="s">
        <v>3067</v>
      </c>
      <c r="C576" s="162" t="s">
        <v>865</v>
      </c>
      <c r="D576" s="162" t="s">
        <v>866</v>
      </c>
      <c r="E576" s="162" t="s">
        <v>3383</v>
      </c>
      <c r="F576" s="162">
        <v>898</v>
      </c>
      <c r="G576" s="162">
        <v>1</v>
      </c>
    </row>
    <row r="577" spans="2:7" ht="230.4">
      <c r="B577" s="162" t="s">
        <v>3067</v>
      </c>
      <c r="C577" s="162" t="s">
        <v>867</v>
      </c>
      <c r="D577" s="162" t="s">
        <v>868</v>
      </c>
      <c r="E577" s="162" t="s">
        <v>3384</v>
      </c>
      <c r="F577" s="162">
        <v>898</v>
      </c>
      <c r="G577" s="162">
        <v>1</v>
      </c>
    </row>
    <row r="578" spans="2:7" ht="129.6">
      <c r="B578" s="162" t="s">
        <v>3067</v>
      </c>
      <c r="C578" s="162" t="s">
        <v>889</v>
      </c>
      <c r="D578" s="162" t="s">
        <v>890</v>
      </c>
      <c r="E578" s="162" t="s">
        <v>3385</v>
      </c>
      <c r="F578" s="162">
        <v>450</v>
      </c>
      <c r="G578" s="162">
        <v>1</v>
      </c>
    </row>
    <row r="579" spans="2:7" ht="158.4">
      <c r="B579" s="162" t="s">
        <v>3067</v>
      </c>
      <c r="C579" s="162" t="s">
        <v>891</v>
      </c>
      <c r="D579" s="162" t="s">
        <v>892</v>
      </c>
      <c r="E579" s="162" t="s">
        <v>3386</v>
      </c>
      <c r="F579" s="162">
        <v>550</v>
      </c>
      <c r="G579" s="162">
        <v>1</v>
      </c>
    </row>
    <row r="580" spans="2:7" ht="28.8">
      <c r="B580" s="162" t="s">
        <v>3067</v>
      </c>
      <c r="C580" s="162" t="s">
        <v>3387</v>
      </c>
      <c r="G580" s="162">
        <v>1</v>
      </c>
    </row>
    <row r="581" spans="2:7" ht="129.6">
      <c r="B581" s="162" t="s">
        <v>3067</v>
      </c>
      <c r="C581" s="162" t="s">
        <v>895</v>
      </c>
      <c r="D581" s="162" t="s">
        <v>896</v>
      </c>
      <c r="E581" s="162" t="s">
        <v>3388</v>
      </c>
      <c r="F581" s="162">
        <v>450</v>
      </c>
      <c r="G581" s="162">
        <v>1</v>
      </c>
    </row>
    <row r="582" spans="2:7" ht="158.4">
      <c r="B582" s="162" t="s">
        <v>3067</v>
      </c>
      <c r="C582" s="162" t="s">
        <v>897</v>
      </c>
      <c r="D582" s="162" t="s">
        <v>898</v>
      </c>
      <c r="E582" s="162" t="s">
        <v>3389</v>
      </c>
      <c r="F582" s="162">
        <v>550</v>
      </c>
      <c r="G582" s="162">
        <v>1</v>
      </c>
    </row>
    <row r="583" spans="2:7" ht="43.2">
      <c r="B583" s="162" t="s">
        <v>3067</v>
      </c>
      <c r="C583" s="162" t="s">
        <v>3390</v>
      </c>
      <c r="G583" s="162">
        <v>1</v>
      </c>
    </row>
    <row r="584" spans="2:7" ht="28.8">
      <c r="B584" s="162" t="s">
        <v>3067</v>
      </c>
      <c r="C584" s="162" t="s">
        <v>3391</v>
      </c>
      <c r="D584" s="162" t="s">
        <v>3392</v>
      </c>
      <c r="E584" s="162" t="s">
        <v>3393</v>
      </c>
      <c r="F584" s="162">
        <v>398</v>
      </c>
      <c r="G584" s="162">
        <v>1</v>
      </c>
    </row>
    <row r="585" spans="2:7" ht="28.8">
      <c r="B585" s="162" t="s">
        <v>3067</v>
      </c>
      <c r="C585" s="162" t="s">
        <v>3394</v>
      </c>
      <c r="D585" s="162" t="s">
        <v>3395</v>
      </c>
      <c r="E585" s="162" t="s">
        <v>3396</v>
      </c>
      <c r="F585" s="162">
        <v>8</v>
      </c>
      <c r="G585" s="162">
        <v>1</v>
      </c>
    </row>
    <row r="586" spans="2:7" ht="72">
      <c r="B586" s="162" t="s">
        <v>3067</v>
      </c>
      <c r="C586" s="162" t="s">
        <v>3397</v>
      </c>
      <c r="D586" s="162" t="s">
        <v>3398</v>
      </c>
      <c r="E586" s="162" t="s">
        <v>3399</v>
      </c>
      <c r="F586" s="162">
        <v>20</v>
      </c>
      <c r="G586" s="162">
        <v>1</v>
      </c>
    </row>
    <row r="587" spans="2:7" ht="72">
      <c r="B587" s="162" t="s">
        <v>3067</v>
      </c>
      <c r="C587" s="162" t="s">
        <v>3400</v>
      </c>
      <c r="D587" s="162" t="s">
        <v>3401</v>
      </c>
      <c r="E587" s="162" t="s">
        <v>3399</v>
      </c>
      <c r="F587" s="162">
        <v>20</v>
      </c>
      <c r="G587" s="162">
        <v>1</v>
      </c>
    </row>
    <row r="588" spans="2:7" ht="72">
      <c r="B588" s="162" t="s">
        <v>3067</v>
      </c>
      <c r="C588" s="162" t="s">
        <v>3402</v>
      </c>
      <c r="D588" s="162" t="s">
        <v>3403</v>
      </c>
      <c r="E588" s="162" t="s">
        <v>3399</v>
      </c>
      <c r="F588" s="162">
        <v>20</v>
      </c>
      <c r="G588" s="162">
        <v>1</v>
      </c>
    </row>
    <row r="589" spans="2:7" ht="72">
      <c r="B589" s="162" t="s">
        <v>3067</v>
      </c>
      <c r="C589" s="162" t="s">
        <v>3404</v>
      </c>
      <c r="D589" s="162" t="s">
        <v>3405</v>
      </c>
      <c r="E589" s="162" t="s">
        <v>3399</v>
      </c>
      <c r="F589" s="162">
        <v>20</v>
      </c>
      <c r="G589" s="162">
        <v>1</v>
      </c>
    </row>
    <row r="590" spans="2:7" ht="72">
      <c r="B590" s="162" t="s">
        <v>3067</v>
      </c>
      <c r="C590" s="162" t="s">
        <v>3406</v>
      </c>
      <c r="D590" s="162" t="s">
        <v>3407</v>
      </c>
      <c r="E590" s="162" t="s">
        <v>3399</v>
      </c>
      <c r="F590" s="162">
        <v>39.979999999999997</v>
      </c>
      <c r="G590" s="162">
        <v>1</v>
      </c>
    </row>
    <row r="591" spans="2:7" ht="28.8">
      <c r="B591" s="162" t="s">
        <v>3067</v>
      </c>
      <c r="C591" s="162" t="s">
        <v>3164</v>
      </c>
      <c r="D591" s="162" t="s">
        <v>3165</v>
      </c>
      <c r="E591" s="162" t="s">
        <v>3408</v>
      </c>
      <c r="F591" s="162">
        <v>20</v>
      </c>
      <c r="G591" s="162">
        <v>1</v>
      </c>
    </row>
    <row r="592" spans="2:7" ht="28.8">
      <c r="B592" s="162" t="s">
        <v>3067</v>
      </c>
      <c r="C592" s="162" t="s">
        <v>3167</v>
      </c>
      <c r="D592" s="162" t="s">
        <v>3168</v>
      </c>
      <c r="E592" s="162" t="s">
        <v>3408</v>
      </c>
      <c r="F592" s="162">
        <v>24</v>
      </c>
      <c r="G592" s="162">
        <v>1</v>
      </c>
    </row>
    <row r="593" spans="2:7" ht="172.8">
      <c r="B593" s="162" t="s">
        <v>3067</v>
      </c>
      <c r="C593" s="162" t="s">
        <v>3229</v>
      </c>
      <c r="D593" s="162" t="s">
        <v>3409</v>
      </c>
      <c r="E593" s="162" t="s">
        <v>3231</v>
      </c>
      <c r="F593" s="162">
        <v>398</v>
      </c>
      <c r="G593" s="162">
        <v>1</v>
      </c>
    </row>
    <row r="594" spans="2:7" ht="172.8">
      <c r="B594" s="162" t="s">
        <v>3067</v>
      </c>
      <c r="C594" s="162" t="s">
        <v>3232</v>
      </c>
      <c r="D594" s="162" t="s">
        <v>3410</v>
      </c>
      <c r="E594" s="162" t="s">
        <v>3231</v>
      </c>
      <c r="F594" s="162">
        <v>398</v>
      </c>
      <c r="G594" s="162">
        <v>1</v>
      </c>
    </row>
    <row r="595" spans="2:7" ht="187.2">
      <c r="B595" s="162" t="s">
        <v>3067</v>
      </c>
      <c r="C595" s="162" t="s">
        <v>3411</v>
      </c>
      <c r="D595" s="162" t="s">
        <v>3412</v>
      </c>
      <c r="E595" s="162" t="s">
        <v>3226</v>
      </c>
      <c r="F595" s="162">
        <v>498</v>
      </c>
      <c r="G595" s="162">
        <v>1</v>
      </c>
    </row>
    <row r="596" spans="2:7" ht="187.2">
      <c r="B596" s="162" t="s">
        <v>3067</v>
      </c>
      <c r="C596" s="162" t="s">
        <v>3413</v>
      </c>
      <c r="D596" s="162" t="s">
        <v>3414</v>
      </c>
      <c r="E596" s="162" t="s">
        <v>3226</v>
      </c>
      <c r="F596" s="162">
        <v>498</v>
      </c>
      <c r="G596" s="162">
        <v>1</v>
      </c>
    </row>
    <row r="597" spans="2:7" ht="100.8">
      <c r="B597" s="162" t="s">
        <v>3067</v>
      </c>
      <c r="C597" s="162" t="s">
        <v>3234</v>
      </c>
      <c r="E597" s="162" t="s">
        <v>3236</v>
      </c>
      <c r="F597" s="162">
        <v>58</v>
      </c>
      <c r="G597" s="162">
        <v>1</v>
      </c>
    </row>
    <row r="598" spans="2:7">
      <c r="B598" s="162" t="s">
        <v>3067</v>
      </c>
      <c r="C598" s="162" t="s">
        <v>3415</v>
      </c>
      <c r="G598" s="162">
        <v>1</v>
      </c>
    </row>
    <row r="599" spans="2:7" ht="57.6">
      <c r="B599" s="162" t="s">
        <v>3067</v>
      </c>
      <c r="C599" s="162" t="s">
        <v>3416</v>
      </c>
      <c r="D599" s="162" t="s">
        <v>3417</v>
      </c>
      <c r="E599" s="162" t="s">
        <v>3418</v>
      </c>
      <c r="F599" s="162">
        <v>258</v>
      </c>
      <c r="G599" s="162">
        <v>1</v>
      </c>
    </row>
    <row r="600" spans="2:7" ht="57.6">
      <c r="B600" s="162" t="s">
        <v>3067</v>
      </c>
      <c r="C600" s="162" t="s">
        <v>3419</v>
      </c>
      <c r="D600" s="162" t="s">
        <v>3417</v>
      </c>
      <c r="E600" s="162" t="s">
        <v>3420</v>
      </c>
      <c r="F600" s="162">
        <v>278</v>
      </c>
      <c r="G600" s="162">
        <v>1</v>
      </c>
    </row>
    <row r="601" spans="2:7" ht="28.8">
      <c r="B601" s="162" t="s">
        <v>3067</v>
      </c>
      <c r="C601" s="162" t="s">
        <v>3421</v>
      </c>
      <c r="G601" s="162">
        <v>1</v>
      </c>
    </row>
    <row r="602" spans="2:7" ht="57.6">
      <c r="B602" s="162" t="s">
        <v>3067</v>
      </c>
      <c r="C602" s="162" t="s">
        <v>3422</v>
      </c>
      <c r="D602" s="162" t="s">
        <v>3423</v>
      </c>
      <c r="E602" s="162" t="s">
        <v>3424</v>
      </c>
      <c r="F602" s="162">
        <v>118</v>
      </c>
      <c r="G602" s="162">
        <v>1</v>
      </c>
    </row>
    <row r="603" spans="2:7" ht="57.6">
      <c r="B603" s="162" t="s">
        <v>3067</v>
      </c>
      <c r="C603" s="162" t="s">
        <v>3425</v>
      </c>
      <c r="D603" s="162" t="s">
        <v>3426</v>
      </c>
      <c r="E603" s="162" t="s">
        <v>3427</v>
      </c>
      <c r="F603" s="162">
        <v>398</v>
      </c>
      <c r="G603" s="162">
        <v>1</v>
      </c>
    </row>
    <row r="604" spans="2:7" ht="28.8">
      <c r="B604" s="162" t="s">
        <v>3067</v>
      </c>
      <c r="C604" s="162" t="s">
        <v>3428</v>
      </c>
      <c r="D604" s="162" t="s">
        <v>3429</v>
      </c>
      <c r="E604" s="162" t="s">
        <v>3430</v>
      </c>
      <c r="F604" s="162">
        <v>29.98</v>
      </c>
      <c r="G604" s="162">
        <v>1</v>
      </c>
    </row>
    <row r="605" spans="2:7" ht="57.6">
      <c r="B605" s="162" t="s">
        <v>3067</v>
      </c>
      <c r="C605" s="162" t="s">
        <v>3247</v>
      </c>
      <c r="D605" s="162" t="s">
        <v>3248</v>
      </c>
      <c r="E605" s="162" t="s">
        <v>3249</v>
      </c>
      <c r="F605" s="162">
        <v>118</v>
      </c>
      <c r="G605" s="162">
        <v>1</v>
      </c>
    </row>
    <row r="606" spans="2:7" ht="57.6">
      <c r="B606" s="162" t="s">
        <v>3067</v>
      </c>
      <c r="C606" s="162" t="s">
        <v>3250</v>
      </c>
      <c r="D606" s="162" t="s">
        <v>3251</v>
      </c>
      <c r="E606" s="162" t="s">
        <v>3252</v>
      </c>
      <c r="F606" s="162">
        <v>398</v>
      </c>
      <c r="G606" s="162">
        <v>1</v>
      </c>
    </row>
    <row r="607" spans="2:7" ht="28.8">
      <c r="B607" s="162" t="s">
        <v>3067</v>
      </c>
      <c r="C607" s="162" t="s">
        <v>3253</v>
      </c>
      <c r="D607" s="162" t="s">
        <v>3254</v>
      </c>
      <c r="E607" s="162" t="s">
        <v>3255</v>
      </c>
      <c r="F607" s="162">
        <v>29.98</v>
      </c>
      <c r="G607" s="162">
        <v>1</v>
      </c>
    </row>
    <row r="608" spans="2:7" ht="43.2">
      <c r="B608" s="162" t="s">
        <v>3067</v>
      </c>
      <c r="C608" s="162" t="s">
        <v>3256</v>
      </c>
      <c r="D608" s="162" t="s">
        <v>3257</v>
      </c>
      <c r="E608" s="162" t="s">
        <v>3258</v>
      </c>
      <c r="F608" s="162">
        <v>29.98</v>
      </c>
      <c r="G608" s="162">
        <v>1</v>
      </c>
    </row>
    <row r="609" spans="2:7" ht="43.2">
      <c r="B609" s="162" t="s">
        <v>3067</v>
      </c>
      <c r="C609" s="162" t="s">
        <v>3431</v>
      </c>
      <c r="D609" s="162" t="s">
        <v>3432</v>
      </c>
      <c r="E609" s="162" t="s">
        <v>3433</v>
      </c>
      <c r="F609" s="162">
        <v>98</v>
      </c>
      <c r="G609" s="162">
        <v>1</v>
      </c>
    </row>
    <row r="610" spans="2:7" ht="43.2">
      <c r="B610" s="162" t="s">
        <v>3067</v>
      </c>
      <c r="C610" s="162" t="s">
        <v>3434</v>
      </c>
      <c r="D610" s="162" t="s">
        <v>3435</v>
      </c>
      <c r="E610" s="162" t="s">
        <v>3436</v>
      </c>
      <c r="F610" s="162">
        <v>98</v>
      </c>
      <c r="G610" s="162">
        <v>1</v>
      </c>
    </row>
    <row r="611" spans="2:7" ht="28.8">
      <c r="B611" s="162" t="s">
        <v>3067</v>
      </c>
      <c r="C611" s="162" t="s">
        <v>3437</v>
      </c>
      <c r="D611" s="162" t="s">
        <v>3438</v>
      </c>
      <c r="E611" s="162" t="s">
        <v>3439</v>
      </c>
      <c r="F611" s="162">
        <v>130</v>
      </c>
      <c r="G611" s="162">
        <v>1</v>
      </c>
    </row>
    <row r="612" spans="2:7" ht="43.2">
      <c r="B612" s="162" t="s">
        <v>3067</v>
      </c>
      <c r="C612" s="162" t="s">
        <v>3440</v>
      </c>
      <c r="D612" s="162" t="s">
        <v>3441</v>
      </c>
      <c r="E612" s="162" t="s">
        <v>3442</v>
      </c>
      <c r="F612" s="162">
        <v>99.9</v>
      </c>
      <c r="G612" s="162">
        <v>1</v>
      </c>
    </row>
    <row r="613" spans="2:7" ht="72">
      <c r="B613" s="162" t="s">
        <v>3067</v>
      </c>
      <c r="C613" s="162" t="s">
        <v>3443</v>
      </c>
      <c r="E613" s="162" t="s">
        <v>3444</v>
      </c>
      <c r="G613" s="162">
        <v>1</v>
      </c>
    </row>
    <row r="614" spans="2:7" ht="72">
      <c r="B614" s="162" t="s">
        <v>3067</v>
      </c>
      <c r="C614" s="162" t="s">
        <v>3397</v>
      </c>
      <c r="D614" s="162" t="s">
        <v>3398</v>
      </c>
      <c r="E614" s="162" t="s">
        <v>3399</v>
      </c>
      <c r="F614" s="162">
        <v>20</v>
      </c>
      <c r="G614" s="162">
        <v>1</v>
      </c>
    </row>
    <row r="615" spans="2:7" ht="72">
      <c r="B615" s="162" t="s">
        <v>3067</v>
      </c>
      <c r="C615" s="162" t="s">
        <v>3400</v>
      </c>
      <c r="D615" s="162" t="s">
        <v>3401</v>
      </c>
      <c r="E615" s="162" t="s">
        <v>3399</v>
      </c>
      <c r="F615" s="162">
        <v>20</v>
      </c>
      <c r="G615" s="162">
        <v>1</v>
      </c>
    </row>
    <row r="616" spans="2:7" ht="72">
      <c r="B616" s="162" t="s">
        <v>3067</v>
      </c>
      <c r="C616" s="162" t="s">
        <v>3402</v>
      </c>
      <c r="D616" s="162" t="s">
        <v>3403</v>
      </c>
      <c r="E616" s="162" t="s">
        <v>3399</v>
      </c>
      <c r="F616" s="162">
        <v>20</v>
      </c>
      <c r="G616" s="162">
        <v>1</v>
      </c>
    </row>
    <row r="617" spans="2:7" ht="72">
      <c r="B617" s="162" t="s">
        <v>3067</v>
      </c>
      <c r="C617" s="162" t="s">
        <v>3404</v>
      </c>
      <c r="D617" s="162" t="s">
        <v>3405</v>
      </c>
      <c r="E617" s="162" t="s">
        <v>3399</v>
      </c>
      <c r="F617" s="162">
        <v>20</v>
      </c>
      <c r="G617" s="162">
        <v>1</v>
      </c>
    </row>
    <row r="618" spans="2:7" ht="43.2">
      <c r="B618" s="162" t="s">
        <v>3067</v>
      </c>
      <c r="C618" s="162" t="s">
        <v>3445</v>
      </c>
      <c r="D618" s="162" t="s">
        <v>3446</v>
      </c>
      <c r="E618" s="162" t="s">
        <v>3447</v>
      </c>
      <c r="F618" s="162">
        <v>15.9</v>
      </c>
      <c r="G618" s="162">
        <v>1</v>
      </c>
    </row>
    <row r="619" spans="2:7" ht="43.2">
      <c r="B619" s="162" t="s">
        <v>3067</v>
      </c>
      <c r="C619" s="162" t="s">
        <v>3448</v>
      </c>
      <c r="D619" s="162" t="s">
        <v>3449</v>
      </c>
      <c r="E619" s="162" t="s">
        <v>3450</v>
      </c>
      <c r="F619" s="162">
        <v>17.899999999999999</v>
      </c>
      <c r="G619" s="162">
        <v>1</v>
      </c>
    </row>
    <row r="620" spans="2:7" ht="28.8">
      <c r="B620" s="162" t="s">
        <v>3067</v>
      </c>
      <c r="C620" s="162" t="s">
        <v>3451</v>
      </c>
      <c r="G620" s="162">
        <v>1</v>
      </c>
    </row>
    <row r="621" spans="2:7">
      <c r="B621" s="162" t="s">
        <v>3067</v>
      </c>
      <c r="C621" s="162" t="s">
        <v>3452</v>
      </c>
      <c r="D621" s="162" t="s">
        <v>3453</v>
      </c>
      <c r="E621" s="162" t="s">
        <v>3454</v>
      </c>
      <c r="F621" s="162">
        <v>99.9</v>
      </c>
      <c r="G621" s="162">
        <v>1</v>
      </c>
    </row>
    <row r="622" spans="2:7" ht="43.2">
      <c r="B622" s="162" t="s">
        <v>3067</v>
      </c>
      <c r="C622" s="162" t="s">
        <v>3455</v>
      </c>
      <c r="D622" s="162" t="s">
        <v>3456</v>
      </c>
      <c r="E622" s="162" t="s">
        <v>3457</v>
      </c>
      <c r="F622" s="162">
        <v>36</v>
      </c>
      <c r="G622" s="162">
        <v>1</v>
      </c>
    </row>
    <row r="623" spans="2:7" ht="28.8">
      <c r="B623" s="162" t="s">
        <v>3067</v>
      </c>
      <c r="C623" s="162" t="s">
        <v>3458</v>
      </c>
      <c r="D623" s="162" t="s">
        <v>3459</v>
      </c>
      <c r="E623" s="162" t="s">
        <v>3460</v>
      </c>
      <c r="F623" s="162">
        <v>50</v>
      </c>
      <c r="G623" s="162">
        <v>1</v>
      </c>
    </row>
    <row r="624" spans="2:7" ht="28.8">
      <c r="B624" s="162" t="s">
        <v>3067</v>
      </c>
      <c r="C624" s="162" t="s">
        <v>3461</v>
      </c>
      <c r="D624" s="162" t="s">
        <v>3462</v>
      </c>
      <c r="E624" s="162" t="s">
        <v>3460</v>
      </c>
      <c r="F624" s="162">
        <v>50</v>
      </c>
      <c r="G624" s="162">
        <v>1</v>
      </c>
    </row>
    <row r="625" spans="2:7" ht="28.8">
      <c r="B625" s="162" t="s">
        <v>3067</v>
      </c>
      <c r="C625" s="162" t="s">
        <v>3463</v>
      </c>
      <c r="D625" s="162" t="s">
        <v>3464</v>
      </c>
      <c r="E625" s="162" t="s">
        <v>3460</v>
      </c>
      <c r="F625" s="162">
        <v>50</v>
      </c>
      <c r="G625" s="162">
        <v>1</v>
      </c>
    </row>
    <row r="626" spans="2:7" ht="28.8">
      <c r="B626" s="162" t="s">
        <v>3067</v>
      </c>
      <c r="C626" s="162" t="s">
        <v>3465</v>
      </c>
      <c r="D626" s="162" t="s">
        <v>3466</v>
      </c>
      <c r="E626" s="162" t="s">
        <v>3460</v>
      </c>
      <c r="F626" s="162">
        <v>50</v>
      </c>
      <c r="G626" s="162">
        <v>1</v>
      </c>
    </row>
    <row r="627" spans="2:7" ht="28.8">
      <c r="B627" s="162" t="s">
        <v>3067</v>
      </c>
      <c r="C627" s="162" t="s">
        <v>3467</v>
      </c>
      <c r="D627" s="162" t="s">
        <v>3468</v>
      </c>
      <c r="E627" s="162" t="s">
        <v>3469</v>
      </c>
      <c r="F627" s="162">
        <v>118</v>
      </c>
      <c r="G627" s="162">
        <v>1</v>
      </c>
    </row>
    <row r="628" spans="2:7" ht="28.8">
      <c r="B628" s="162" t="s">
        <v>3067</v>
      </c>
      <c r="C628" s="162" t="s">
        <v>3470</v>
      </c>
      <c r="D628" s="162" t="s">
        <v>3471</v>
      </c>
      <c r="E628" s="162" t="s">
        <v>3469</v>
      </c>
      <c r="F628" s="162">
        <v>58</v>
      </c>
      <c r="G628" s="162">
        <v>1</v>
      </c>
    </row>
    <row r="629" spans="2:7" ht="28.8">
      <c r="B629" s="162" t="s">
        <v>3067</v>
      </c>
      <c r="C629" s="162" t="s">
        <v>3472</v>
      </c>
      <c r="D629" s="162" t="s">
        <v>3473</v>
      </c>
      <c r="E629" s="162" t="s">
        <v>3469</v>
      </c>
      <c r="F629" s="162">
        <v>58</v>
      </c>
      <c r="G629" s="162">
        <v>1</v>
      </c>
    </row>
    <row r="630" spans="2:7" ht="28.8">
      <c r="B630" s="162" t="s">
        <v>3067</v>
      </c>
      <c r="C630" s="162" t="s">
        <v>3474</v>
      </c>
      <c r="D630" s="162" t="s">
        <v>3475</v>
      </c>
      <c r="E630" s="162" t="s">
        <v>3469</v>
      </c>
      <c r="F630" s="162">
        <v>58</v>
      </c>
      <c r="G630" s="162">
        <v>1</v>
      </c>
    </row>
    <row r="631" spans="2:7" ht="28.8">
      <c r="B631" s="162" t="s">
        <v>3067</v>
      </c>
      <c r="C631" s="162" t="s">
        <v>3476</v>
      </c>
      <c r="D631" s="162" t="s">
        <v>3477</v>
      </c>
      <c r="E631" s="162" t="s">
        <v>3478</v>
      </c>
      <c r="F631" s="162">
        <v>40</v>
      </c>
      <c r="G631" s="162">
        <v>1</v>
      </c>
    </row>
    <row r="632" spans="2:7" ht="28.8">
      <c r="B632" s="162" t="s">
        <v>3067</v>
      </c>
      <c r="C632" s="162" t="s">
        <v>3479</v>
      </c>
      <c r="D632" s="162" t="s">
        <v>3477</v>
      </c>
      <c r="E632" s="162" t="s">
        <v>3478</v>
      </c>
      <c r="F632" s="162">
        <v>40</v>
      </c>
      <c r="G632" s="162">
        <v>1</v>
      </c>
    </row>
    <row r="633" spans="2:7" ht="28.8">
      <c r="B633" s="162" t="s">
        <v>3067</v>
      </c>
      <c r="C633" s="162" t="s">
        <v>3480</v>
      </c>
      <c r="D633" s="162" t="s">
        <v>3477</v>
      </c>
      <c r="E633" s="162" t="s">
        <v>3478</v>
      </c>
      <c r="F633" s="162">
        <v>40</v>
      </c>
      <c r="G633" s="162">
        <v>1</v>
      </c>
    </row>
    <row r="634" spans="2:7" ht="28.8">
      <c r="B634" s="162" t="s">
        <v>3067</v>
      </c>
      <c r="C634" s="162" t="s">
        <v>3481</v>
      </c>
      <c r="D634" s="162" t="s">
        <v>3477</v>
      </c>
      <c r="E634" s="162" t="s">
        <v>3478</v>
      </c>
      <c r="F634" s="162">
        <v>40</v>
      </c>
      <c r="G634" s="162">
        <v>1</v>
      </c>
    </row>
    <row r="635" spans="2:7">
      <c r="B635" s="162" t="s">
        <v>3067</v>
      </c>
      <c r="C635" s="162" t="s">
        <v>3482</v>
      </c>
      <c r="D635" s="162" t="s">
        <v>3483</v>
      </c>
      <c r="E635" s="162" t="s">
        <v>3484</v>
      </c>
      <c r="F635" s="162">
        <v>40</v>
      </c>
      <c r="G635" s="162">
        <v>1</v>
      </c>
    </row>
    <row r="636" spans="2:7">
      <c r="B636" s="162" t="s">
        <v>3067</v>
      </c>
      <c r="C636" s="162" t="s">
        <v>3485</v>
      </c>
      <c r="D636" s="162" t="s">
        <v>3486</v>
      </c>
      <c r="E636" s="162" t="s">
        <v>3484</v>
      </c>
      <c r="F636" s="162">
        <v>40</v>
      </c>
      <c r="G636" s="162">
        <v>1</v>
      </c>
    </row>
    <row r="637" spans="2:7">
      <c r="B637" s="162" t="s">
        <v>3067</v>
      </c>
      <c r="C637" s="162" t="s">
        <v>3487</v>
      </c>
      <c r="D637" s="162" t="s">
        <v>3488</v>
      </c>
      <c r="E637" s="162" t="s">
        <v>3484</v>
      </c>
      <c r="F637" s="162">
        <v>40</v>
      </c>
      <c r="G637" s="162">
        <v>1</v>
      </c>
    </row>
    <row r="638" spans="2:7">
      <c r="B638" s="162" t="s">
        <v>3067</v>
      </c>
      <c r="C638" s="162" t="s">
        <v>3489</v>
      </c>
      <c r="D638" s="162" t="s">
        <v>3490</v>
      </c>
      <c r="E638" s="162" t="s">
        <v>3484</v>
      </c>
      <c r="F638" s="162">
        <v>40</v>
      </c>
      <c r="G638" s="162">
        <v>1</v>
      </c>
    </row>
    <row r="639" spans="2:7" ht="43.2">
      <c r="B639" s="162" t="s">
        <v>3067</v>
      </c>
      <c r="C639" s="162" t="s">
        <v>3491</v>
      </c>
      <c r="D639" s="162" t="s">
        <v>3492</v>
      </c>
      <c r="E639" s="162" t="s">
        <v>3493</v>
      </c>
      <c r="F639" s="162">
        <v>59.98</v>
      </c>
      <c r="G639" s="162">
        <v>1</v>
      </c>
    </row>
    <row r="640" spans="2:7" ht="43.2">
      <c r="B640" s="162" t="s">
        <v>3067</v>
      </c>
      <c r="C640" s="162" t="s">
        <v>3494</v>
      </c>
      <c r="D640" s="162" t="s">
        <v>3492</v>
      </c>
      <c r="E640" s="162" t="s">
        <v>3495</v>
      </c>
      <c r="F640" s="162">
        <v>59.98</v>
      </c>
      <c r="G640" s="162">
        <v>1</v>
      </c>
    </row>
    <row r="641" spans="2:7" ht="43.2">
      <c r="B641" s="162" t="s">
        <v>3067</v>
      </c>
      <c r="C641" s="162" t="s">
        <v>3496</v>
      </c>
      <c r="D641" s="162" t="s">
        <v>3492</v>
      </c>
      <c r="E641" s="162" t="s">
        <v>3497</v>
      </c>
      <c r="F641" s="162">
        <v>59.98</v>
      </c>
      <c r="G641" s="162">
        <v>1</v>
      </c>
    </row>
    <row r="642" spans="2:7" ht="43.2">
      <c r="B642" s="162" t="s">
        <v>3067</v>
      </c>
      <c r="C642" s="162" t="s">
        <v>3498</v>
      </c>
      <c r="D642" s="162" t="s">
        <v>3492</v>
      </c>
      <c r="E642" s="162" t="s">
        <v>3497</v>
      </c>
      <c r="F642" s="162">
        <v>59.98</v>
      </c>
      <c r="G642" s="162">
        <v>1</v>
      </c>
    </row>
    <row r="643" spans="2:7" ht="86.4">
      <c r="B643" s="162" t="s">
        <v>3067</v>
      </c>
      <c r="C643" s="162" t="s">
        <v>3499</v>
      </c>
      <c r="D643" s="162" t="s">
        <v>3500</v>
      </c>
      <c r="E643" s="162" t="s">
        <v>3501</v>
      </c>
      <c r="F643" s="162">
        <v>40</v>
      </c>
      <c r="G643" s="162">
        <v>1</v>
      </c>
    </row>
    <row r="644" spans="2:7">
      <c r="B644" s="162" t="s">
        <v>3067</v>
      </c>
      <c r="C644" s="162" t="s">
        <v>3502</v>
      </c>
      <c r="D644" s="162" t="s">
        <v>3503</v>
      </c>
      <c r="E644" s="162" t="s">
        <v>3504</v>
      </c>
      <c r="F644" s="162">
        <v>59.9</v>
      </c>
      <c r="G644" s="162">
        <v>1</v>
      </c>
    </row>
    <row r="645" spans="2:7">
      <c r="B645" s="162" t="s">
        <v>3067</v>
      </c>
      <c r="C645" s="162" t="s">
        <v>3505</v>
      </c>
      <c r="D645" s="162" t="s">
        <v>3503</v>
      </c>
      <c r="E645" s="162" t="s">
        <v>3504</v>
      </c>
      <c r="F645" s="162">
        <v>59.9</v>
      </c>
      <c r="G645" s="162">
        <v>1</v>
      </c>
    </row>
    <row r="646" spans="2:7">
      <c r="B646" s="162" t="s">
        <v>3067</v>
      </c>
      <c r="C646" s="162" t="s">
        <v>3506</v>
      </c>
      <c r="D646" s="162" t="s">
        <v>3503</v>
      </c>
      <c r="E646" s="162" t="s">
        <v>3504</v>
      </c>
      <c r="F646" s="162">
        <v>59.9</v>
      </c>
      <c r="G646" s="162">
        <v>1</v>
      </c>
    </row>
    <row r="647" spans="2:7">
      <c r="B647" s="162" t="s">
        <v>3067</v>
      </c>
      <c r="C647" s="162" t="s">
        <v>3507</v>
      </c>
      <c r="D647" s="162" t="s">
        <v>3503</v>
      </c>
      <c r="E647" s="162" t="s">
        <v>3504</v>
      </c>
      <c r="F647" s="162">
        <v>59.9</v>
      </c>
      <c r="G647" s="162">
        <v>1</v>
      </c>
    </row>
    <row r="648" spans="2:7">
      <c r="B648" s="162" t="s">
        <v>3067</v>
      </c>
      <c r="C648" s="162" t="s">
        <v>3508</v>
      </c>
      <c r="D648" s="162" t="s">
        <v>3509</v>
      </c>
      <c r="E648" s="162" t="s">
        <v>3510</v>
      </c>
      <c r="F648" s="162">
        <v>79.98</v>
      </c>
      <c r="G648" s="162">
        <v>1</v>
      </c>
    </row>
    <row r="649" spans="2:7" ht="57.6">
      <c r="B649" s="162" t="s">
        <v>3067</v>
      </c>
      <c r="C649" s="162" t="s">
        <v>3511</v>
      </c>
      <c r="E649" s="162" t="s">
        <v>3512</v>
      </c>
      <c r="G649" s="162">
        <v>1</v>
      </c>
    </row>
    <row r="650" spans="2:7" ht="28.8">
      <c r="B650" s="162" t="s">
        <v>3067</v>
      </c>
      <c r="C650" s="162" t="s">
        <v>3513</v>
      </c>
      <c r="D650" s="162" t="s">
        <v>3514</v>
      </c>
      <c r="E650" s="162" t="s">
        <v>3515</v>
      </c>
      <c r="F650" s="162">
        <v>5</v>
      </c>
      <c r="G650" s="162">
        <v>1</v>
      </c>
    </row>
    <row r="651" spans="2:7" ht="28.8">
      <c r="B651" s="162" t="s">
        <v>3067</v>
      </c>
      <c r="C651" s="162" t="s">
        <v>3516</v>
      </c>
      <c r="D651" s="162" t="s">
        <v>3517</v>
      </c>
      <c r="E651" s="162" t="s">
        <v>3515</v>
      </c>
      <c r="F651" s="162">
        <v>5</v>
      </c>
      <c r="G651" s="162">
        <v>1</v>
      </c>
    </row>
    <row r="652" spans="2:7" ht="28.8">
      <c r="B652" s="162" t="s">
        <v>3067</v>
      </c>
      <c r="C652" s="162" t="s">
        <v>3518</v>
      </c>
      <c r="D652" s="162" t="s">
        <v>3519</v>
      </c>
      <c r="E652" s="162" t="s">
        <v>3515</v>
      </c>
      <c r="F652" s="162">
        <v>5</v>
      </c>
      <c r="G652" s="162">
        <v>1</v>
      </c>
    </row>
    <row r="653" spans="2:7" ht="28.8">
      <c r="B653" s="162" t="s">
        <v>3067</v>
      </c>
      <c r="C653" s="162" t="s">
        <v>3520</v>
      </c>
      <c r="D653" s="162" t="s">
        <v>3521</v>
      </c>
      <c r="E653" s="162" t="s">
        <v>3515</v>
      </c>
      <c r="F653" s="162">
        <v>5</v>
      </c>
      <c r="G653" s="162">
        <v>1</v>
      </c>
    </row>
    <row r="654" spans="2:7" ht="28.8">
      <c r="B654" s="162" t="s">
        <v>3067</v>
      </c>
      <c r="C654" s="162" t="s">
        <v>3522</v>
      </c>
      <c r="D654" s="162" t="s">
        <v>3523</v>
      </c>
      <c r="E654" s="162" t="s">
        <v>3515</v>
      </c>
      <c r="F654" s="162">
        <v>5</v>
      </c>
      <c r="G654" s="162">
        <v>1</v>
      </c>
    </row>
    <row r="655" spans="2:7" ht="28.8">
      <c r="B655" s="162" t="s">
        <v>3067</v>
      </c>
      <c r="C655" s="162" t="s">
        <v>3524</v>
      </c>
      <c r="D655" s="162" t="s">
        <v>3525</v>
      </c>
      <c r="E655" s="162" t="s">
        <v>3515</v>
      </c>
      <c r="F655" s="162">
        <v>5</v>
      </c>
      <c r="G655" s="162">
        <v>1</v>
      </c>
    </row>
    <row r="656" spans="2:7" ht="28.8">
      <c r="B656" s="162" t="s">
        <v>3067</v>
      </c>
      <c r="C656" s="162" t="s">
        <v>3526</v>
      </c>
      <c r="D656" s="162" t="s">
        <v>3527</v>
      </c>
      <c r="E656" s="162" t="s">
        <v>3515</v>
      </c>
      <c r="F656" s="162">
        <v>5</v>
      </c>
      <c r="G656" s="162">
        <v>1</v>
      </c>
    </row>
    <row r="657" spans="2:7" ht="28.8">
      <c r="B657" s="162" t="s">
        <v>3067</v>
      </c>
      <c r="C657" s="162" t="s">
        <v>3528</v>
      </c>
      <c r="D657" s="162" t="s">
        <v>3529</v>
      </c>
      <c r="E657" s="162" t="s">
        <v>3515</v>
      </c>
      <c r="F657" s="162">
        <v>5</v>
      </c>
      <c r="G657" s="162">
        <v>1</v>
      </c>
    </row>
    <row r="658" spans="2:7" ht="28.8">
      <c r="B658" s="162" t="s">
        <v>3067</v>
      </c>
      <c r="C658" s="162" t="s">
        <v>3530</v>
      </c>
      <c r="D658" s="162" t="s">
        <v>3531</v>
      </c>
      <c r="E658" s="162" t="s">
        <v>3515</v>
      </c>
      <c r="F658" s="162">
        <v>5</v>
      </c>
      <c r="G658" s="162">
        <v>1</v>
      </c>
    </row>
    <row r="659" spans="2:7" ht="28.8">
      <c r="B659" s="162" t="s">
        <v>3067</v>
      </c>
      <c r="C659" s="162" t="s">
        <v>3532</v>
      </c>
      <c r="D659" s="162" t="s">
        <v>3533</v>
      </c>
      <c r="E659" s="162" t="s">
        <v>3515</v>
      </c>
      <c r="F659" s="162">
        <v>5</v>
      </c>
      <c r="G659" s="162">
        <v>1</v>
      </c>
    </row>
    <row r="660" spans="2:7" ht="28.8">
      <c r="B660" s="162" t="s">
        <v>3067</v>
      </c>
      <c r="C660" s="162" t="s">
        <v>3534</v>
      </c>
      <c r="D660" s="162" t="s">
        <v>3535</v>
      </c>
      <c r="E660" s="162" t="s">
        <v>3515</v>
      </c>
      <c r="F660" s="162">
        <v>5</v>
      </c>
      <c r="G660" s="162">
        <v>1</v>
      </c>
    </row>
    <row r="661" spans="2:7" ht="28.8">
      <c r="B661" s="162" t="s">
        <v>3067</v>
      </c>
      <c r="C661" s="162" t="s">
        <v>3536</v>
      </c>
      <c r="D661" s="162" t="s">
        <v>3537</v>
      </c>
      <c r="E661" s="162" t="s">
        <v>3515</v>
      </c>
      <c r="F661" s="162">
        <v>5</v>
      </c>
      <c r="G661" s="162">
        <v>1</v>
      </c>
    </row>
    <row r="662" spans="2:7" ht="28.8">
      <c r="B662" s="162" t="s">
        <v>3067</v>
      </c>
      <c r="C662" s="162" t="s">
        <v>3538</v>
      </c>
      <c r="D662" s="162" t="s">
        <v>3539</v>
      </c>
      <c r="E662" s="162" t="s">
        <v>3515</v>
      </c>
      <c r="F662" s="162">
        <v>5</v>
      </c>
      <c r="G662" s="162">
        <v>1</v>
      </c>
    </row>
    <row r="663" spans="2:7" ht="28.8">
      <c r="B663" s="162" t="s">
        <v>3067</v>
      </c>
      <c r="C663" s="162" t="s">
        <v>3540</v>
      </c>
      <c r="D663" s="162" t="s">
        <v>3541</v>
      </c>
      <c r="E663" s="162" t="s">
        <v>3515</v>
      </c>
      <c r="F663" s="162">
        <v>5</v>
      </c>
      <c r="G663" s="162">
        <v>1</v>
      </c>
    </row>
    <row r="664" spans="2:7" ht="28.8">
      <c r="B664" s="162" t="s">
        <v>3067</v>
      </c>
      <c r="C664" s="162" t="s">
        <v>3542</v>
      </c>
      <c r="D664" s="162" t="s">
        <v>3543</v>
      </c>
      <c r="E664" s="162" t="s">
        <v>3515</v>
      </c>
      <c r="F664" s="162">
        <v>5</v>
      </c>
      <c r="G664" s="162">
        <v>1</v>
      </c>
    </row>
    <row r="665" spans="2:7" ht="28.8">
      <c r="B665" s="162" t="s">
        <v>3067</v>
      </c>
      <c r="C665" s="162" t="s">
        <v>3544</v>
      </c>
      <c r="D665" s="162" t="s">
        <v>3545</v>
      </c>
      <c r="E665" s="162" t="s">
        <v>3515</v>
      </c>
      <c r="F665" s="162">
        <v>5</v>
      </c>
      <c r="G665" s="162">
        <v>1</v>
      </c>
    </row>
    <row r="666" spans="2:7" ht="28.8">
      <c r="B666" s="162" t="s">
        <v>3067</v>
      </c>
      <c r="C666" s="162" t="s">
        <v>3546</v>
      </c>
      <c r="D666" s="162" t="s">
        <v>3547</v>
      </c>
      <c r="E666" s="162" t="s">
        <v>3515</v>
      </c>
      <c r="F666" s="162">
        <v>5</v>
      </c>
      <c r="G666" s="162">
        <v>1</v>
      </c>
    </row>
    <row r="667" spans="2:7" ht="28.8">
      <c r="B667" s="162" t="s">
        <v>3067</v>
      </c>
      <c r="C667" s="162" t="s">
        <v>3548</v>
      </c>
      <c r="D667" s="162" t="s">
        <v>3549</v>
      </c>
      <c r="E667" s="162" t="s">
        <v>3515</v>
      </c>
      <c r="F667" s="162">
        <v>5</v>
      </c>
      <c r="G667" s="162">
        <v>1</v>
      </c>
    </row>
    <row r="668" spans="2:7" ht="28.8">
      <c r="B668" s="162" t="s">
        <v>3067</v>
      </c>
      <c r="C668" s="162" t="s">
        <v>3550</v>
      </c>
      <c r="D668" s="162" t="s">
        <v>3551</v>
      </c>
      <c r="E668" s="162" t="s">
        <v>3515</v>
      </c>
      <c r="F668" s="162">
        <v>5</v>
      </c>
      <c r="G668" s="162">
        <v>1</v>
      </c>
    </row>
    <row r="669" spans="2:7" ht="28.8">
      <c r="B669" s="162" t="s">
        <v>3067</v>
      </c>
      <c r="C669" s="162" t="s">
        <v>3552</v>
      </c>
      <c r="D669" s="162" t="s">
        <v>3553</v>
      </c>
      <c r="E669" s="162" t="s">
        <v>3515</v>
      </c>
      <c r="F669" s="162">
        <v>5</v>
      </c>
      <c r="G669" s="162">
        <v>1</v>
      </c>
    </row>
    <row r="670" spans="2:7" ht="28.8">
      <c r="B670" s="162" t="s">
        <v>3067</v>
      </c>
      <c r="C670" s="162" t="s">
        <v>3554</v>
      </c>
      <c r="D670" s="162" t="s">
        <v>3555</v>
      </c>
      <c r="E670" s="162" t="s">
        <v>3515</v>
      </c>
      <c r="F670" s="162">
        <v>5</v>
      </c>
      <c r="G670" s="162">
        <v>1</v>
      </c>
    </row>
    <row r="671" spans="2:7" ht="28.8">
      <c r="B671" s="162" t="s">
        <v>3067</v>
      </c>
      <c r="C671" s="162" t="s">
        <v>3556</v>
      </c>
      <c r="D671" s="162" t="s">
        <v>3557</v>
      </c>
      <c r="E671" s="162" t="s">
        <v>3515</v>
      </c>
      <c r="F671" s="162">
        <v>5</v>
      </c>
      <c r="G671" s="162">
        <v>1</v>
      </c>
    </row>
    <row r="672" spans="2:7" ht="28.8">
      <c r="B672" s="162" t="s">
        <v>3067</v>
      </c>
      <c r="C672" s="162" t="s">
        <v>3558</v>
      </c>
      <c r="D672" s="162" t="s">
        <v>3559</v>
      </c>
      <c r="E672" s="162" t="s">
        <v>3515</v>
      </c>
      <c r="F672" s="162">
        <v>5</v>
      </c>
      <c r="G672" s="162">
        <v>1</v>
      </c>
    </row>
    <row r="673" spans="2:7" ht="28.8">
      <c r="B673" s="162" t="s">
        <v>3067</v>
      </c>
      <c r="C673" s="162" t="s">
        <v>3560</v>
      </c>
      <c r="D673" s="162" t="s">
        <v>3561</v>
      </c>
      <c r="E673" s="162" t="s">
        <v>3515</v>
      </c>
      <c r="F673" s="162">
        <v>5</v>
      </c>
      <c r="G673" s="162">
        <v>1</v>
      </c>
    </row>
    <row r="674" spans="2:7" ht="28.8">
      <c r="B674" s="162" t="s">
        <v>3067</v>
      </c>
      <c r="C674" s="162" t="s">
        <v>3562</v>
      </c>
      <c r="D674" s="162" t="s">
        <v>3563</v>
      </c>
      <c r="E674" s="162" t="s">
        <v>3515</v>
      </c>
      <c r="F674" s="162">
        <v>5</v>
      </c>
      <c r="G674" s="162">
        <v>1</v>
      </c>
    </row>
    <row r="675" spans="2:7" ht="28.8">
      <c r="B675" s="162" t="s">
        <v>3067</v>
      </c>
      <c r="C675" s="162" t="s">
        <v>3564</v>
      </c>
      <c r="D675" s="162" t="s">
        <v>3565</v>
      </c>
      <c r="E675" s="162" t="s">
        <v>3515</v>
      </c>
      <c r="F675" s="162">
        <v>5</v>
      </c>
      <c r="G675" s="162">
        <v>1</v>
      </c>
    </row>
    <row r="676" spans="2:7" ht="28.8">
      <c r="B676" s="162" t="s">
        <v>3067</v>
      </c>
      <c r="C676" s="162" t="s">
        <v>3566</v>
      </c>
      <c r="D676" s="162" t="s">
        <v>3567</v>
      </c>
      <c r="E676" s="162" t="s">
        <v>3515</v>
      </c>
      <c r="F676" s="162">
        <v>5</v>
      </c>
      <c r="G676" s="162">
        <v>1</v>
      </c>
    </row>
    <row r="677" spans="2:7" ht="28.8">
      <c r="B677" s="162" t="s">
        <v>3067</v>
      </c>
      <c r="C677" s="162" t="s">
        <v>3568</v>
      </c>
      <c r="D677" s="162" t="s">
        <v>3569</v>
      </c>
      <c r="E677" s="162" t="s">
        <v>3515</v>
      </c>
      <c r="F677" s="162">
        <v>5</v>
      </c>
      <c r="G677" s="162">
        <v>1</v>
      </c>
    </row>
    <row r="678" spans="2:7" ht="28.8">
      <c r="B678" s="162" t="s">
        <v>3067</v>
      </c>
      <c r="C678" s="162" t="s">
        <v>3570</v>
      </c>
      <c r="D678" s="162" t="s">
        <v>3571</v>
      </c>
      <c r="E678" s="162" t="s">
        <v>3515</v>
      </c>
      <c r="F678" s="162">
        <v>5</v>
      </c>
      <c r="G678" s="162">
        <v>1</v>
      </c>
    </row>
    <row r="679" spans="2:7" ht="28.8">
      <c r="B679" s="162" t="s">
        <v>3067</v>
      </c>
      <c r="C679" s="162" t="s">
        <v>3572</v>
      </c>
      <c r="D679" s="162" t="s">
        <v>3573</v>
      </c>
      <c r="E679" s="162" t="s">
        <v>3515</v>
      </c>
      <c r="F679" s="162">
        <v>5</v>
      </c>
      <c r="G679" s="162">
        <v>1</v>
      </c>
    </row>
    <row r="680" spans="2:7" ht="28.8">
      <c r="B680" s="162" t="s">
        <v>3067</v>
      </c>
      <c r="C680" s="162" t="s">
        <v>3574</v>
      </c>
      <c r="D680" s="162" t="s">
        <v>3575</v>
      </c>
      <c r="E680" s="162" t="s">
        <v>3515</v>
      </c>
      <c r="F680" s="162">
        <v>5</v>
      </c>
      <c r="G680" s="162">
        <v>1</v>
      </c>
    </row>
    <row r="681" spans="2:7" ht="28.8">
      <c r="B681" s="162" t="s">
        <v>3067</v>
      </c>
      <c r="C681" s="162" t="s">
        <v>3576</v>
      </c>
      <c r="D681" s="162" t="s">
        <v>3577</v>
      </c>
      <c r="E681" s="162" t="s">
        <v>3515</v>
      </c>
      <c r="F681" s="162">
        <v>5</v>
      </c>
      <c r="G681" s="162">
        <v>1</v>
      </c>
    </row>
    <row r="682" spans="2:7" ht="28.8">
      <c r="B682" s="162" t="s">
        <v>3067</v>
      </c>
      <c r="C682" s="162" t="s">
        <v>3578</v>
      </c>
      <c r="D682" s="162" t="s">
        <v>3579</v>
      </c>
      <c r="E682" s="162" t="s">
        <v>3515</v>
      </c>
      <c r="F682" s="162">
        <v>5</v>
      </c>
      <c r="G682" s="162">
        <v>1</v>
      </c>
    </row>
    <row r="683" spans="2:7" ht="28.8">
      <c r="B683" s="162" t="s">
        <v>3067</v>
      </c>
      <c r="C683" s="162" t="s">
        <v>3580</v>
      </c>
      <c r="D683" s="162" t="s">
        <v>3581</v>
      </c>
      <c r="E683" s="162" t="s">
        <v>3515</v>
      </c>
      <c r="F683" s="162">
        <v>5</v>
      </c>
      <c r="G683" s="162">
        <v>1</v>
      </c>
    </row>
    <row r="684" spans="2:7" ht="28.8">
      <c r="B684" s="162" t="s">
        <v>3067</v>
      </c>
      <c r="C684" s="162" t="s">
        <v>3582</v>
      </c>
      <c r="D684" s="162" t="s">
        <v>3583</v>
      </c>
      <c r="E684" s="162" t="s">
        <v>3515</v>
      </c>
      <c r="F684" s="162">
        <v>5</v>
      </c>
      <c r="G684" s="162">
        <v>1</v>
      </c>
    </row>
    <row r="685" spans="2:7" ht="28.8">
      <c r="B685" s="162" t="s">
        <v>3067</v>
      </c>
      <c r="C685" s="162" t="s">
        <v>3584</v>
      </c>
      <c r="D685" s="162" t="s">
        <v>3585</v>
      </c>
      <c r="E685" s="162" t="s">
        <v>3515</v>
      </c>
      <c r="F685" s="162">
        <v>5</v>
      </c>
      <c r="G685" s="162">
        <v>1</v>
      </c>
    </row>
    <row r="686" spans="2:7" ht="28.8">
      <c r="B686" s="162" t="s">
        <v>3067</v>
      </c>
      <c r="C686" s="162" t="s">
        <v>3586</v>
      </c>
      <c r="D686" s="162" t="s">
        <v>3587</v>
      </c>
      <c r="E686" s="162" t="s">
        <v>3515</v>
      </c>
      <c r="F686" s="162">
        <v>5</v>
      </c>
      <c r="G686" s="162">
        <v>1</v>
      </c>
    </row>
    <row r="687" spans="2:7" ht="28.8">
      <c r="B687" s="162" t="s">
        <v>3067</v>
      </c>
      <c r="C687" s="162" t="s">
        <v>3588</v>
      </c>
      <c r="D687" s="162" t="s">
        <v>3589</v>
      </c>
      <c r="E687" s="162" t="s">
        <v>3515</v>
      </c>
      <c r="F687" s="162">
        <v>5</v>
      </c>
      <c r="G687" s="162">
        <v>1</v>
      </c>
    </row>
    <row r="688" spans="2:7" ht="28.8">
      <c r="B688" s="162" t="s">
        <v>3067</v>
      </c>
      <c r="C688" s="162" t="s">
        <v>3590</v>
      </c>
      <c r="D688" s="162" t="s">
        <v>3591</v>
      </c>
      <c r="E688" s="162" t="s">
        <v>3515</v>
      </c>
      <c r="F688" s="162">
        <v>5</v>
      </c>
      <c r="G688" s="162">
        <v>1</v>
      </c>
    </row>
    <row r="689" spans="2:7" ht="28.8">
      <c r="B689" s="162" t="s">
        <v>3067</v>
      </c>
      <c r="C689" s="162" t="s">
        <v>3592</v>
      </c>
      <c r="D689" s="162" t="s">
        <v>3593</v>
      </c>
      <c r="E689" s="162" t="s">
        <v>3515</v>
      </c>
      <c r="F689" s="162">
        <v>5</v>
      </c>
      <c r="G689" s="162">
        <v>1</v>
      </c>
    </row>
    <row r="690" spans="2:7" ht="28.8">
      <c r="B690" s="162" t="s">
        <v>3067</v>
      </c>
      <c r="C690" s="162" t="s">
        <v>3594</v>
      </c>
      <c r="D690" s="162" t="s">
        <v>3595</v>
      </c>
      <c r="E690" s="162" t="s">
        <v>3515</v>
      </c>
      <c r="F690" s="162">
        <v>5</v>
      </c>
      <c r="G690" s="162">
        <v>1</v>
      </c>
    </row>
    <row r="691" spans="2:7" ht="28.8">
      <c r="B691" s="162" t="s">
        <v>3067</v>
      </c>
      <c r="C691" s="162" t="s">
        <v>3596</v>
      </c>
      <c r="D691" s="162" t="s">
        <v>3597</v>
      </c>
      <c r="E691" s="162" t="s">
        <v>3515</v>
      </c>
      <c r="F691" s="162">
        <v>5</v>
      </c>
      <c r="G691" s="162">
        <v>1</v>
      </c>
    </row>
    <row r="692" spans="2:7" ht="28.8">
      <c r="B692" s="162" t="s">
        <v>3067</v>
      </c>
      <c r="C692" s="162" t="s">
        <v>3598</v>
      </c>
      <c r="D692" s="162" t="s">
        <v>3599</v>
      </c>
      <c r="E692" s="162" t="s">
        <v>3515</v>
      </c>
      <c r="F692" s="162">
        <v>5</v>
      </c>
      <c r="G692" s="162">
        <v>1</v>
      </c>
    </row>
    <row r="693" spans="2:7" ht="28.8">
      <c r="B693" s="162" t="s">
        <v>3067</v>
      </c>
      <c r="C693" s="162" t="s">
        <v>3600</v>
      </c>
      <c r="D693" s="162" t="s">
        <v>3601</v>
      </c>
      <c r="E693" s="162" t="s">
        <v>3515</v>
      </c>
      <c r="F693" s="162">
        <v>5</v>
      </c>
      <c r="G693" s="162">
        <v>1</v>
      </c>
    </row>
    <row r="694" spans="2:7" ht="28.8">
      <c r="B694" s="162" t="s">
        <v>3067</v>
      </c>
      <c r="C694" s="162" t="s">
        <v>3602</v>
      </c>
      <c r="D694" s="162" t="s">
        <v>3603</v>
      </c>
      <c r="E694" s="162" t="s">
        <v>3515</v>
      </c>
      <c r="F694" s="162">
        <v>5</v>
      </c>
      <c r="G694" s="162">
        <v>1</v>
      </c>
    </row>
    <row r="695" spans="2:7" ht="28.8">
      <c r="B695" s="162" t="s">
        <v>3067</v>
      </c>
      <c r="C695" s="162" t="s">
        <v>3604</v>
      </c>
      <c r="D695" s="162" t="s">
        <v>3605</v>
      </c>
      <c r="E695" s="162" t="s">
        <v>3515</v>
      </c>
      <c r="F695" s="162">
        <v>5</v>
      </c>
      <c r="G695" s="162">
        <v>1</v>
      </c>
    </row>
    <row r="696" spans="2:7" ht="28.8">
      <c r="B696" s="162" t="s">
        <v>3067</v>
      </c>
      <c r="C696" s="162" t="s">
        <v>3606</v>
      </c>
      <c r="D696" s="162" t="s">
        <v>3607</v>
      </c>
      <c r="E696" s="162" t="s">
        <v>3515</v>
      </c>
      <c r="F696" s="162">
        <v>5</v>
      </c>
      <c r="G696" s="162">
        <v>1</v>
      </c>
    </row>
    <row r="697" spans="2:7" ht="28.8">
      <c r="B697" s="162" t="s">
        <v>3067</v>
      </c>
      <c r="C697" s="162" t="s">
        <v>3608</v>
      </c>
      <c r="D697" s="162" t="s">
        <v>3609</v>
      </c>
      <c r="E697" s="162" t="s">
        <v>3515</v>
      </c>
      <c r="F697" s="162">
        <v>5</v>
      </c>
      <c r="G697" s="162">
        <v>1</v>
      </c>
    </row>
    <row r="698" spans="2:7" ht="28.8">
      <c r="B698" s="162" t="s">
        <v>3067</v>
      </c>
      <c r="C698" s="162" t="s">
        <v>3610</v>
      </c>
      <c r="D698" s="162" t="s">
        <v>3611</v>
      </c>
      <c r="E698" s="162" t="s">
        <v>3515</v>
      </c>
      <c r="F698" s="162">
        <v>5</v>
      </c>
      <c r="G698" s="162">
        <v>1</v>
      </c>
    </row>
    <row r="699" spans="2:7" ht="28.8">
      <c r="B699" s="162" t="s">
        <v>3067</v>
      </c>
      <c r="C699" s="162" t="s">
        <v>3612</v>
      </c>
      <c r="D699" s="162" t="s">
        <v>3613</v>
      </c>
      <c r="E699" s="162" t="s">
        <v>3515</v>
      </c>
      <c r="F699" s="162">
        <v>5</v>
      </c>
      <c r="G699" s="162">
        <v>1</v>
      </c>
    </row>
    <row r="700" spans="2:7" ht="28.8">
      <c r="B700" s="162" t="s">
        <v>3067</v>
      </c>
      <c r="C700" s="162" t="s">
        <v>3614</v>
      </c>
      <c r="D700" s="162" t="s">
        <v>3615</v>
      </c>
      <c r="E700" s="162" t="s">
        <v>3515</v>
      </c>
      <c r="F700" s="162">
        <v>5</v>
      </c>
      <c r="G700" s="162">
        <v>1</v>
      </c>
    </row>
    <row r="701" spans="2:7" ht="28.8">
      <c r="B701" s="162" t="s">
        <v>3067</v>
      </c>
      <c r="C701" s="162" t="s">
        <v>3616</v>
      </c>
      <c r="D701" s="162" t="s">
        <v>3617</v>
      </c>
      <c r="E701" s="162" t="s">
        <v>3515</v>
      </c>
      <c r="F701" s="162">
        <v>5</v>
      </c>
      <c r="G701" s="162">
        <v>1</v>
      </c>
    </row>
    <row r="702" spans="2:7" ht="28.8">
      <c r="B702" s="162" t="s">
        <v>3067</v>
      </c>
      <c r="C702" s="162" t="s">
        <v>3618</v>
      </c>
      <c r="D702" s="162" t="s">
        <v>3619</v>
      </c>
      <c r="E702" s="162" t="s">
        <v>3515</v>
      </c>
      <c r="F702" s="162">
        <v>5</v>
      </c>
      <c r="G702" s="162">
        <v>1</v>
      </c>
    </row>
    <row r="703" spans="2:7" ht="28.8">
      <c r="B703" s="162" t="s">
        <v>3067</v>
      </c>
      <c r="C703" s="162" t="s">
        <v>3620</v>
      </c>
      <c r="D703" s="162" t="s">
        <v>3621</v>
      </c>
      <c r="E703" s="162" t="s">
        <v>3515</v>
      </c>
      <c r="F703" s="162">
        <v>5</v>
      </c>
      <c r="G703" s="162">
        <v>1</v>
      </c>
    </row>
    <row r="704" spans="2:7" ht="28.8">
      <c r="B704" s="162" t="s">
        <v>3067</v>
      </c>
      <c r="C704" s="162" t="s">
        <v>3622</v>
      </c>
      <c r="D704" s="162" t="s">
        <v>3623</v>
      </c>
      <c r="E704" s="162" t="s">
        <v>3515</v>
      </c>
      <c r="F704" s="162">
        <v>5</v>
      </c>
      <c r="G704" s="162">
        <v>1</v>
      </c>
    </row>
    <row r="705" spans="2:7" ht="28.8">
      <c r="B705" s="162" t="s">
        <v>3067</v>
      </c>
      <c r="C705" s="162" t="s">
        <v>3624</v>
      </c>
      <c r="D705" s="162" t="s">
        <v>3625</v>
      </c>
      <c r="E705" s="162" t="s">
        <v>3515</v>
      </c>
      <c r="F705" s="162">
        <v>5</v>
      </c>
      <c r="G705" s="162">
        <v>1</v>
      </c>
    </row>
    <row r="706" spans="2:7" ht="28.8">
      <c r="B706" s="162" t="s">
        <v>3067</v>
      </c>
      <c r="C706" s="162" t="s">
        <v>3626</v>
      </c>
      <c r="D706" s="162" t="s">
        <v>3627</v>
      </c>
      <c r="E706" s="162" t="s">
        <v>3515</v>
      </c>
      <c r="F706" s="162">
        <v>5</v>
      </c>
      <c r="G706" s="162">
        <v>1</v>
      </c>
    </row>
    <row r="707" spans="2:7" ht="28.8">
      <c r="B707" s="162" t="s">
        <v>3067</v>
      </c>
      <c r="C707" s="162" t="s">
        <v>3628</v>
      </c>
      <c r="D707" s="162" t="s">
        <v>3629</v>
      </c>
      <c r="E707" s="162" t="s">
        <v>3515</v>
      </c>
      <c r="F707" s="162">
        <v>5</v>
      </c>
      <c r="G707" s="162">
        <v>1</v>
      </c>
    </row>
    <row r="708" spans="2:7" ht="28.8">
      <c r="B708" s="162" t="s">
        <v>3067</v>
      </c>
      <c r="C708" s="162" t="s">
        <v>3630</v>
      </c>
      <c r="D708" s="162" t="s">
        <v>3631</v>
      </c>
      <c r="E708" s="162" t="s">
        <v>3515</v>
      </c>
      <c r="F708" s="162">
        <v>5</v>
      </c>
      <c r="G708" s="162">
        <v>1</v>
      </c>
    </row>
    <row r="709" spans="2:7" ht="28.8">
      <c r="B709" s="162" t="s">
        <v>3067</v>
      </c>
      <c r="C709" s="162" t="s">
        <v>3632</v>
      </c>
      <c r="D709" s="162" t="s">
        <v>3633</v>
      </c>
      <c r="E709" s="162" t="s">
        <v>3515</v>
      </c>
      <c r="F709" s="162">
        <v>5</v>
      </c>
      <c r="G709" s="162">
        <v>1</v>
      </c>
    </row>
    <row r="710" spans="2:7" ht="28.8">
      <c r="B710" s="162" t="s">
        <v>3067</v>
      </c>
      <c r="C710" s="162" t="s">
        <v>3634</v>
      </c>
      <c r="D710" s="162" t="s">
        <v>3635</v>
      </c>
      <c r="E710" s="162" t="s">
        <v>3515</v>
      </c>
      <c r="F710" s="162">
        <v>5</v>
      </c>
      <c r="G710" s="162">
        <v>1</v>
      </c>
    </row>
    <row r="711" spans="2:7" ht="28.8">
      <c r="B711" s="162" t="s">
        <v>3067</v>
      </c>
      <c r="C711" s="162" t="s">
        <v>3636</v>
      </c>
      <c r="D711" s="162" t="s">
        <v>3637</v>
      </c>
      <c r="E711" s="162" t="s">
        <v>3515</v>
      </c>
      <c r="F711" s="162">
        <v>5</v>
      </c>
      <c r="G711" s="162">
        <v>1</v>
      </c>
    </row>
    <row r="712" spans="2:7" ht="28.8">
      <c r="B712" s="162" t="s">
        <v>3067</v>
      </c>
      <c r="C712" s="162" t="s">
        <v>3638</v>
      </c>
      <c r="D712" s="162" t="s">
        <v>3639</v>
      </c>
      <c r="E712" s="162" t="s">
        <v>3515</v>
      </c>
      <c r="F712" s="162">
        <v>5</v>
      </c>
      <c r="G712" s="162">
        <v>1</v>
      </c>
    </row>
    <row r="713" spans="2:7" ht="28.8">
      <c r="B713" s="162" t="s">
        <v>3067</v>
      </c>
      <c r="C713" s="162" t="s">
        <v>3640</v>
      </c>
      <c r="D713" s="162" t="s">
        <v>3641</v>
      </c>
      <c r="E713" s="162" t="s">
        <v>3515</v>
      </c>
      <c r="F713" s="162">
        <v>5</v>
      </c>
      <c r="G713" s="162">
        <v>1</v>
      </c>
    </row>
    <row r="714" spans="2:7" ht="28.8">
      <c r="B714" s="162" t="s">
        <v>3067</v>
      </c>
      <c r="C714" s="162" t="s">
        <v>3642</v>
      </c>
      <c r="D714" s="162" t="s">
        <v>3643</v>
      </c>
      <c r="E714" s="162" t="s">
        <v>3515</v>
      </c>
      <c r="F714" s="162">
        <v>5</v>
      </c>
      <c r="G714" s="162">
        <v>1</v>
      </c>
    </row>
    <row r="715" spans="2:7" ht="28.8">
      <c r="B715" s="162" t="s">
        <v>3067</v>
      </c>
      <c r="C715" s="162" t="s">
        <v>3644</v>
      </c>
      <c r="D715" s="162" t="s">
        <v>3645</v>
      </c>
      <c r="E715" s="162" t="s">
        <v>3515</v>
      </c>
      <c r="F715" s="162">
        <v>5</v>
      </c>
      <c r="G715" s="162">
        <v>1</v>
      </c>
    </row>
    <row r="716" spans="2:7" ht="28.8">
      <c r="B716" s="162" t="s">
        <v>3067</v>
      </c>
      <c r="C716" s="162" t="s">
        <v>3646</v>
      </c>
      <c r="D716" s="162" t="s">
        <v>3647</v>
      </c>
      <c r="E716" s="162" t="s">
        <v>3515</v>
      </c>
      <c r="F716" s="162">
        <v>5</v>
      </c>
      <c r="G716" s="162">
        <v>1</v>
      </c>
    </row>
    <row r="717" spans="2:7" ht="28.8">
      <c r="B717" s="162" t="s">
        <v>3067</v>
      </c>
      <c r="C717" s="162" t="s">
        <v>3648</v>
      </c>
      <c r="D717" s="162" t="s">
        <v>3649</v>
      </c>
      <c r="E717" s="162" t="s">
        <v>3515</v>
      </c>
      <c r="F717" s="162">
        <v>5</v>
      </c>
      <c r="G717" s="162">
        <v>1</v>
      </c>
    </row>
    <row r="718" spans="2:7" ht="28.8">
      <c r="B718" s="162" t="s">
        <v>3067</v>
      </c>
      <c r="C718" s="162" t="s">
        <v>3650</v>
      </c>
      <c r="D718" s="162" t="s">
        <v>3651</v>
      </c>
      <c r="E718" s="162" t="s">
        <v>3515</v>
      </c>
      <c r="F718" s="162">
        <v>5</v>
      </c>
      <c r="G718" s="162">
        <v>1</v>
      </c>
    </row>
    <row r="719" spans="2:7" ht="28.8">
      <c r="B719" s="162" t="s">
        <v>3067</v>
      </c>
      <c r="C719" s="162" t="s">
        <v>3652</v>
      </c>
      <c r="D719" s="162" t="s">
        <v>3653</v>
      </c>
      <c r="E719" s="162" t="s">
        <v>3515</v>
      </c>
      <c r="F719" s="162">
        <v>5</v>
      </c>
      <c r="G719" s="162">
        <v>1</v>
      </c>
    </row>
    <row r="720" spans="2:7" ht="28.8">
      <c r="B720" s="162" t="s">
        <v>3067</v>
      </c>
      <c r="C720" s="162" t="s">
        <v>3654</v>
      </c>
      <c r="D720" s="162" t="s">
        <v>3655</v>
      </c>
      <c r="E720" s="162" t="s">
        <v>3515</v>
      </c>
      <c r="F720" s="162">
        <v>5</v>
      </c>
      <c r="G720" s="162">
        <v>1</v>
      </c>
    </row>
    <row r="721" spans="2:7" ht="28.8">
      <c r="B721" s="162" t="s">
        <v>3067</v>
      </c>
      <c r="C721" s="162" t="s">
        <v>3656</v>
      </c>
      <c r="D721" s="162" t="s">
        <v>3657</v>
      </c>
      <c r="E721" s="162" t="s">
        <v>3515</v>
      </c>
      <c r="F721" s="162">
        <v>5</v>
      </c>
      <c r="G721" s="162">
        <v>1</v>
      </c>
    </row>
    <row r="722" spans="2:7" ht="28.8">
      <c r="B722" s="162" t="s">
        <v>3067</v>
      </c>
      <c r="C722" s="162" t="s">
        <v>3658</v>
      </c>
      <c r="D722" s="162" t="s">
        <v>3659</v>
      </c>
      <c r="E722" s="162" t="s">
        <v>3515</v>
      </c>
      <c r="F722" s="162">
        <v>5</v>
      </c>
      <c r="G722" s="162">
        <v>1</v>
      </c>
    </row>
    <row r="723" spans="2:7" ht="28.8">
      <c r="B723" s="162" t="s">
        <v>3067</v>
      </c>
      <c r="C723" s="162" t="s">
        <v>3660</v>
      </c>
      <c r="D723" s="162" t="s">
        <v>3661</v>
      </c>
      <c r="E723" s="162" t="s">
        <v>3515</v>
      </c>
      <c r="F723" s="162">
        <v>5</v>
      </c>
      <c r="G723" s="162">
        <v>1</v>
      </c>
    </row>
    <row r="724" spans="2:7" ht="28.8">
      <c r="B724" s="162" t="s">
        <v>3067</v>
      </c>
      <c r="C724" s="162" t="s">
        <v>3662</v>
      </c>
      <c r="D724" s="162" t="s">
        <v>3663</v>
      </c>
      <c r="E724" s="162" t="s">
        <v>3515</v>
      </c>
      <c r="F724" s="162">
        <v>5</v>
      </c>
      <c r="G724" s="162">
        <v>1</v>
      </c>
    </row>
    <row r="725" spans="2:7" ht="28.8">
      <c r="B725" s="162" t="s">
        <v>3067</v>
      </c>
      <c r="C725" s="162" t="s">
        <v>3664</v>
      </c>
      <c r="D725" s="162" t="s">
        <v>3665</v>
      </c>
      <c r="E725" s="162" t="s">
        <v>3515</v>
      </c>
      <c r="F725" s="162">
        <v>5</v>
      </c>
      <c r="G725" s="162">
        <v>1</v>
      </c>
    </row>
    <row r="726" spans="2:7" ht="28.8">
      <c r="B726" s="162" t="s">
        <v>3067</v>
      </c>
      <c r="C726" s="162" t="s">
        <v>3666</v>
      </c>
      <c r="D726" s="162" t="s">
        <v>3667</v>
      </c>
      <c r="E726" s="162" t="s">
        <v>3515</v>
      </c>
      <c r="F726" s="162">
        <v>5</v>
      </c>
      <c r="G726" s="162">
        <v>1</v>
      </c>
    </row>
    <row r="727" spans="2:7" ht="28.8">
      <c r="B727" s="162" t="s">
        <v>3067</v>
      </c>
      <c r="C727" s="162" t="s">
        <v>3668</v>
      </c>
      <c r="D727" s="162" t="s">
        <v>3669</v>
      </c>
      <c r="E727" s="162" t="s">
        <v>3515</v>
      </c>
      <c r="F727" s="162">
        <v>5</v>
      </c>
      <c r="G727" s="162">
        <v>1</v>
      </c>
    </row>
    <row r="728" spans="2:7" ht="28.8">
      <c r="B728" s="162" t="s">
        <v>3067</v>
      </c>
      <c r="C728" s="162" t="s">
        <v>3670</v>
      </c>
      <c r="D728" s="162" t="s">
        <v>3671</v>
      </c>
      <c r="E728" s="162" t="s">
        <v>3515</v>
      </c>
      <c r="F728" s="162">
        <v>5</v>
      </c>
      <c r="G728" s="162">
        <v>1</v>
      </c>
    </row>
    <row r="729" spans="2:7" ht="28.8">
      <c r="B729" s="162" t="s">
        <v>3067</v>
      </c>
      <c r="C729" s="162" t="s">
        <v>3672</v>
      </c>
      <c r="D729" s="162" t="s">
        <v>3673</v>
      </c>
      <c r="E729" s="162" t="s">
        <v>3515</v>
      </c>
      <c r="F729" s="162">
        <v>5</v>
      </c>
      <c r="G729" s="162">
        <v>1</v>
      </c>
    </row>
    <row r="730" spans="2:7" ht="28.8">
      <c r="B730" s="162" t="s">
        <v>3067</v>
      </c>
      <c r="C730" s="162" t="s">
        <v>3674</v>
      </c>
      <c r="D730" s="162" t="s">
        <v>3675</v>
      </c>
      <c r="E730" s="162" t="s">
        <v>3515</v>
      </c>
      <c r="F730" s="162">
        <v>5</v>
      </c>
      <c r="G730" s="162">
        <v>1</v>
      </c>
    </row>
    <row r="731" spans="2:7" ht="28.8">
      <c r="B731" s="162" t="s">
        <v>3067</v>
      </c>
      <c r="C731" s="162" t="s">
        <v>3676</v>
      </c>
      <c r="D731" s="162" t="s">
        <v>3677</v>
      </c>
      <c r="E731" s="162" t="s">
        <v>3515</v>
      </c>
      <c r="F731" s="162">
        <v>5</v>
      </c>
      <c r="G731" s="162">
        <v>1</v>
      </c>
    </row>
    <row r="732" spans="2:7" ht="28.8">
      <c r="B732" s="162" t="s">
        <v>3067</v>
      </c>
      <c r="C732" s="162" t="s">
        <v>3678</v>
      </c>
      <c r="D732" s="162" t="s">
        <v>3679</v>
      </c>
      <c r="E732" s="162" t="s">
        <v>3515</v>
      </c>
      <c r="F732" s="162">
        <v>5</v>
      </c>
      <c r="G732" s="162">
        <v>1</v>
      </c>
    </row>
    <row r="733" spans="2:7" ht="28.8">
      <c r="B733" s="162" t="s">
        <v>3067</v>
      </c>
      <c r="C733" s="162" t="s">
        <v>3680</v>
      </c>
      <c r="D733" s="162" t="s">
        <v>3681</v>
      </c>
      <c r="E733" s="162" t="s">
        <v>3515</v>
      </c>
      <c r="F733" s="162">
        <v>5</v>
      </c>
      <c r="G733" s="162">
        <v>1</v>
      </c>
    </row>
    <row r="734" spans="2:7" ht="28.8">
      <c r="B734" s="162" t="s">
        <v>3067</v>
      </c>
      <c r="C734" s="162" t="s">
        <v>3682</v>
      </c>
      <c r="D734" s="162" t="s">
        <v>3683</v>
      </c>
      <c r="E734" s="162" t="s">
        <v>3515</v>
      </c>
      <c r="F734" s="162">
        <v>5</v>
      </c>
      <c r="G734" s="162">
        <v>1</v>
      </c>
    </row>
    <row r="735" spans="2:7" ht="28.8">
      <c r="B735" s="162" t="s">
        <v>3067</v>
      </c>
      <c r="C735" s="162" t="s">
        <v>3684</v>
      </c>
      <c r="D735" s="162" t="s">
        <v>3685</v>
      </c>
      <c r="E735" s="162" t="s">
        <v>3515</v>
      </c>
      <c r="F735" s="162">
        <v>5</v>
      </c>
      <c r="G735" s="162">
        <v>1</v>
      </c>
    </row>
    <row r="736" spans="2:7" ht="28.8">
      <c r="B736" s="162" t="s">
        <v>3067</v>
      </c>
      <c r="C736" s="162" t="s">
        <v>3686</v>
      </c>
      <c r="D736" s="162" t="s">
        <v>3687</v>
      </c>
      <c r="E736" s="162" t="s">
        <v>3515</v>
      </c>
      <c r="F736" s="162">
        <v>5</v>
      </c>
      <c r="G736" s="162">
        <v>1</v>
      </c>
    </row>
    <row r="737" spans="2:7" ht="28.8">
      <c r="B737" s="162" t="s">
        <v>3067</v>
      </c>
      <c r="C737" s="162" t="s">
        <v>3688</v>
      </c>
      <c r="D737" s="162" t="s">
        <v>3689</v>
      </c>
      <c r="E737" s="162" t="s">
        <v>3515</v>
      </c>
      <c r="F737" s="162">
        <v>5</v>
      </c>
      <c r="G737" s="162">
        <v>1</v>
      </c>
    </row>
    <row r="738" spans="2:7" ht="28.8">
      <c r="B738" s="162" t="s">
        <v>3067</v>
      </c>
      <c r="C738" s="162" t="s">
        <v>3690</v>
      </c>
      <c r="D738" s="162" t="s">
        <v>3691</v>
      </c>
      <c r="E738" s="162" t="s">
        <v>3515</v>
      </c>
      <c r="F738" s="162">
        <v>5</v>
      </c>
      <c r="G738" s="162">
        <v>1</v>
      </c>
    </row>
    <row r="739" spans="2:7" ht="28.8">
      <c r="B739" s="162" t="s">
        <v>3067</v>
      </c>
      <c r="C739" s="162" t="s">
        <v>3692</v>
      </c>
      <c r="D739" s="162" t="s">
        <v>3693</v>
      </c>
      <c r="E739" s="162" t="s">
        <v>3515</v>
      </c>
      <c r="F739" s="162">
        <v>5</v>
      </c>
      <c r="G739" s="162">
        <v>1</v>
      </c>
    </row>
    <row r="740" spans="2:7" ht="28.8">
      <c r="B740" s="162" t="s">
        <v>3067</v>
      </c>
      <c r="C740" s="162" t="s">
        <v>3694</v>
      </c>
      <c r="D740" s="162" t="s">
        <v>3695</v>
      </c>
      <c r="E740" s="162" t="s">
        <v>3515</v>
      </c>
      <c r="F740" s="162">
        <v>5</v>
      </c>
      <c r="G740" s="162">
        <v>1</v>
      </c>
    </row>
    <row r="741" spans="2:7" ht="28.8">
      <c r="B741" s="162" t="s">
        <v>3067</v>
      </c>
      <c r="C741" s="162" t="s">
        <v>3696</v>
      </c>
      <c r="D741" s="162" t="s">
        <v>3697</v>
      </c>
      <c r="E741" s="162" t="s">
        <v>3515</v>
      </c>
      <c r="F741" s="162">
        <v>5</v>
      </c>
      <c r="G741" s="162">
        <v>1</v>
      </c>
    </row>
    <row r="742" spans="2:7" ht="28.8">
      <c r="B742" s="162" t="s">
        <v>3067</v>
      </c>
      <c r="C742" s="162" t="s">
        <v>3698</v>
      </c>
      <c r="D742" s="162" t="s">
        <v>3699</v>
      </c>
      <c r="E742" s="162" t="s">
        <v>3515</v>
      </c>
      <c r="F742" s="162">
        <v>5</v>
      </c>
      <c r="G742" s="162">
        <v>1</v>
      </c>
    </row>
    <row r="743" spans="2:7" ht="28.8">
      <c r="B743" s="162" t="s">
        <v>3067</v>
      </c>
      <c r="C743" s="162" t="s">
        <v>3700</v>
      </c>
      <c r="D743" s="162" t="s">
        <v>3701</v>
      </c>
      <c r="E743" s="162" t="s">
        <v>3515</v>
      </c>
      <c r="F743" s="162">
        <v>5</v>
      </c>
      <c r="G743" s="162">
        <v>1</v>
      </c>
    </row>
    <row r="744" spans="2:7" ht="28.8">
      <c r="B744" s="162" t="s">
        <v>3067</v>
      </c>
      <c r="C744" s="162" t="s">
        <v>3702</v>
      </c>
      <c r="D744" s="162" t="s">
        <v>3703</v>
      </c>
      <c r="E744" s="162" t="s">
        <v>3515</v>
      </c>
      <c r="F744" s="162">
        <v>5</v>
      </c>
      <c r="G744" s="162">
        <v>1</v>
      </c>
    </row>
    <row r="745" spans="2:7" ht="28.8">
      <c r="B745" s="162" t="s">
        <v>3067</v>
      </c>
      <c r="C745" s="162" t="s">
        <v>3704</v>
      </c>
      <c r="D745" s="162" t="s">
        <v>3705</v>
      </c>
      <c r="E745" s="162" t="s">
        <v>3515</v>
      </c>
      <c r="F745" s="162">
        <v>5</v>
      </c>
      <c r="G745" s="162">
        <v>1</v>
      </c>
    </row>
    <row r="746" spans="2:7" ht="28.8">
      <c r="B746" s="162" t="s">
        <v>3067</v>
      </c>
      <c r="C746" s="162" t="s">
        <v>3706</v>
      </c>
      <c r="D746" s="162" t="s">
        <v>3707</v>
      </c>
      <c r="E746" s="162" t="s">
        <v>3515</v>
      </c>
      <c r="F746" s="162">
        <v>5</v>
      </c>
      <c r="G746" s="162">
        <v>1</v>
      </c>
    </row>
    <row r="747" spans="2:7" ht="28.8">
      <c r="B747" s="162" t="s">
        <v>3067</v>
      </c>
      <c r="C747" s="162" t="s">
        <v>3708</v>
      </c>
      <c r="D747" s="162" t="s">
        <v>3709</v>
      </c>
      <c r="E747" s="162" t="s">
        <v>3515</v>
      </c>
      <c r="F747" s="162">
        <v>5</v>
      </c>
      <c r="G747" s="162">
        <v>1</v>
      </c>
    </row>
    <row r="748" spans="2:7" ht="28.8">
      <c r="B748" s="162" t="s">
        <v>3067</v>
      </c>
      <c r="C748" s="162" t="s">
        <v>3710</v>
      </c>
      <c r="D748" s="162" t="s">
        <v>3711</v>
      </c>
      <c r="E748" s="162" t="s">
        <v>3515</v>
      </c>
      <c r="F748" s="162">
        <v>5</v>
      </c>
      <c r="G748" s="162">
        <v>1</v>
      </c>
    </row>
    <row r="749" spans="2:7" ht="28.8">
      <c r="B749" s="162" t="s">
        <v>3067</v>
      </c>
      <c r="C749" s="162" t="s">
        <v>3712</v>
      </c>
      <c r="D749" s="162" t="s">
        <v>3713</v>
      </c>
      <c r="E749" s="162" t="s">
        <v>3515</v>
      </c>
      <c r="F749" s="162">
        <v>5</v>
      </c>
      <c r="G749" s="162">
        <v>1</v>
      </c>
    </row>
    <row r="750" spans="2:7" ht="28.8">
      <c r="B750" s="162" t="s">
        <v>3067</v>
      </c>
      <c r="C750" s="162" t="s">
        <v>3714</v>
      </c>
      <c r="D750" s="162" t="s">
        <v>3715</v>
      </c>
      <c r="E750" s="162" t="s">
        <v>3515</v>
      </c>
      <c r="F750" s="162">
        <v>5</v>
      </c>
      <c r="G750" s="162">
        <v>1</v>
      </c>
    </row>
    <row r="751" spans="2:7" ht="28.8">
      <c r="B751" s="162" t="s">
        <v>3067</v>
      </c>
      <c r="C751" s="162" t="s">
        <v>3716</v>
      </c>
      <c r="D751" s="162" t="s">
        <v>3717</v>
      </c>
      <c r="E751" s="162" t="s">
        <v>3515</v>
      </c>
      <c r="F751" s="162">
        <v>5</v>
      </c>
      <c r="G751" s="162">
        <v>1</v>
      </c>
    </row>
    <row r="752" spans="2:7" ht="28.8">
      <c r="B752" s="162" t="s">
        <v>3067</v>
      </c>
      <c r="C752" s="162" t="s">
        <v>3718</v>
      </c>
      <c r="D752" s="162" t="s">
        <v>3719</v>
      </c>
      <c r="E752" s="162" t="s">
        <v>3515</v>
      </c>
      <c r="F752" s="162">
        <v>5</v>
      </c>
      <c r="G752" s="162">
        <v>1</v>
      </c>
    </row>
    <row r="753" spans="2:7" ht="28.8">
      <c r="B753" s="162" t="s">
        <v>3067</v>
      </c>
      <c r="C753" s="162" t="s">
        <v>3720</v>
      </c>
      <c r="D753" s="162" t="s">
        <v>3721</v>
      </c>
      <c r="E753" s="162" t="s">
        <v>3515</v>
      </c>
      <c r="F753" s="162">
        <v>5</v>
      </c>
      <c r="G753" s="162">
        <v>1</v>
      </c>
    </row>
    <row r="754" spans="2:7" ht="28.8">
      <c r="B754" s="162" t="s">
        <v>3067</v>
      </c>
      <c r="C754" s="162" t="s">
        <v>3722</v>
      </c>
      <c r="D754" s="162" t="s">
        <v>3723</v>
      </c>
      <c r="E754" s="162" t="s">
        <v>3515</v>
      </c>
      <c r="F754" s="162">
        <v>5</v>
      </c>
      <c r="G754" s="162">
        <v>1</v>
      </c>
    </row>
    <row r="755" spans="2:7" ht="28.8">
      <c r="B755" s="162" t="s">
        <v>3067</v>
      </c>
      <c r="C755" s="162" t="s">
        <v>3724</v>
      </c>
      <c r="D755" s="162" t="s">
        <v>3725</v>
      </c>
      <c r="E755" s="162" t="s">
        <v>3515</v>
      </c>
      <c r="F755" s="162">
        <v>5</v>
      </c>
      <c r="G755" s="162">
        <v>1</v>
      </c>
    </row>
    <row r="756" spans="2:7" ht="28.8">
      <c r="B756" s="162" t="s">
        <v>3067</v>
      </c>
      <c r="C756" s="162" t="s">
        <v>3726</v>
      </c>
      <c r="D756" s="162" t="s">
        <v>3727</v>
      </c>
      <c r="E756" s="162" t="s">
        <v>3515</v>
      </c>
      <c r="F756" s="162">
        <v>5</v>
      </c>
      <c r="G756" s="162">
        <v>1</v>
      </c>
    </row>
    <row r="757" spans="2:7" ht="28.8">
      <c r="B757" s="162" t="s">
        <v>3067</v>
      </c>
      <c r="C757" s="162" t="s">
        <v>3728</v>
      </c>
      <c r="D757" s="162" t="s">
        <v>3729</v>
      </c>
      <c r="E757" s="162" t="s">
        <v>3515</v>
      </c>
      <c r="F757" s="162">
        <v>5</v>
      </c>
      <c r="G757" s="162">
        <v>1</v>
      </c>
    </row>
    <row r="758" spans="2:7" ht="28.8">
      <c r="B758" s="162" t="s">
        <v>3067</v>
      </c>
      <c r="C758" s="162" t="s">
        <v>3730</v>
      </c>
      <c r="D758" s="162" t="s">
        <v>3731</v>
      </c>
      <c r="E758" s="162" t="s">
        <v>3515</v>
      </c>
      <c r="F758" s="162">
        <v>5</v>
      </c>
      <c r="G758" s="162">
        <v>1</v>
      </c>
    </row>
    <row r="759" spans="2:7" ht="28.8">
      <c r="B759" s="162" t="s">
        <v>3067</v>
      </c>
      <c r="C759" s="162" t="s">
        <v>3732</v>
      </c>
      <c r="D759" s="162" t="s">
        <v>3733</v>
      </c>
      <c r="E759" s="162" t="s">
        <v>3515</v>
      </c>
      <c r="F759" s="162">
        <v>5</v>
      </c>
      <c r="G759" s="162">
        <v>1</v>
      </c>
    </row>
    <row r="760" spans="2:7" ht="28.8">
      <c r="B760" s="162" t="s">
        <v>3067</v>
      </c>
      <c r="C760" s="162" t="s">
        <v>3734</v>
      </c>
      <c r="D760" s="162" t="s">
        <v>3735</v>
      </c>
      <c r="E760" s="162" t="s">
        <v>3515</v>
      </c>
      <c r="F760" s="162">
        <v>5</v>
      </c>
      <c r="G760" s="162">
        <v>1</v>
      </c>
    </row>
    <row r="761" spans="2:7" ht="28.8">
      <c r="B761" s="162" t="s">
        <v>3067</v>
      </c>
      <c r="C761" s="162" t="s">
        <v>3736</v>
      </c>
      <c r="D761" s="162" t="s">
        <v>3737</v>
      </c>
      <c r="E761" s="162" t="s">
        <v>3515</v>
      </c>
      <c r="F761" s="162">
        <v>5</v>
      </c>
      <c r="G761" s="162">
        <v>1</v>
      </c>
    </row>
    <row r="762" spans="2:7" ht="28.8">
      <c r="B762" s="162" t="s">
        <v>3067</v>
      </c>
      <c r="C762" s="162" t="s">
        <v>3738</v>
      </c>
      <c r="D762" s="162" t="s">
        <v>3739</v>
      </c>
      <c r="E762" s="162" t="s">
        <v>3515</v>
      </c>
      <c r="F762" s="162">
        <v>5</v>
      </c>
      <c r="G762" s="162">
        <v>1</v>
      </c>
    </row>
    <row r="763" spans="2:7" ht="28.8">
      <c r="B763" s="162" t="s">
        <v>3067</v>
      </c>
      <c r="C763" s="162" t="s">
        <v>3740</v>
      </c>
      <c r="D763" s="162" t="s">
        <v>3741</v>
      </c>
      <c r="E763" s="162" t="s">
        <v>3515</v>
      </c>
      <c r="F763" s="162">
        <v>5</v>
      </c>
      <c r="G763" s="162">
        <v>1</v>
      </c>
    </row>
    <row r="764" spans="2:7" ht="28.8">
      <c r="B764" s="162" t="s">
        <v>3067</v>
      </c>
      <c r="C764" s="162" t="s">
        <v>3742</v>
      </c>
      <c r="D764" s="162" t="s">
        <v>3743</v>
      </c>
      <c r="E764" s="162" t="s">
        <v>3515</v>
      </c>
      <c r="F764" s="162">
        <v>5</v>
      </c>
      <c r="G764" s="162">
        <v>1</v>
      </c>
    </row>
    <row r="765" spans="2:7" ht="28.8">
      <c r="B765" s="162" t="s">
        <v>3067</v>
      </c>
      <c r="C765" s="162" t="s">
        <v>3744</v>
      </c>
      <c r="D765" s="162" t="s">
        <v>3745</v>
      </c>
      <c r="E765" s="162" t="s">
        <v>3515</v>
      </c>
      <c r="F765" s="162">
        <v>5</v>
      </c>
      <c r="G765" s="162">
        <v>1</v>
      </c>
    </row>
    <row r="766" spans="2:7" ht="28.8">
      <c r="B766" s="162" t="s">
        <v>3067</v>
      </c>
      <c r="C766" s="162" t="s">
        <v>3746</v>
      </c>
      <c r="D766" s="162" t="s">
        <v>3747</v>
      </c>
      <c r="E766" s="162" t="s">
        <v>3515</v>
      </c>
      <c r="F766" s="162">
        <v>5</v>
      </c>
      <c r="G766" s="162">
        <v>1</v>
      </c>
    </row>
    <row r="767" spans="2:7" ht="28.8">
      <c r="B767" s="162" t="s">
        <v>3067</v>
      </c>
      <c r="C767" s="162" t="s">
        <v>3748</v>
      </c>
      <c r="D767" s="162" t="s">
        <v>3749</v>
      </c>
      <c r="E767" s="162" t="s">
        <v>3515</v>
      </c>
      <c r="F767" s="162">
        <v>5</v>
      </c>
      <c r="G767" s="162">
        <v>1</v>
      </c>
    </row>
    <row r="768" spans="2:7" ht="28.8">
      <c r="B768" s="162" t="s">
        <v>3067</v>
      </c>
      <c r="C768" s="162" t="s">
        <v>3750</v>
      </c>
      <c r="D768" s="162" t="s">
        <v>3751</v>
      </c>
      <c r="E768" s="162" t="s">
        <v>3515</v>
      </c>
      <c r="F768" s="162">
        <v>5</v>
      </c>
      <c r="G768" s="162">
        <v>1</v>
      </c>
    </row>
    <row r="769" spans="2:7" ht="28.8">
      <c r="B769" s="162" t="s">
        <v>3067</v>
      </c>
      <c r="C769" s="162" t="s">
        <v>3752</v>
      </c>
      <c r="D769" s="162" t="s">
        <v>3753</v>
      </c>
      <c r="E769" s="162" t="s">
        <v>3515</v>
      </c>
      <c r="F769" s="162">
        <v>5</v>
      </c>
      <c r="G769" s="162">
        <v>1</v>
      </c>
    </row>
    <row r="770" spans="2:7" ht="28.8">
      <c r="B770" s="162" t="s">
        <v>3067</v>
      </c>
      <c r="C770" s="162" t="s">
        <v>3754</v>
      </c>
      <c r="D770" s="162" t="s">
        <v>3755</v>
      </c>
      <c r="E770" s="162" t="s">
        <v>3515</v>
      </c>
      <c r="F770" s="162">
        <v>5</v>
      </c>
      <c r="G770" s="162">
        <v>1</v>
      </c>
    </row>
    <row r="771" spans="2:7" ht="28.8">
      <c r="B771" s="162" t="s">
        <v>3067</v>
      </c>
      <c r="C771" s="162" t="s">
        <v>3756</v>
      </c>
      <c r="D771" s="162" t="s">
        <v>3757</v>
      </c>
      <c r="E771" s="162" t="s">
        <v>3515</v>
      </c>
      <c r="F771" s="162">
        <v>5</v>
      </c>
      <c r="G771" s="162">
        <v>1</v>
      </c>
    </row>
    <row r="772" spans="2:7" ht="28.8">
      <c r="B772" s="162" t="s">
        <v>3067</v>
      </c>
      <c r="C772" s="162" t="s">
        <v>3758</v>
      </c>
      <c r="D772" s="162" t="s">
        <v>3759</v>
      </c>
      <c r="E772" s="162" t="s">
        <v>3515</v>
      </c>
      <c r="F772" s="162">
        <v>5</v>
      </c>
      <c r="G772" s="162">
        <v>1</v>
      </c>
    </row>
    <row r="773" spans="2:7" ht="28.8">
      <c r="B773" s="162" t="s">
        <v>3067</v>
      </c>
      <c r="C773" s="162" t="s">
        <v>3760</v>
      </c>
      <c r="D773" s="162" t="s">
        <v>3761</v>
      </c>
      <c r="E773" s="162" t="s">
        <v>3515</v>
      </c>
      <c r="F773" s="162">
        <v>5</v>
      </c>
      <c r="G773" s="162">
        <v>1</v>
      </c>
    </row>
    <row r="774" spans="2:7" ht="28.8">
      <c r="B774" s="162" t="s">
        <v>3067</v>
      </c>
      <c r="C774" s="162" t="s">
        <v>3762</v>
      </c>
      <c r="D774" s="162" t="s">
        <v>3763</v>
      </c>
      <c r="E774" s="162" t="s">
        <v>3515</v>
      </c>
      <c r="F774" s="162">
        <v>5</v>
      </c>
      <c r="G774" s="162">
        <v>1</v>
      </c>
    </row>
    <row r="775" spans="2:7" ht="28.8">
      <c r="B775" s="162" t="s">
        <v>3067</v>
      </c>
      <c r="C775" s="162" t="s">
        <v>3764</v>
      </c>
      <c r="D775" s="162" t="s">
        <v>3765</v>
      </c>
      <c r="E775" s="162" t="s">
        <v>3515</v>
      </c>
      <c r="F775" s="162">
        <v>5</v>
      </c>
      <c r="G775" s="162">
        <v>1</v>
      </c>
    </row>
    <row r="776" spans="2:7" ht="28.8">
      <c r="B776" s="162" t="s">
        <v>3067</v>
      </c>
      <c r="C776" s="162" t="s">
        <v>3766</v>
      </c>
      <c r="D776" s="162" t="s">
        <v>3767</v>
      </c>
      <c r="E776" s="162" t="s">
        <v>3515</v>
      </c>
      <c r="F776" s="162">
        <v>5</v>
      </c>
      <c r="G776" s="162">
        <v>1</v>
      </c>
    </row>
    <row r="777" spans="2:7" ht="28.8">
      <c r="B777" s="162" t="s">
        <v>3067</v>
      </c>
      <c r="C777" s="162" t="s">
        <v>3768</v>
      </c>
      <c r="D777" s="162" t="s">
        <v>3769</v>
      </c>
      <c r="E777" s="162" t="s">
        <v>3515</v>
      </c>
      <c r="F777" s="162">
        <v>5</v>
      </c>
      <c r="G777" s="162">
        <v>1</v>
      </c>
    </row>
    <row r="778" spans="2:7" ht="28.8">
      <c r="B778" s="162" t="s">
        <v>3067</v>
      </c>
      <c r="C778" s="162" t="s">
        <v>3770</v>
      </c>
      <c r="D778" s="162" t="s">
        <v>3771</v>
      </c>
      <c r="E778" s="162" t="s">
        <v>3515</v>
      </c>
      <c r="F778" s="162">
        <v>5</v>
      </c>
      <c r="G778" s="162">
        <v>1</v>
      </c>
    </row>
    <row r="779" spans="2:7" ht="28.8">
      <c r="B779" s="162" t="s">
        <v>3067</v>
      </c>
      <c r="C779" s="162" t="s">
        <v>3772</v>
      </c>
      <c r="D779" s="162" t="s">
        <v>3773</v>
      </c>
      <c r="E779" s="162" t="s">
        <v>3515</v>
      </c>
      <c r="F779" s="162">
        <v>5</v>
      </c>
      <c r="G779" s="162">
        <v>1</v>
      </c>
    </row>
    <row r="780" spans="2:7" ht="28.8">
      <c r="B780" s="162" t="s">
        <v>674</v>
      </c>
      <c r="C780" s="162" t="s">
        <v>911</v>
      </c>
      <c r="D780" s="162" t="s">
        <v>912</v>
      </c>
      <c r="F780" s="162">
        <v>899.99</v>
      </c>
      <c r="G780" s="162">
        <v>1</v>
      </c>
    </row>
    <row r="781" spans="2:7" ht="72">
      <c r="B781" s="162" t="s">
        <v>674</v>
      </c>
      <c r="C781" s="162" t="s">
        <v>3774</v>
      </c>
      <c r="D781" s="162" t="s">
        <v>3775</v>
      </c>
      <c r="F781" s="162">
        <v>1699</v>
      </c>
      <c r="G781" s="162">
        <v>1</v>
      </c>
    </row>
    <row r="782" spans="2:7" ht="57.6">
      <c r="B782" s="162" t="s">
        <v>674</v>
      </c>
      <c r="C782" s="162" t="s">
        <v>913</v>
      </c>
      <c r="D782" s="162" t="s">
        <v>914</v>
      </c>
      <c r="F782" s="162">
        <v>1399.99</v>
      </c>
      <c r="G782" s="162">
        <v>1</v>
      </c>
    </row>
    <row r="783" spans="2:7" ht="28.8">
      <c r="B783" s="162" t="s">
        <v>674</v>
      </c>
      <c r="C783" s="162" t="s">
        <v>915</v>
      </c>
      <c r="D783" s="162" t="s">
        <v>916</v>
      </c>
      <c r="F783" s="162">
        <v>399.99</v>
      </c>
      <c r="G783" s="162">
        <v>1</v>
      </c>
    </row>
    <row r="784" spans="2:7" ht="57.6">
      <c r="B784" s="162" t="s">
        <v>674</v>
      </c>
      <c r="C784" s="162" t="s">
        <v>917</v>
      </c>
      <c r="D784" s="162" t="s">
        <v>918</v>
      </c>
      <c r="F784" s="162">
        <v>499.99</v>
      </c>
      <c r="G784" s="162">
        <v>1</v>
      </c>
    </row>
    <row r="785" spans="2:7" ht="43.2">
      <c r="B785" s="162" t="s">
        <v>674</v>
      </c>
      <c r="C785" s="162" t="s">
        <v>919</v>
      </c>
      <c r="D785" s="162" t="s">
        <v>920</v>
      </c>
      <c r="F785" s="162">
        <v>899.99</v>
      </c>
      <c r="G785" s="162">
        <v>1</v>
      </c>
    </row>
    <row r="786" spans="2:7" ht="28.8">
      <c r="B786" s="162" t="s">
        <v>674</v>
      </c>
      <c r="C786" s="162" t="s">
        <v>3776</v>
      </c>
      <c r="D786" s="162" t="s">
        <v>3777</v>
      </c>
      <c r="F786" s="162">
        <v>1899</v>
      </c>
      <c r="G786" s="162">
        <v>1</v>
      </c>
    </row>
    <row r="787" spans="2:7" ht="28.8">
      <c r="B787" s="162" t="s">
        <v>674</v>
      </c>
      <c r="C787" s="162" t="s">
        <v>921</v>
      </c>
      <c r="D787" s="162" t="s">
        <v>922</v>
      </c>
      <c r="F787" s="162">
        <v>999.99</v>
      </c>
      <c r="G787" s="162">
        <v>1</v>
      </c>
    </row>
    <row r="788" spans="2:7">
      <c r="B788" s="162" t="s">
        <v>675</v>
      </c>
      <c r="C788" s="162" t="s">
        <v>3778</v>
      </c>
      <c r="D788" s="162" t="s">
        <v>3779</v>
      </c>
      <c r="F788" s="162">
        <v>850</v>
      </c>
      <c r="G788" s="162">
        <v>1</v>
      </c>
    </row>
    <row r="789" spans="2:7">
      <c r="B789" s="162" t="s">
        <v>675</v>
      </c>
      <c r="C789" s="162" t="s">
        <v>3780</v>
      </c>
      <c r="D789" s="162" t="s">
        <v>3781</v>
      </c>
      <c r="F789" s="162">
        <v>1325</v>
      </c>
      <c r="G789" s="162">
        <v>1</v>
      </c>
    </row>
    <row r="790" spans="2:7">
      <c r="B790" s="162" t="s">
        <v>675</v>
      </c>
      <c r="C790" s="162" t="s">
        <v>3782</v>
      </c>
      <c r="D790" s="162" t="s">
        <v>3783</v>
      </c>
      <c r="F790" s="162">
        <v>2050</v>
      </c>
      <c r="G790" s="162">
        <v>1</v>
      </c>
    </row>
    <row r="791" spans="2:7">
      <c r="B791" s="162" t="s">
        <v>675</v>
      </c>
      <c r="C791" s="162" t="s">
        <v>3784</v>
      </c>
      <c r="D791" s="162" t="s">
        <v>3785</v>
      </c>
      <c r="F791" s="162">
        <v>2575</v>
      </c>
      <c r="G791" s="162">
        <v>1</v>
      </c>
    </row>
    <row r="792" spans="2:7">
      <c r="B792" s="162" t="s">
        <v>675</v>
      </c>
      <c r="C792" s="162" t="s">
        <v>3786</v>
      </c>
      <c r="D792" s="162" t="s">
        <v>3787</v>
      </c>
      <c r="F792" s="162">
        <v>2950</v>
      </c>
      <c r="G792" s="162">
        <v>1</v>
      </c>
    </row>
    <row r="793" spans="2:7">
      <c r="B793" s="162" t="s">
        <v>675</v>
      </c>
      <c r="C793" s="162" t="s">
        <v>3788</v>
      </c>
      <c r="D793" s="162" t="s">
        <v>3789</v>
      </c>
      <c r="F793" s="162">
        <v>3450</v>
      </c>
      <c r="G793" s="162">
        <v>1</v>
      </c>
    </row>
    <row r="794" spans="2:7">
      <c r="B794" s="162" t="s">
        <v>675</v>
      </c>
      <c r="C794" s="162" t="s">
        <v>3790</v>
      </c>
      <c r="D794" s="162" t="s">
        <v>3791</v>
      </c>
      <c r="F794" s="162">
        <v>20</v>
      </c>
      <c r="G794" s="162">
        <v>1</v>
      </c>
    </row>
    <row r="795" spans="2:7">
      <c r="B795" s="162" t="s">
        <v>675</v>
      </c>
      <c r="C795" s="162" t="s">
        <v>3792</v>
      </c>
      <c r="D795" s="162" t="s">
        <v>3793</v>
      </c>
      <c r="F795" s="162">
        <v>59</v>
      </c>
      <c r="G795" s="162">
        <v>1</v>
      </c>
    </row>
    <row r="796" spans="2:7">
      <c r="B796" s="162" t="s">
        <v>675</v>
      </c>
      <c r="C796" s="162" t="s">
        <v>3794</v>
      </c>
      <c r="D796" s="162" t="s">
        <v>3795</v>
      </c>
      <c r="F796" s="162">
        <v>69</v>
      </c>
      <c r="G796" s="162">
        <v>1</v>
      </c>
    </row>
    <row r="797" spans="2:7">
      <c r="B797" s="162" t="s">
        <v>675</v>
      </c>
      <c r="C797" s="162" t="s">
        <v>3796</v>
      </c>
      <c r="D797" s="162" t="s">
        <v>3797</v>
      </c>
      <c r="F797" s="162">
        <v>79</v>
      </c>
      <c r="G797" s="162">
        <v>1</v>
      </c>
    </row>
    <row r="798" spans="2:7" ht="28.8">
      <c r="B798" s="162" t="s">
        <v>675</v>
      </c>
      <c r="C798" s="162" t="s">
        <v>3798</v>
      </c>
      <c r="D798" s="162" t="s">
        <v>3799</v>
      </c>
      <c r="F798" s="162">
        <v>130</v>
      </c>
      <c r="G798" s="162">
        <v>1</v>
      </c>
    </row>
    <row r="799" spans="2:7">
      <c r="B799" s="162" t="s">
        <v>675</v>
      </c>
      <c r="C799" s="162" t="s">
        <v>3800</v>
      </c>
      <c r="D799" s="162" t="s">
        <v>3801</v>
      </c>
      <c r="F799" s="162">
        <v>89</v>
      </c>
      <c r="G799" s="162">
        <v>1</v>
      </c>
    </row>
    <row r="800" spans="2:7" ht="43.2">
      <c r="B800" s="162" t="s">
        <v>675</v>
      </c>
      <c r="C800" s="162" t="s">
        <v>3802</v>
      </c>
      <c r="D800" s="162" t="s">
        <v>3803</v>
      </c>
      <c r="F800" s="162">
        <v>275</v>
      </c>
      <c r="G800" s="162">
        <v>1</v>
      </c>
    </row>
    <row r="801" spans="2:7" ht="57.6">
      <c r="B801" s="162" t="s">
        <v>675</v>
      </c>
      <c r="C801" s="162" t="s">
        <v>3804</v>
      </c>
      <c r="D801" s="162" t="s">
        <v>3805</v>
      </c>
      <c r="F801" s="162">
        <v>350</v>
      </c>
      <c r="G801" s="162">
        <v>1</v>
      </c>
    </row>
    <row r="802" spans="2:7" ht="28.8">
      <c r="B802" s="162" t="s">
        <v>675</v>
      </c>
      <c r="C802" s="162" t="s">
        <v>3806</v>
      </c>
      <c r="D802" s="162" t="s">
        <v>3807</v>
      </c>
      <c r="E802" s="162" t="s">
        <v>3808</v>
      </c>
      <c r="F802" s="162">
        <v>22800</v>
      </c>
      <c r="G802" s="162">
        <v>1</v>
      </c>
    </row>
    <row r="803" spans="2:7" ht="28.8">
      <c r="B803" s="162" t="s">
        <v>675</v>
      </c>
      <c r="C803" s="162" t="s">
        <v>3809</v>
      </c>
      <c r="D803" s="162" t="s">
        <v>3810</v>
      </c>
      <c r="E803" s="162" t="s">
        <v>3811</v>
      </c>
      <c r="F803" s="162">
        <v>23400</v>
      </c>
      <c r="G803" s="162">
        <v>1</v>
      </c>
    </row>
    <row r="804" spans="2:7" ht="28.8">
      <c r="B804" s="162" t="s">
        <v>675</v>
      </c>
      <c r="C804" s="162" t="s">
        <v>3812</v>
      </c>
      <c r="D804" s="162" t="s">
        <v>3813</v>
      </c>
      <c r="E804" s="162" t="s">
        <v>3814</v>
      </c>
      <c r="F804" s="162">
        <v>30500</v>
      </c>
      <c r="G804" s="162">
        <v>1</v>
      </c>
    </row>
    <row r="805" spans="2:7" ht="28.8">
      <c r="B805" s="162" t="s">
        <v>675</v>
      </c>
      <c r="C805" s="162" t="s">
        <v>3815</v>
      </c>
      <c r="D805" s="162" t="s">
        <v>3816</v>
      </c>
      <c r="E805" s="162" t="s">
        <v>3817</v>
      </c>
      <c r="F805" s="162">
        <v>32900</v>
      </c>
      <c r="G805" s="162">
        <v>1</v>
      </c>
    </row>
    <row r="806" spans="2:7" ht="28.8">
      <c r="B806" s="162" t="s">
        <v>675</v>
      </c>
      <c r="C806" s="162" t="s">
        <v>3818</v>
      </c>
      <c r="D806" s="162" t="s">
        <v>3819</v>
      </c>
      <c r="E806" s="162" t="s">
        <v>3820</v>
      </c>
      <c r="F806" s="162">
        <v>28200</v>
      </c>
      <c r="G806" s="162">
        <v>1</v>
      </c>
    </row>
    <row r="807" spans="2:7" ht="28.8">
      <c r="B807" s="162" t="s">
        <v>675</v>
      </c>
      <c r="C807" s="162" t="s">
        <v>3821</v>
      </c>
      <c r="D807" s="162" t="s">
        <v>3822</v>
      </c>
      <c r="E807" s="162" t="s">
        <v>3808</v>
      </c>
      <c r="F807" s="162">
        <v>22800</v>
      </c>
      <c r="G807" s="162">
        <v>1</v>
      </c>
    </row>
    <row r="808" spans="2:7" ht="28.8">
      <c r="B808" s="162" t="s">
        <v>675</v>
      </c>
      <c r="C808" s="162" t="s">
        <v>3823</v>
      </c>
      <c r="D808" s="162" t="s">
        <v>3824</v>
      </c>
      <c r="E808" s="162" t="s">
        <v>3811</v>
      </c>
      <c r="F808" s="162">
        <v>23400</v>
      </c>
      <c r="G808" s="162">
        <v>1</v>
      </c>
    </row>
    <row r="809" spans="2:7" ht="28.8">
      <c r="B809" s="162" t="s">
        <v>675</v>
      </c>
      <c r="C809" s="162" t="s">
        <v>3825</v>
      </c>
      <c r="D809" s="162" t="s">
        <v>3826</v>
      </c>
      <c r="E809" s="162" t="s">
        <v>3814</v>
      </c>
      <c r="F809" s="162">
        <v>30500</v>
      </c>
      <c r="G809" s="162">
        <v>1</v>
      </c>
    </row>
    <row r="810" spans="2:7" ht="28.8">
      <c r="B810" s="162" t="s">
        <v>675</v>
      </c>
      <c r="C810" s="162" t="s">
        <v>3827</v>
      </c>
      <c r="D810" s="162" t="s">
        <v>3828</v>
      </c>
      <c r="E810" s="162" t="s">
        <v>3817</v>
      </c>
      <c r="F810" s="162">
        <v>32900</v>
      </c>
      <c r="G810" s="162">
        <v>1</v>
      </c>
    </row>
    <row r="811" spans="2:7" ht="28.8">
      <c r="B811" s="162" t="s">
        <v>675</v>
      </c>
      <c r="C811" s="162" t="s">
        <v>3829</v>
      </c>
      <c r="D811" s="162" t="s">
        <v>3830</v>
      </c>
      <c r="E811" s="162" t="s">
        <v>3820</v>
      </c>
      <c r="F811" s="162">
        <v>28200</v>
      </c>
      <c r="G811" s="162">
        <v>1</v>
      </c>
    </row>
    <row r="812" spans="2:7" ht="43.2">
      <c r="B812" s="162" t="s">
        <v>675</v>
      </c>
      <c r="C812" s="162" t="s">
        <v>3831</v>
      </c>
      <c r="D812" s="162" t="s">
        <v>3832</v>
      </c>
      <c r="E812" s="162" t="s">
        <v>3833</v>
      </c>
      <c r="F812" s="162">
        <v>191800</v>
      </c>
      <c r="G812" s="162">
        <v>1</v>
      </c>
    </row>
    <row r="813" spans="2:7" ht="43.2">
      <c r="B813" s="162" t="s">
        <v>675</v>
      </c>
      <c r="C813" s="162" t="s">
        <v>3834</v>
      </c>
      <c r="D813" s="162" t="s">
        <v>3835</v>
      </c>
      <c r="E813" s="162" t="s">
        <v>3836</v>
      </c>
      <c r="F813" s="162">
        <v>9730</v>
      </c>
      <c r="G813" s="162">
        <v>1</v>
      </c>
    </row>
    <row r="814" spans="2:7" ht="43.2">
      <c r="B814" s="162" t="s">
        <v>675</v>
      </c>
      <c r="C814" s="162" t="s">
        <v>3837</v>
      </c>
      <c r="D814" s="162" t="s">
        <v>3838</v>
      </c>
      <c r="E814" s="162" t="s">
        <v>3839</v>
      </c>
      <c r="F814" s="162">
        <v>155200</v>
      </c>
      <c r="G814" s="162">
        <v>1</v>
      </c>
    </row>
    <row r="815" spans="2:7" ht="43.2">
      <c r="B815" s="162" t="s">
        <v>675</v>
      </c>
      <c r="C815" s="162" t="s">
        <v>3840</v>
      </c>
      <c r="D815" s="162" t="s">
        <v>3841</v>
      </c>
      <c r="E815" s="162" t="s">
        <v>3842</v>
      </c>
      <c r="F815" s="162">
        <v>9730</v>
      </c>
      <c r="G815" s="162">
        <v>1</v>
      </c>
    </row>
    <row r="816" spans="2:7" ht="43.2">
      <c r="B816" s="162" t="s">
        <v>675</v>
      </c>
      <c r="C816" s="162" t="s">
        <v>3843</v>
      </c>
      <c r="D816" s="162" t="s">
        <v>3844</v>
      </c>
      <c r="E816" s="162" t="s">
        <v>3845</v>
      </c>
      <c r="F816" s="162">
        <v>208700</v>
      </c>
      <c r="G816" s="162">
        <v>1</v>
      </c>
    </row>
    <row r="817" spans="2:7" ht="43.2">
      <c r="B817" s="162" t="s">
        <v>675</v>
      </c>
      <c r="C817" s="162" t="s">
        <v>3846</v>
      </c>
      <c r="D817" s="162" t="s">
        <v>3847</v>
      </c>
      <c r="E817" s="162" t="s">
        <v>3848</v>
      </c>
      <c r="F817" s="162">
        <v>9730</v>
      </c>
      <c r="G817" s="162">
        <v>1</v>
      </c>
    </row>
    <row r="818" spans="2:7" ht="43.2">
      <c r="B818" s="162" t="s">
        <v>675</v>
      </c>
      <c r="C818" s="162" t="s">
        <v>3849</v>
      </c>
      <c r="D818" s="162" t="s">
        <v>3850</v>
      </c>
      <c r="E818" s="162" t="s">
        <v>3851</v>
      </c>
      <c r="F818" s="162">
        <v>327200</v>
      </c>
      <c r="G818" s="162">
        <v>1</v>
      </c>
    </row>
    <row r="819" spans="2:7" ht="43.2">
      <c r="B819" s="162" t="s">
        <v>675</v>
      </c>
      <c r="C819" s="162" t="s">
        <v>3852</v>
      </c>
      <c r="D819" s="162" t="s">
        <v>3853</v>
      </c>
      <c r="E819" s="162" t="s">
        <v>3854</v>
      </c>
      <c r="F819" s="162">
        <v>9730</v>
      </c>
      <c r="G819" s="162">
        <v>1</v>
      </c>
    </row>
    <row r="820" spans="2:7" ht="43.2">
      <c r="B820" s="162" t="s">
        <v>675</v>
      </c>
      <c r="C820" s="162" t="s">
        <v>3855</v>
      </c>
      <c r="D820" s="162" t="s">
        <v>3856</v>
      </c>
      <c r="E820" s="162" t="s">
        <v>3857</v>
      </c>
      <c r="F820" s="162">
        <v>1870</v>
      </c>
      <c r="G820" s="162">
        <v>1</v>
      </c>
    </row>
    <row r="821" spans="2:7" ht="57.6">
      <c r="B821" s="162" t="s">
        <v>675</v>
      </c>
      <c r="C821" s="162" t="s">
        <v>3858</v>
      </c>
      <c r="D821" s="162" t="s">
        <v>3859</v>
      </c>
      <c r="E821" s="162" t="s">
        <v>3860</v>
      </c>
      <c r="F821" s="162">
        <v>13000</v>
      </c>
      <c r="G821" s="162">
        <v>1</v>
      </c>
    </row>
    <row r="822" spans="2:7" ht="57.6">
      <c r="B822" s="162" t="s">
        <v>675</v>
      </c>
      <c r="C822" s="162" t="s">
        <v>3861</v>
      </c>
      <c r="D822" s="162" t="s">
        <v>3862</v>
      </c>
      <c r="E822" s="162" t="s">
        <v>3863</v>
      </c>
      <c r="F822" s="162">
        <v>27700</v>
      </c>
      <c r="G822" s="162">
        <v>1</v>
      </c>
    </row>
    <row r="823" spans="2:7" ht="43.2">
      <c r="B823" s="162" t="s">
        <v>675</v>
      </c>
      <c r="C823" s="162" t="s">
        <v>3864</v>
      </c>
      <c r="D823" s="162" t="s">
        <v>3865</v>
      </c>
      <c r="E823" s="162" t="s">
        <v>3866</v>
      </c>
      <c r="G823" s="162">
        <v>1</v>
      </c>
    </row>
    <row r="824" spans="2:7" ht="43.2">
      <c r="B824" s="162" t="s">
        <v>675</v>
      </c>
      <c r="C824" s="162" t="s">
        <v>3867</v>
      </c>
      <c r="D824" s="162" t="s">
        <v>3868</v>
      </c>
      <c r="E824" s="162" t="s">
        <v>3869</v>
      </c>
      <c r="F824" s="162">
        <v>225700</v>
      </c>
      <c r="G824" s="162">
        <v>1</v>
      </c>
    </row>
    <row r="825" spans="2:7" ht="86.4">
      <c r="B825" s="162" t="s">
        <v>675</v>
      </c>
      <c r="C825" s="162" t="s">
        <v>3870</v>
      </c>
      <c r="D825" s="162" t="s">
        <v>3871</v>
      </c>
      <c r="E825" s="162" t="s">
        <v>3872</v>
      </c>
      <c r="F825" s="162">
        <v>237000</v>
      </c>
      <c r="G825" s="162">
        <v>1</v>
      </c>
    </row>
    <row r="826" spans="2:7" ht="86.4">
      <c r="B826" s="162" t="s">
        <v>675</v>
      </c>
      <c r="C826" s="162" t="s">
        <v>3873</v>
      </c>
      <c r="D826" s="162" t="s">
        <v>3874</v>
      </c>
      <c r="E826" s="162" t="s">
        <v>3875</v>
      </c>
      <c r="F826" s="162">
        <v>276400</v>
      </c>
      <c r="G826" s="162">
        <v>1</v>
      </c>
    </row>
    <row r="827" spans="2:7" ht="86.4">
      <c r="B827" s="162" t="s">
        <v>675</v>
      </c>
      <c r="C827" s="162" t="s">
        <v>3876</v>
      </c>
      <c r="D827" s="162" t="s">
        <v>3877</v>
      </c>
      <c r="E827" s="162" t="s">
        <v>3878</v>
      </c>
      <c r="F827" s="162">
        <v>253900</v>
      </c>
      <c r="G827" s="162">
        <v>1</v>
      </c>
    </row>
    <row r="828" spans="2:7" ht="86.4">
      <c r="B828" s="162" t="s">
        <v>675</v>
      </c>
      <c r="C828" s="162" t="s">
        <v>3879</v>
      </c>
      <c r="D828" s="162" t="s">
        <v>3880</v>
      </c>
      <c r="E828" s="162" t="s">
        <v>3881</v>
      </c>
      <c r="F828" s="162">
        <v>293400</v>
      </c>
      <c r="G828" s="162">
        <v>1</v>
      </c>
    </row>
    <row r="829" spans="2:7" ht="86.4">
      <c r="B829" s="162" t="s">
        <v>675</v>
      </c>
      <c r="C829" s="162" t="s">
        <v>3882</v>
      </c>
      <c r="D829" s="162" t="s">
        <v>3883</v>
      </c>
      <c r="E829" s="162" t="s">
        <v>3884</v>
      </c>
      <c r="F829" s="162">
        <v>273600</v>
      </c>
      <c r="G829" s="162">
        <v>1</v>
      </c>
    </row>
    <row r="830" spans="2:7" ht="86.4">
      <c r="B830" s="162" t="s">
        <v>675</v>
      </c>
      <c r="C830" s="162" t="s">
        <v>3885</v>
      </c>
      <c r="D830" s="162" t="s">
        <v>3886</v>
      </c>
      <c r="E830" s="162" t="s">
        <v>3887</v>
      </c>
      <c r="F830" s="162">
        <v>313100</v>
      </c>
      <c r="G830" s="162">
        <v>1</v>
      </c>
    </row>
    <row r="831" spans="2:7" ht="72">
      <c r="B831" s="162" t="s">
        <v>675</v>
      </c>
      <c r="C831" s="162" t="s">
        <v>3888</v>
      </c>
      <c r="D831" s="162" t="s">
        <v>3889</v>
      </c>
      <c r="E831" s="162" t="s">
        <v>3890</v>
      </c>
      <c r="F831" s="162">
        <v>245400</v>
      </c>
      <c r="G831" s="162">
        <v>1</v>
      </c>
    </row>
    <row r="832" spans="2:7" ht="72">
      <c r="B832" s="162" t="s">
        <v>675</v>
      </c>
      <c r="C832" s="162" t="s">
        <v>3891</v>
      </c>
      <c r="D832" s="162" t="s">
        <v>3892</v>
      </c>
      <c r="E832" s="162" t="s">
        <v>3893</v>
      </c>
      <c r="F832" s="162">
        <v>259500</v>
      </c>
      <c r="G832" s="162">
        <v>1</v>
      </c>
    </row>
    <row r="833" spans="2:7" ht="86.4">
      <c r="B833" s="162" t="s">
        <v>675</v>
      </c>
      <c r="C833" s="162" t="s">
        <v>3894</v>
      </c>
      <c r="D833" s="162" t="s">
        <v>3895</v>
      </c>
      <c r="E833" s="162" t="s">
        <v>3896</v>
      </c>
      <c r="F833" s="162">
        <v>400500</v>
      </c>
      <c r="G833" s="162">
        <v>1</v>
      </c>
    </row>
    <row r="834" spans="2:7" ht="86.4">
      <c r="B834" s="162" t="s">
        <v>675</v>
      </c>
      <c r="C834" s="162" t="s">
        <v>3897</v>
      </c>
      <c r="D834" s="162" t="s">
        <v>3898</v>
      </c>
      <c r="E834" s="162" t="s">
        <v>3899</v>
      </c>
      <c r="F834" s="162">
        <v>434400</v>
      </c>
      <c r="G834" s="162">
        <v>1</v>
      </c>
    </row>
    <row r="835" spans="2:7" ht="86.4">
      <c r="B835" s="162" t="s">
        <v>675</v>
      </c>
      <c r="C835" s="162" t="s">
        <v>3900</v>
      </c>
      <c r="D835" s="162" t="s">
        <v>3901</v>
      </c>
      <c r="E835" s="162" t="s">
        <v>3902</v>
      </c>
      <c r="F835" s="162">
        <v>456900</v>
      </c>
      <c r="G835" s="162">
        <v>1</v>
      </c>
    </row>
    <row r="836" spans="2:7" ht="86.4">
      <c r="B836" s="162" t="s">
        <v>675</v>
      </c>
      <c r="C836" s="162" t="s">
        <v>3903</v>
      </c>
      <c r="D836" s="162" t="s">
        <v>3904</v>
      </c>
      <c r="E836" s="162" t="s">
        <v>3905</v>
      </c>
      <c r="F836" s="162">
        <v>490800</v>
      </c>
      <c r="G836" s="162">
        <v>1</v>
      </c>
    </row>
    <row r="837" spans="2:7" ht="28.8">
      <c r="B837" s="162" t="s">
        <v>675</v>
      </c>
      <c r="C837" s="162" t="s">
        <v>3906</v>
      </c>
      <c r="D837" s="162" t="s">
        <v>3907</v>
      </c>
      <c r="E837" s="162" t="s">
        <v>3908</v>
      </c>
      <c r="F837" s="162">
        <v>17400</v>
      </c>
      <c r="G837" s="162">
        <v>1</v>
      </c>
    </row>
    <row r="838" spans="2:7" ht="28.8">
      <c r="B838" s="162" t="s">
        <v>675</v>
      </c>
      <c r="C838" s="162" t="s">
        <v>3909</v>
      </c>
      <c r="D838" s="162" t="s">
        <v>3910</v>
      </c>
      <c r="E838" s="162" t="s">
        <v>3911</v>
      </c>
      <c r="F838" s="162">
        <v>58600</v>
      </c>
      <c r="G838" s="162">
        <v>1</v>
      </c>
    </row>
    <row r="839" spans="2:7" ht="43.2">
      <c r="B839" s="162" t="s">
        <v>675</v>
      </c>
      <c r="C839" s="162" t="s">
        <v>3855</v>
      </c>
      <c r="D839" s="162" t="s">
        <v>3856</v>
      </c>
      <c r="E839" s="162" t="s">
        <v>3857</v>
      </c>
      <c r="F839" s="162">
        <v>1870</v>
      </c>
      <c r="G839" s="162">
        <v>1</v>
      </c>
    </row>
    <row r="840" spans="2:7" ht="57.6">
      <c r="B840" s="162" t="s">
        <v>675</v>
      </c>
      <c r="C840" s="162" t="s">
        <v>3861</v>
      </c>
      <c r="D840" s="162" t="s">
        <v>3912</v>
      </c>
      <c r="E840" s="162" t="s">
        <v>3863</v>
      </c>
      <c r="F840" s="162">
        <v>27700</v>
      </c>
      <c r="G840" s="162">
        <v>1</v>
      </c>
    </row>
    <row r="841" spans="2:7" ht="57.6">
      <c r="B841" s="162" t="s">
        <v>675</v>
      </c>
      <c r="C841" s="162" t="s">
        <v>3913</v>
      </c>
      <c r="D841" s="162" t="s">
        <v>3914</v>
      </c>
      <c r="E841" s="162" t="s">
        <v>3915</v>
      </c>
      <c r="F841" s="162">
        <v>31600</v>
      </c>
      <c r="G841" s="162">
        <v>1</v>
      </c>
    </row>
    <row r="842" spans="2:7" ht="43.2">
      <c r="B842" s="162" t="s">
        <v>675</v>
      </c>
      <c r="C842" s="162" t="s">
        <v>3916</v>
      </c>
      <c r="D842" s="162" t="s">
        <v>3917</v>
      </c>
      <c r="E842" s="162" t="s">
        <v>3918</v>
      </c>
      <c r="F842" s="162">
        <v>70</v>
      </c>
      <c r="G842" s="162">
        <v>1</v>
      </c>
    </row>
    <row r="843" spans="2:7" ht="28.8">
      <c r="B843" s="162" t="s">
        <v>675</v>
      </c>
      <c r="C843" s="162" t="s">
        <v>3919</v>
      </c>
      <c r="D843" s="162" t="s">
        <v>3920</v>
      </c>
      <c r="E843" s="162" t="s">
        <v>3921</v>
      </c>
      <c r="F843" s="162">
        <v>650</v>
      </c>
      <c r="G843" s="162">
        <v>1</v>
      </c>
    </row>
    <row r="844" spans="2:7" ht="57.6">
      <c r="B844" s="162" t="s">
        <v>675</v>
      </c>
      <c r="C844" s="162" t="s">
        <v>3922</v>
      </c>
      <c r="D844" s="162" t="s">
        <v>3923</v>
      </c>
      <c r="E844" s="162" t="s">
        <v>3924</v>
      </c>
      <c r="F844" s="162">
        <v>3530</v>
      </c>
      <c r="G844" s="162">
        <v>1</v>
      </c>
    </row>
    <row r="845" spans="2:7" ht="57.6">
      <c r="B845" s="162" t="s">
        <v>675</v>
      </c>
      <c r="C845" s="162" t="s">
        <v>3925</v>
      </c>
      <c r="D845" s="162" t="s">
        <v>3926</v>
      </c>
      <c r="E845" s="162" t="s">
        <v>3927</v>
      </c>
      <c r="F845" s="162">
        <v>110</v>
      </c>
      <c r="G845" s="162">
        <v>1</v>
      </c>
    </row>
    <row r="846" spans="2:7" ht="28.8">
      <c r="B846" s="162" t="s">
        <v>675</v>
      </c>
      <c r="C846" s="162" t="s">
        <v>3928</v>
      </c>
      <c r="D846" s="162" t="s">
        <v>3929</v>
      </c>
      <c r="E846" s="162" t="s">
        <v>3930</v>
      </c>
      <c r="F846" s="162">
        <v>340</v>
      </c>
      <c r="G846" s="162">
        <v>1</v>
      </c>
    </row>
    <row r="847" spans="2:7" ht="28.8">
      <c r="B847" s="162" t="s">
        <v>675</v>
      </c>
      <c r="C847" s="162" t="s">
        <v>3931</v>
      </c>
      <c r="D847" s="162" t="s">
        <v>3932</v>
      </c>
      <c r="E847" s="162" t="s">
        <v>3933</v>
      </c>
      <c r="F847" s="162">
        <v>1070</v>
      </c>
      <c r="G847" s="162">
        <v>1</v>
      </c>
    </row>
    <row r="848" spans="2:7" ht="43.2">
      <c r="B848" s="162" t="s">
        <v>675</v>
      </c>
      <c r="C848" s="162" t="s">
        <v>3934</v>
      </c>
      <c r="D848" s="162" t="s">
        <v>3935</v>
      </c>
      <c r="E848" s="162" t="s">
        <v>3936</v>
      </c>
      <c r="F848" s="162">
        <v>450</v>
      </c>
      <c r="G848" s="162">
        <v>1</v>
      </c>
    </row>
    <row r="849" spans="2:7" ht="43.2">
      <c r="B849" s="162" t="s">
        <v>675</v>
      </c>
      <c r="C849" s="162" t="s">
        <v>3937</v>
      </c>
      <c r="D849" s="162" t="s">
        <v>3938</v>
      </c>
      <c r="E849" s="162" t="s">
        <v>3939</v>
      </c>
      <c r="F849" s="162">
        <v>380</v>
      </c>
      <c r="G849" s="162">
        <v>1</v>
      </c>
    </row>
    <row r="850" spans="2:7">
      <c r="B850" s="162" t="s">
        <v>675</v>
      </c>
      <c r="C850" s="162" t="s">
        <v>3940</v>
      </c>
      <c r="D850" s="162" t="s">
        <v>3941</v>
      </c>
      <c r="E850" s="162" t="s">
        <v>3942</v>
      </c>
      <c r="F850" s="162">
        <v>100</v>
      </c>
      <c r="G850" s="162">
        <v>1</v>
      </c>
    </row>
    <row r="851" spans="2:7" ht="28.8">
      <c r="B851" s="162" t="s">
        <v>675</v>
      </c>
      <c r="C851" s="162" t="s">
        <v>3943</v>
      </c>
      <c r="D851" s="162" t="s">
        <v>3944</v>
      </c>
      <c r="E851" s="162" t="s">
        <v>3945</v>
      </c>
      <c r="F851" s="162">
        <v>80</v>
      </c>
      <c r="G851" s="162">
        <v>1</v>
      </c>
    </row>
    <row r="852" spans="2:7" ht="43.2">
      <c r="B852" s="162" t="s">
        <v>675</v>
      </c>
      <c r="C852" s="162" t="s">
        <v>3946</v>
      </c>
      <c r="D852" s="162" t="s">
        <v>3947</v>
      </c>
      <c r="E852" s="162" t="s">
        <v>3948</v>
      </c>
      <c r="F852" s="162">
        <v>1360</v>
      </c>
      <c r="G852" s="162">
        <v>1</v>
      </c>
    </row>
    <row r="853" spans="2:7" ht="28.8">
      <c r="B853" s="162" t="s">
        <v>675</v>
      </c>
      <c r="C853" s="162" t="s">
        <v>3949</v>
      </c>
      <c r="D853" s="162" t="s">
        <v>3950</v>
      </c>
      <c r="E853" s="162" t="s">
        <v>3951</v>
      </c>
      <c r="F853" s="162">
        <v>70</v>
      </c>
      <c r="G853" s="162">
        <v>1</v>
      </c>
    </row>
    <row r="854" spans="2:7" ht="28.8">
      <c r="B854" s="162" t="s">
        <v>675</v>
      </c>
      <c r="C854" s="162" t="s">
        <v>3952</v>
      </c>
      <c r="D854" s="162" t="s">
        <v>3953</v>
      </c>
      <c r="E854" s="162" t="s">
        <v>3954</v>
      </c>
      <c r="F854" s="162">
        <v>80</v>
      </c>
      <c r="G854" s="162">
        <v>1</v>
      </c>
    </row>
    <row r="855" spans="2:7" ht="57.6">
      <c r="B855" s="162" t="s">
        <v>675</v>
      </c>
      <c r="C855" s="162" t="s">
        <v>3955</v>
      </c>
      <c r="D855" s="162" t="s">
        <v>3956</v>
      </c>
      <c r="E855" s="162" t="s">
        <v>3957</v>
      </c>
      <c r="F855" s="162">
        <v>880</v>
      </c>
      <c r="G855" s="162">
        <v>1</v>
      </c>
    </row>
    <row r="856" spans="2:7" ht="28.8">
      <c r="B856" s="162" t="s">
        <v>675</v>
      </c>
      <c r="C856" s="162" t="s">
        <v>3958</v>
      </c>
      <c r="D856" s="162" t="s">
        <v>3959</v>
      </c>
      <c r="E856" s="162" t="s">
        <v>3960</v>
      </c>
      <c r="F856" s="162">
        <v>90</v>
      </c>
      <c r="G856" s="162">
        <v>1</v>
      </c>
    </row>
    <row r="857" spans="2:7" ht="57.6">
      <c r="B857" s="162" t="s">
        <v>675</v>
      </c>
      <c r="C857" s="162" t="s">
        <v>3961</v>
      </c>
      <c r="D857" s="162" t="s">
        <v>3962</v>
      </c>
      <c r="E857" s="162" t="s">
        <v>3963</v>
      </c>
      <c r="F857" s="162">
        <v>170</v>
      </c>
      <c r="G857" s="162">
        <v>1</v>
      </c>
    </row>
    <row r="858" spans="2:7" ht="28.8">
      <c r="B858" s="162" t="s">
        <v>675</v>
      </c>
      <c r="C858" s="162" t="s">
        <v>3964</v>
      </c>
      <c r="D858" s="162" t="s">
        <v>3965</v>
      </c>
      <c r="E858" s="162" t="s">
        <v>3966</v>
      </c>
      <c r="F858" s="162">
        <v>14700</v>
      </c>
      <c r="G858" s="162">
        <v>1</v>
      </c>
    </row>
    <row r="859" spans="2:7">
      <c r="B859" s="162" t="s">
        <v>675</v>
      </c>
      <c r="C859" s="162" t="s">
        <v>3967</v>
      </c>
      <c r="D859" s="162" t="s">
        <v>3968</v>
      </c>
      <c r="F859" s="162">
        <v>18400</v>
      </c>
      <c r="G859" s="162">
        <v>1</v>
      </c>
    </row>
    <row r="860" spans="2:7">
      <c r="B860" s="162" t="s">
        <v>675</v>
      </c>
      <c r="C860" s="162" t="s">
        <v>3969</v>
      </c>
      <c r="D860" s="162" t="s">
        <v>3970</v>
      </c>
      <c r="F860" s="162">
        <v>21500</v>
      </c>
      <c r="G860" s="162">
        <v>1</v>
      </c>
    </row>
    <row r="861" spans="2:7">
      <c r="B861" s="162" t="s">
        <v>675</v>
      </c>
      <c r="C861" s="162" t="s">
        <v>3971</v>
      </c>
      <c r="D861" s="162" t="s">
        <v>3972</v>
      </c>
      <c r="F861" s="162">
        <v>21500</v>
      </c>
      <c r="G861" s="162">
        <v>1</v>
      </c>
    </row>
    <row r="862" spans="2:7">
      <c r="B862" s="162" t="s">
        <v>675</v>
      </c>
      <c r="C862" s="162" t="s">
        <v>3973</v>
      </c>
      <c r="D862" s="162" t="s">
        <v>3974</v>
      </c>
      <c r="E862" s="162" t="s">
        <v>3975</v>
      </c>
      <c r="F862" s="162">
        <v>24600</v>
      </c>
      <c r="G862" s="162">
        <v>1</v>
      </c>
    </row>
    <row r="863" spans="2:7">
      <c r="B863" s="162" t="s">
        <v>675</v>
      </c>
      <c r="C863" s="162" t="s">
        <v>3976</v>
      </c>
      <c r="D863" s="162" t="s">
        <v>3977</v>
      </c>
      <c r="F863" s="162">
        <v>26100</v>
      </c>
      <c r="G863" s="162">
        <v>1</v>
      </c>
    </row>
    <row r="864" spans="2:7">
      <c r="B864" s="162" t="s">
        <v>675</v>
      </c>
      <c r="C864" s="162" t="s">
        <v>3978</v>
      </c>
      <c r="D864" s="162" t="s">
        <v>3979</v>
      </c>
      <c r="E864" s="162" t="s">
        <v>3975</v>
      </c>
      <c r="F864" s="162">
        <v>29900</v>
      </c>
      <c r="G864" s="162">
        <v>1</v>
      </c>
    </row>
    <row r="865" spans="2:7" ht="43.2">
      <c r="B865" s="162" t="s">
        <v>675</v>
      </c>
      <c r="C865" s="162" t="s">
        <v>3980</v>
      </c>
      <c r="D865" s="162" t="s">
        <v>3981</v>
      </c>
      <c r="E865" s="162" t="s">
        <v>3982</v>
      </c>
      <c r="F865" s="162">
        <v>7000</v>
      </c>
      <c r="G865" s="162">
        <v>1</v>
      </c>
    </row>
    <row r="866" spans="2:7" ht="43.2">
      <c r="B866" s="162" t="s">
        <v>675</v>
      </c>
      <c r="C866" s="162" t="s">
        <v>3983</v>
      </c>
      <c r="D866" s="162" t="s">
        <v>3984</v>
      </c>
      <c r="E866" s="162" t="s">
        <v>3985</v>
      </c>
      <c r="F866" s="162">
        <v>6300</v>
      </c>
      <c r="G866" s="162">
        <v>1</v>
      </c>
    </row>
    <row r="867" spans="2:7" ht="28.8">
      <c r="B867" s="162" t="s">
        <v>675</v>
      </c>
      <c r="C867" s="162" t="s">
        <v>3986</v>
      </c>
      <c r="D867" s="162" t="s">
        <v>3987</v>
      </c>
      <c r="E867" s="162" t="s">
        <v>3988</v>
      </c>
      <c r="F867" s="162">
        <v>2810</v>
      </c>
      <c r="G867" s="162">
        <v>1</v>
      </c>
    </row>
    <row r="868" spans="2:7" ht="28.8">
      <c r="B868" s="162" t="s">
        <v>675</v>
      </c>
      <c r="C868" s="162" t="s">
        <v>3989</v>
      </c>
      <c r="D868" s="162" t="s">
        <v>3990</v>
      </c>
      <c r="E868" s="162" t="s">
        <v>3988</v>
      </c>
      <c r="F868" s="162">
        <v>4200</v>
      </c>
      <c r="G868" s="162">
        <v>1</v>
      </c>
    </row>
    <row r="869" spans="2:7" ht="28.8">
      <c r="B869" s="162" t="s">
        <v>675</v>
      </c>
      <c r="C869" s="162" t="s">
        <v>3991</v>
      </c>
      <c r="D869" s="162" t="s">
        <v>3992</v>
      </c>
      <c r="E869" s="162" t="s">
        <v>3993</v>
      </c>
      <c r="F869" s="162">
        <v>4200</v>
      </c>
      <c r="G869" s="162">
        <v>1</v>
      </c>
    </row>
    <row r="870" spans="2:7" ht="28.8">
      <c r="B870" s="162" t="s">
        <v>675</v>
      </c>
      <c r="C870" s="162" t="s">
        <v>3994</v>
      </c>
      <c r="D870" s="162" t="s">
        <v>3995</v>
      </c>
      <c r="F870" s="162">
        <v>16800</v>
      </c>
      <c r="G870" s="162">
        <v>1</v>
      </c>
    </row>
    <row r="871" spans="2:7" ht="28.8">
      <c r="B871" s="162" t="s">
        <v>675</v>
      </c>
      <c r="C871" s="162" t="s">
        <v>3996</v>
      </c>
      <c r="D871" s="162" t="s">
        <v>3997</v>
      </c>
      <c r="E871" s="162" t="s">
        <v>3998</v>
      </c>
      <c r="F871" s="162">
        <v>20800</v>
      </c>
      <c r="G871" s="162">
        <v>1</v>
      </c>
    </row>
    <row r="872" spans="2:7">
      <c r="B872" s="162" t="s">
        <v>675</v>
      </c>
      <c r="C872" s="162" t="s">
        <v>3999</v>
      </c>
      <c r="D872" s="162" t="s">
        <v>4000</v>
      </c>
      <c r="E872" s="162" t="s">
        <v>4001</v>
      </c>
      <c r="F872" s="162">
        <v>21500</v>
      </c>
      <c r="G872" s="162">
        <v>1</v>
      </c>
    </row>
    <row r="873" spans="2:7" ht="43.2">
      <c r="B873" s="162" t="s">
        <v>675</v>
      </c>
      <c r="C873" s="162" t="s">
        <v>4002</v>
      </c>
      <c r="D873" s="162" t="s">
        <v>4003</v>
      </c>
      <c r="E873" s="162" t="s">
        <v>4004</v>
      </c>
      <c r="F873" s="162">
        <v>21700</v>
      </c>
      <c r="G873" s="162">
        <v>1</v>
      </c>
    </row>
    <row r="874" spans="2:7" ht="28.8">
      <c r="B874" s="162" t="s">
        <v>675</v>
      </c>
      <c r="C874" s="162" t="s">
        <v>4005</v>
      </c>
      <c r="D874" s="162" t="s">
        <v>4006</v>
      </c>
      <c r="E874" s="162" t="s">
        <v>4007</v>
      </c>
      <c r="F874" s="162">
        <v>4830</v>
      </c>
      <c r="G874" s="162">
        <v>1</v>
      </c>
    </row>
    <row r="875" spans="2:7" ht="43.2">
      <c r="B875" s="162" t="s">
        <v>675</v>
      </c>
      <c r="C875" s="162" t="s">
        <v>4008</v>
      </c>
      <c r="D875" s="162" t="s">
        <v>4009</v>
      </c>
      <c r="E875" s="162" t="s">
        <v>4010</v>
      </c>
      <c r="F875" s="162">
        <v>8080</v>
      </c>
      <c r="G875" s="162">
        <v>1</v>
      </c>
    </row>
    <row r="876" spans="2:7" ht="43.2">
      <c r="B876" s="162" t="s">
        <v>675</v>
      </c>
      <c r="C876" s="162" t="s">
        <v>4011</v>
      </c>
      <c r="D876" s="162" t="s">
        <v>4012</v>
      </c>
      <c r="E876" s="162" t="s">
        <v>4013</v>
      </c>
      <c r="F876" s="162">
        <v>35400</v>
      </c>
      <c r="G876" s="162">
        <v>1</v>
      </c>
    </row>
    <row r="877" spans="2:7" ht="43.2">
      <c r="B877" s="162" t="s">
        <v>675</v>
      </c>
      <c r="C877" s="162" t="s">
        <v>4014</v>
      </c>
      <c r="D877" s="162" t="s">
        <v>4015</v>
      </c>
      <c r="E877" s="162" t="s">
        <v>4016</v>
      </c>
      <c r="F877" s="162">
        <v>31600</v>
      </c>
      <c r="G877" s="162">
        <v>1</v>
      </c>
    </row>
    <row r="878" spans="2:7" ht="57.6">
      <c r="B878" s="162" t="s">
        <v>675</v>
      </c>
      <c r="C878" s="162" t="s">
        <v>4017</v>
      </c>
      <c r="D878" s="162" t="s">
        <v>4018</v>
      </c>
      <c r="E878" s="162" t="s">
        <v>4019</v>
      </c>
      <c r="F878" s="162">
        <v>17500</v>
      </c>
      <c r="G878" s="162">
        <v>1</v>
      </c>
    </row>
    <row r="879" spans="2:7" ht="28.8">
      <c r="B879" s="162" t="s">
        <v>675</v>
      </c>
      <c r="C879" s="162" t="s">
        <v>4020</v>
      </c>
      <c r="D879" s="162" t="s">
        <v>4021</v>
      </c>
      <c r="E879" s="162" t="s">
        <v>4022</v>
      </c>
      <c r="F879" s="162">
        <v>54600</v>
      </c>
      <c r="G879" s="162">
        <v>1</v>
      </c>
    </row>
    <row r="880" spans="2:7" ht="28.8">
      <c r="B880" s="162" t="s">
        <v>675</v>
      </c>
      <c r="C880" s="162" t="s">
        <v>4023</v>
      </c>
      <c r="D880" s="162" t="s">
        <v>4024</v>
      </c>
      <c r="E880" s="162" t="s">
        <v>4025</v>
      </c>
      <c r="F880" s="162">
        <v>50800</v>
      </c>
      <c r="G880" s="162">
        <v>1</v>
      </c>
    </row>
    <row r="881" spans="2:7" ht="43.2">
      <c r="B881" s="162" t="s">
        <v>675</v>
      </c>
      <c r="C881" s="162" t="s">
        <v>4026</v>
      </c>
      <c r="D881" s="162" t="s">
        <v>4027</v>
      </c>
      <c r="E881" s="162" t="s">
        <v>4028</v>
      </c>
      <c r="F881" s="162">
        <v>23000</v>
      </c>
      <c r="G881" s="162">
        <v>1</v>
      </c>
    </row>
    <row r="882" spans="2:7" ht="43.2">
      <c r="B882" s="162" t="s">
        <v>675</v>
      </c>
      <c r="C882" s="162" t="s">
        <v>4029</v>
      </c>
      <c r="D882" s="162" t="s">
        <v>4030</v>
      </c>
      <c r="E882" s="162" t="s">
        <v>4031</v>
      </c>
      <c r="F882" s="162">
        <v>26100</v>
      </c>
      <c r="G882" s="162">
        <v>1</v>
      </c>
    </row>
    <row r="883" spans="2:7" ht="43.2">
      <c r="B883" s="162" t="s">
        <v>675</v>
      </c>
      <c r="C883" s="162" t="s">
        <v>4032</v>
      </c>
      <c r="D883" s="162" t="s">
        <v>4033</v>
      </c>
      <c r="E883" s="162" t="s">
        <v>4034</v>
      </c>
      <c r="F883" s="162">
        <v>26100</v>
      </c>
      <c r="G883" s="162">
        <v>1</v>
      </c>
    </row>
    <row r="884" spans="2:7" ht="43.2">
      <c r="B884" s="162" t="s">
        <v>675</v>
      </c>
      <c r="C884" s="162" t="s">
        <v>4035</v>
      </c>
      <c r="D884" s="162" t="s">
        <v>4036</v>
      </c>
      <c r="E884" s="162" t="s">
        <v>4037</v>
      </c>
      <c r="F884" s="162">
        <v>29200</v>
      </c>
      <c r="G884" s="162">
        <v>1</v>
      </c>
    </row>
    <row r="885" spans="2:7" ht="43.2">
      <c r="B885" s="162" t="s">
        <v>675</v>
      </c>
      <c r="C885" s="162" t="s">
        <v>4038</v>
      </c>
      <c r="D885" s="162" t="s">
        <v>4039</v>
      </c>
      <c r="E885" s="162" t="s">
        <v>4040</v>
      </c>
      <c r="F885" s="162">
        <v>30700</v>
      </c>
      <c r="G885" s="162">
        <v>1</v>
      </c>
    </row>
    <row r="886" spans="2:7" ht="43.2">
      <c r="B886" s="162" t="s">
        <v>675</v>
      </c>
      <c r="C886" s="162" t="s">
        <v>4041</v>
      </c>
      <c r="D886" s="162" t="s">
        <v>4042</v>
      </c>
      <c r="E886" s="162" t="s">
        <v>4043</v>
      </c>
      <c r="F886" s="162">
        <v>34500</v>
      </c>
      <c r="G886" s="162">
        <v>1</v>
      </c>
    </row>
    <row r="887" spans="2:7">
      <c r="B887" s="162" t="s">
        <v>675</v>
      </c>
      <c r="C887" s="162" t="s">
        <v>4044</v>
      </c>
      <c r="D887" s="162" t="s">
        <v>4045</v>
      </c>
      <c r="F887" s="162">
        <v>3230</v>
      </c>
      <c r="G887" s="162">
        <v>1</v>
      </c>
    </row>
    <row r="888" spans="2:7" ht="28.8">
      <c r="B888" s="162" t="s">
        <v>675</v>
      </c>
      <c r="C888" s="162" t="s">
        <v>4046</v>
      </c>
      <c r="D888" s="162" t="s">
        <v>4047</v>
      </c>
      <c r="F888" s="162">
        <v>2390</v>
      </c>
      <c r="G888" s="162">
        <v>1</v>
      </c>
    </row>
    <row r="889" spans="2:7" ht="28.8">
      <c r="B889" s="162" t="s">
        <v>675</v>
      </c>
      <c r="C889" s="162" t="s">
        <v>4048</v>
      </c>
      <c r="D889" s="162" t="s">
        <v>4049</v>
      </c>
      <c r="E889" s="162" t="s">
        <v>4050</v>
      </c>
      <c r="F889" s="162">
        <v>1970</v>
      </c>
      <c r="G889" s="162">
        <v>1</v>
      </c>
    </row>
    <row r="890" spans="2:7" ht="28.8">
      <c r="B890" s="162" t="s">
        <v>675</v>
      </c>
      <c r="C890" s="162" t="s">
        <v>4051</v>
      </c>
      <c r="D890" s="162" t="s">
        <v>4052</v>
      </c>
      <c r="F890" s="162">
        <v>710</v>
      </c>
      <c r="G890" s="162">
        <v>1</v>
      </c>
    </row>
    <row r="891" spans="2:7" ht="43.2">
      <c r="B891" s="162" t="s">
        <v>675</v>
      </c>
      <c r="C891" s="162" t="s">
        <v>4053</v>
      </c>
      <c r="D891" s="162" t="s">
        <v>4054</v>
      </c>
      <c r="E891" s="162" t="s">
        <v>4055</v>
      </c>
      <c r="F891" s="162">
        <v>920</v>
      </c>
      <c r="G891" s="162">
        <v>1</v>
      </c>
    </row>
    <row r="892" spans="2:7" ht="43.2">
      <c r="B892" s="162" t="s">
        <v>675</v>
      </c>
      <c r="C892" s="162" t="s">
        <v>4056</v>
      </c>
      <c r="D892" s="162" t="s">
        <v>4057</v>
      </c>
      <c r="E892" s="162" t="s">
        <v>4058</v>
      </c>
      <c r="F892" s="162">
        <v>430</v>
      </c>
      <c r="G892" s="162">
        <v>1</v>
      </c>
    </row>
    <row r="893" spans="2:7">
      <c r="B893" s="162" t="s">
        <v>675</v>
      </c>
      <c r="C893" s="162" t="s">
        <v>4059</v>
      </c>
      <c r="D893" s="162" t="s">
        <v>4060</v>
      </c>
      <c r="E893" s="162" t="s">
        <v>4061</v>
      </c>
      <c r="F893" s="162">
        <v>70</v>
      </c>
      <c r="G893" s="162">
        <v>1</v>
      </c>
    </row>
    <row r="894" spans="2:7" ht="28.8">
      <c r="B894" s="162" t="s">
        <v>675</v>
      </c>
      <c r="C894" s="162" t="s">
        <v>4062</v>
      </c>
      <c r="D894" s="162" t="s">
        <v>4063</v>
      </c>
      <c r="E894" s="162" t="s">
        <v>4064</v>
      </c>
      <c r="F894" s="162">
        <v>40</v>
      </c>
      <c r="G894" s="162">
        <v>1</v>
      </c>
    </row>
    <row r="895" spans="2:7" ht="28.8">
      <c r="B895" s="162" t="s">
        <v>675</v>
      </c>
      <c r="C895" s="162" t="s">
        <v>4065</v>
      </c>
      <c r="D895" s="162" t="s">
        <v>4066</v>
      </c>
      <c r="F895" s="162">
        <v>130</v>
      </c>
      <c r="G895" s="162">
        <v>1</v>
      </c>
    </row>
    <row r="896" spans="2:7">
      <c r="B896" s="162" t="s">
        <v>675</v>
      </c>
      <c r="C896" s="162" t="s">
        <v>4067</v>
      </c>
      <c r="D896" s="162" t="s">
        <v>4068</v>
      </c>
      <c r="E896" s="162" t="s">
        <v>4069</v>
      </c>
      <c r="F896" s="162">
        <v>770</v>
      </c>
      <c r="G896" s="162">
        <v>1</v>
      </c>
    </row>
    <row r="897" spans="2:7">
      <c r="B897" s="162" t="s">
        <v>675</v>
      </c>
      <c r="C897" s="162" t="s">
        <v>4070</v>
      </c>
      <c r="D897" s="162" t="s">
        <v>4071</v>
      </c>
      <c r="E897" s="162" t="s">
        <v>4072</v>
      </c>
      <c r="F897" s="162">
        <v>1540</v>
      </c>
      <c r="G897" s="162">
        <v>1</v>
      </c>
    </row>
    <row r="898" spans="2:7">
      <c r="B898" s="162" t="s">
        <v>675</v>
      </c>
      <c r="C898" s="162" t="s">
        <v>4073</v>
      </c>
      <c r="D898" s="162" t="s">
        <v>4074</v>
      </c>
      <c r="E898" s="162" t="s">
        <v>4069</v>
      </c>
      <c r="F898" s="162">
        <v>1150</v>
      </c>
      <c r="G898" s="162">
        <v>1</v>
      </c>
    </row>
    <row r="899" spans="2:7">
      <c r="B899" s="162" t="s">
        <v>675</v>
      </c>
      <c r="C899" s="162" t="s">
        <v>4075</v>
      </c>
      <c r="D899" s="162" t="s">
        <v>4076</v>
      </c>
      <c r="E899" s="162" t="s">
        <v>4072</v>
      </c>
      <c r="F899" s="162">
        <v>2300</v>
      </c>
      <c r="G899" s="162">
        <v>1</v>
      </c>
    </row>
    <row r="900" spans="2:7">
      <c r="B900" s="162" t="s">
        <v>675</v>
      </c>
      <c r="C900" s="162" t="s">
        <v>4077</v>
      </c>
      <c r="D900" s="162" t="s">
        <v>4078</v>
      </c>
      <c r="E900" s="162" t="s">
        <v>4069</v>
      </c>
      <c r="F900" s="162">
        <v>1150</v>
      </c>
      <c r="G900" s="162">
        <v>1</v>
      </c>
    </row>
    <row r="901" spans="2:7">
      <c r="B901" s="162" t="s">
        <v>675</v>
      </c>
      <c r="C901" s="162" t="s">
        <v>4079</v>
      </c>
      <c r="D901" s="162" t="s">
        <v>4080</v>
      </c>
      <c r="E901" s="162" t="s">
        <v>4072</v>
      </c>
      <c r="F901" s="162">
        <v>2300</v>
      </c>
      <c r="G901" s="162">
        <v>1</v>
      </c>
    </row>
    <row r="902" spans="2:7">
      <c r="B902" s="162" t="s">
        <v>675</v>
      </c>
      <c r="C902" s="162" t="s">
        <v>4081</v>
      </c>
      <c r="D902" s="162" t="s">
        <v>4082</v>
      </c>
      <c r="E902" s="162" t="s">
        <v>4069</v>
      </c>
      <c r="F902" s="162">
        <v>1150</v>
      </c>
      <c r="G902" s="162">
        <v>1</v>
      </c>
    </row>
    <row r="903" spans="2:7">
      <c r="B903" s="162" t="s">
        <v>675</v>
      </c>
      <c r="C903" s="162" t="s">
        <v>4083</v>
      </c>
      <c r="D903" s="162" t="s">
        <v>4084</v>
      </c>
      <c r="E903" s="162" t="s">
        <v>4072</v>
      </c>
      <c r="F903" s="162">
        <v>2300</v>
      </c>
      <c r="G903" s="162">
        <v>1</v>
      </c>
    </row>
    <row r="904" spans="2:7">
      <c r="B904" s="162" t="s">
        <v>675</v>
      </c>
      <c r="C904" s="162" t="s">
        <v>4085</v>
      </c>
      <c r="D904" s="162" t="s">
        <v>4086</v>
      </c>
      <c r="E904" s="162" t="s">
        <v>4069</v>
      </c>
      <c r="F904" s="162">
        <v>1150</v>
      </c>
      <c r="G904" s="162">
        <v>1</v>
      </c>
    </row>
    <row r="905" spans="2:7">
      <c r="B905" s="162" t="s">
        <v>675</v>
      </c>
      <c r="C905" s="162" t="s">
        <v>4087</v>
      </c>
      <c r="D905" s="162" t="s">
        <v>4088</v>
      </c>
      <c r="E905" s="162" t="s">
        <v>4072</v>
      </c>
      <c r="F905" s="162">
        <v>2300</v>
      </c>
      <c r="G905" s="162">
        <v>1</v>
      </c>
    </row>
    <row r="906" spans="2:7">
      <c r="B906" s="162" t="s">
        <v>675</v>
      </c>
      <c r="C906" s="162" t="s">
        <v>4089</v>
      </c>
      <c r="D906" s="162" t="s">
        <v>4090</v>
      </c>
      <c r="E906" s="162" t="s">
        <v>4069</v>
      </c>
      <c r="F906" s="162">
        <v>1150</v>
      </c>
      <c r="G906" s="162">
        <v>1</v>
      </c>
    </row>
    <row r="907" spans="2:7">
      <c r="B907" s="162" t="s">
        <v>675</v>
      </c>
      <c r="C907" s="162" t="s">
        <v>4091</v>
      </c>
      <c r="D907" s="162" t="s">
        <v>4092</v>
      </c>
      <c r="E907" s="162" t="s">
        <v>4072</v>
      </c>
      <c r="F907" s="162">
        <v>2300</v>
      </c>
      <c r="G907" s="162">
        <v>1</v>
      </c>
    </row>
    <row r="908" spans="2:7">
      <c r="B908" s="162" t="s">
        <v>675</v>
      </c>
      <c r="C908" s="162" t="s">
        <v>4093</v>
      </c>
      <c r="D908" s="162" t="s">
        <v>4094</v>
      </c>
      <c r="E908" s="162" t="s">
        <v>4095</v>
      </c>
      <c r="F908" s="162">
        <v>620</v>
      </c>
      <c r="G908" s="162">
        <v>1</v>
      </c>
    </row>
    <row r="909" spans="2:7">
      <c r="B909" s="162" t="s">
        <v>675</v>
      </c>
      <c r="C909" s="162" t="s">
        <v>4096</v>
      </c>
      <c r="D909" s="162" t="s">
        <v>4097</v>
      </c>
      <c r="F909" s="162">
        <v>9030</v>
      </c>
      <c r="G909" s="162">
        <v>1</v>
      </c>
    </row>
    <row r="910" spans="2:7">
      <c r="B910" s="162" t="s">
        <v>675</v>
      </c>
      <c r="C910" s="162" t="s">
        <v>4098</v>
      </c>
      <c r="D910" s="162" t="s">
        <v>4099</v>
      </c>
      <c r="F910" s="162">
        <v>9030</v>
      </c>
      <c r="G910" s="162">
        <v>1</v>
      </c>
    </row>
    <row r="911" spans="2:7">
      <c r="B911" s="162" t="s">
        <v>675</v>
      </c>
      <c r="C911" s="162" t="s">
        <v>4100</v>
      </c>
      <c r="D911" s="162" t="s">
        <v>4101</v>
      </c>
      <c r="E911" s="162" t="s">
        <v>4102</v>
      </c>
      <c r="F911" s="162">
        <v>9030</v>
      </c>
      <c r="G911" s="162">
        <v>1</v>
      </c>
    </row>
    <row r="912" spans="2:7">
      <c r="B912" s="162" t="s">
        <v>675</v>
      </c>
      <c r="C912" s="162" t="s">
        <v>4103</v>
      </c>
      <c r="D912" s="162" t="s">
        <v>4104</v>
      </c>
      <c r="E912" s="162" t="s">
        <v>4102</v>
      </c>
      <c r="F912" s="162">
        <v>9030</v>
      </c>
      <c r="G912" s="162">
        <v>1</v>
      </c>
    </row>
    <row r="913" spans="2:7">
      <c r="B913" s="162" t="s">
        <v>675</v>
      </c>
      <c r="C913" s="162" t="s">
        <v>4105</v>
      </c>
      <c r="D913" s="162" t="s">
        <v>4106</v>
      </c>
      <c r="F913" s="162">
        <v>10720</v>
      </c>
      <c r="G913" s="162">
        <v>1</v>
      </c>
    </row>
    <row r="914" spans="2:7">
      <c r="B914" s="162" t="s">
        <v>675</v>
      </c>
      <c r="C914" s="162" t="s">
        <v>4107</v>
      </c>
      <c r="D914" s="162" t="s">
        <v>4108</v>
      </c>
      <c r="F914" s="162">
        <v>10720</v>
      </c>
      <c r="G914" s="162">
        <v>1</v>
      </c>
    </row>
    <row r="915" spans="2:7">
      <c r="B915" s="162" t="s">
        <v>675</v>
      </c>
      <c r="C915" s="162" t="s">
        <v>4109</v>
      </c>
      <c r="D915" s="162" t="s">
        <v>4110</v>
      </c>
      <c r="E915" s="162" t="s">
        <v>4102</v>
      </c>
      <c r="F915" s="162">
        <v>10720</v>
      </c>
      <c r="G915" s="162">
        <v>1</v>
      </c>
    </row>
    <row r="916" spans="2:7">
      <c r="B916" s="162" t="s">
        <v>675</v>
      </c>
      <c r="C916" s="162" t="s">
        <v>4111</v>
      </c>
      <c r="D916" s="162" t="s">
        <v>4112</v>
      </c>
      <c r="E916" s="162" t="s">
        <v>4102</v>
      </c>
      <c r="F916" s="162">
        <v>10720</v>
      </c>
      <c r="G916" s="162">
        <v>1</v>
      </c>
    </row>
    <row r="917" spans="2:7">
      <c r="B917" s="162" t="s">
        <v>675</v>
      </c>
      <c r="C917" s="162" t="s">
        <v>4113</v>
      </c>
      <c r="D917" s="162" t="s">
        <v>4114</v>
      </c>
      <c r="F917" s="162">
        <v>4100</v>
      </c>
      <c r="G917" s="162">
        <v>1</v>
      </c>
    </row>
    <row r="918" spans="2:7">
      <c r="B918" s="162" t="s">
        <v>675</v>
      </c>
      <c r="C918" s="162" t="s">
        <v>4115</v>
      </c>
      <c r="D918" s="162" t="s">
        <v>4116</v>
      </c>
      <c r="F918" s="162">
        <v>2580</v>
      </c>
      <c r="G918" s="162">
        <v>1</v>
      </c>
    </row>
    <row r="919" spans="2:7">
      <c r="B919" s="162" t="s">
        <v>675</v>
      </c>
      <c r="C919" s="162" t="s">
        <v>4117</v>
      </c>
      <c r="D919" s="162" t="s">
        <v>4118</v>
      </c>
      <c r="F919" s="162">
        <v>2580</v>
      </c>
      <c r="G919" s="162">
        <v>1</v>
      </c>
    </row>
    <row r="920" spans="2:7">
      <c r="B920" s="162" t="s">
        <v>675</v>
      </c>
      <c r="C920" s="162" t="s">
        <v>4119</v>
      </c>
      <c r="D920" s="162" t="s">
        <v>4120</v>
      </c>
      <c r="F920" s="162">
        <v>1920</v>
      </c>
      <c r="G920" s="162">
        <v>1</v>
      </c>
    </row>
    <row r="921" spans="2:7">
      <c r="B921" s="162" t="s">
        <v>675</v>
      </c>
      <c r="C921" s="162" t="s">
        <v>4121</v>
      </c>
      <c r="D921" s="162" t="s">
        <v>4122</v>
      </c>
      <c r="F921" s="162">
        <v>2580</v>
      </c>
      <c r="G921" s="162">
        <v>1</v>
      </c>
    </row>
    <row r="922" spans="2:7">
      <c r="B922" s="162" t="s">
        <v>675</v>
      </c>
      <c r="C922" s="162" t="s">
        <v>4123</v>
      </c>
      <c r="D922" s="162" t="s">
        <v>4124</v>
      </c>
      <c r="F922" s="162">
        <v>2580</v>
      </c>
      <c r="G922" s="162">
        <v>1</v>
      </c>
    </row>
    <row r="923" spans="2:7" ht="115.2">
      <c r="B923" s="162" t="s">
        <v>675</v>
      </c>
      <c r="C923" s="162" t="s">
        <v>4125</v>
      </c>
      <c r="D923" s="162" t="s">
        <v>4126</v>
      </c>
      <c r="E923" s="162" t="s">
        <v>4127</v>
      </c>
      <c r="F923" s="162">
        <v>15200</v>
      </c>
      <c r="G923" s="162">
        <v>1</v>
      </c>
    </row>
    <row r="924" spans="2:7" ht="28.8">
      <c r="B924" s="162" t="s">
        <v>675</v>
      </c>
      <c r="C924" s="162" t="s">
        <v>4128</v>
      </c>
      <c r="D924" s="162" t="s">
        <v>4129</v>
      </c>
      <c r="E924" s="162" t="s">
        <v>4130</v>
      </c>
      <c r="F924" s="162">
        <v>80</v>
      </c>
      <c r="G924" s="162">
        <v>1</v>
      </c>
    </row>
    <row r="925" spans="2:7">
      <c r="B925" s="162" t="s">
        <v>675</v>
      </c>
      <c r="C925" s="162" t="s">
        <v>4131</v>
      </c>
      <c r="D925" s="162" t="s">
        <v>4132</v>
      </c>
      <c r="F925" s="162">
        <v>440</v>
      </c>
      <c r="G925" s="162">
        <v>1</v>
      </c>
    </row>
    <row r="926" spans="2:7">
      <c r="B926" s="162" t="s">
        <v>675</v>
      </c>
      <c r="C926" s="162" t="s">
        <v>4133</v>
      </c>
      <c r="D926" s="162" t="s">
        <v>4134</v>
      </c>
      <c r="F926" s="162">
        <v>700</v>
      </c>
      <c r="G926" s="162">
        <v>1</v>
      </c>
    </row>
    <row r="927" spans="2:7">
      <c r="B927" s="162" t="s">
        <v>675</v>
      </c>
      <c r="C927" s="162" t="s">
        <v>4135</v>
      </c>
      <c r="D927" s="162" t="s">
        <v>4136</v>
      </c>
      <c r="F927" s="162">
        <v>500</v>
      </c>
      <c r="G927" s="162">
        <v>1</v>
      </c>
    </row>
    <row r="928" spans="2:7">
      <c r="B928" s="162" t="s">
        <v>675</v>
      </c>
      <c r="C928" s="162" t="s">
        <v>4137</v>
      </c>
      <c r="D928" s="162" t="s">
        <v>4138</v>
      </c>
      <c r="F928" s="162">
        <v>800</v>
      </c>
      <c r="G928" s="162">
        <v>1</v>
      </c>
    </row>
    <row r="929" spans="2:7">
      <c r="B929" s="162" t="s">
        <v>675</v>
      </c>
      <c r="C929" s="162" t="s">
        <v>4139</v>
      </c>
      <c r="D929" s="162" t="s">
        <v>4140</v>
      </c>
      <c r="F929" s="162">
        <v>600</v>
      </c>
      <c r="G929" s="162">
        <v>1</v>
      </c>
    </row>
    <row r="930" spans="2:7">
      <c r="B930" s="162" t="s">
        <v>675</v>
      </c>
      <c r="C930" s="162" t="s">
        <v>4141</v>
      </c>
      <c r="D930" s="162" t="s">
        <v>4142</v>
      </c>
      <c r="F930" s="162">
        <v>950</v>
      </c>
      <c r="G930" s="162">
        <v>1</v>
      </c>
    </row>
    <row r="931" spans="2:7">
      <c r="B931" s="162" t="s">
        <v>675</v>
      </c>
      <c r="C931" s="162" t="s">
        <v>4143</v>
      </c>
      <c r="D931" s="162" t="s">
        <v>4144</v>
      </c>
      <c r="F931" s="162">
        <v>7900</v>
      </c>
      <c r="G931" s="162">
        <v>1</v>
      </c>
    </row>
    <row r="932" spans="2:7">
      <c r="B932" s="162" t="s">
        <v>675</v>
      </c>
      <c r="C932" s="162" t="s">
        <v>4145</v>
      </c>
      <c r="D932" s="162" t="s">
        <v>4146</v>
      </c>
      <c r="F932" s="162">
        <v>9690</v>
      </c>
      <c r="G932" s="162">
        <v>1</v>
      </c>
    </row>
    <row r="933" spans="2:7">
      <c r="B933" s="162" t="s">
        <v>675</v>
      </c>
      <c r="C933" s="162" t="s">
        <v>4147</v>
      </c>
      <c r="D933" s="162" t="s">
        <v>4144</v>
      </c>
      <c r="E933" s="162" t="s">
        <v>4102</v>
      </c>
      <c r="F933" s="162">
        <v>8230</v>
      </c>
      <c r="G933" s="162">
        <v>1</v>
      </c>
    </row>
    <row r="934" spans="2:7">
      <c r="B934" s="162" t="s">
        <v>675</v>
      </c>
      <c r="C934" s="162" t="s">
        <v>4148</v>
      </c>
      <c r="D934" s="162" t="s">
        <v>4149</v>
      </c>
      <c r="F934" s="162">
        <v>7900</v>
      </c>
      <c r="G934" s="162">
        <v>1</v>
      </c>
    </row>
    <row r="935" spans="2:7">
      <c r="B935" s="162" t="s">
        <v>675</v>
      </c>
      <c r="C935" s="162" t="s">
        <v>4150</v>
      </c>
      <c r="D935" s="162" t="s">
        <v>4151</v>
      </c>
      <c r="F935" s="162">
        <v>9690</v>
      </c>
      <c r="G935" s="162">
        <v>1</v>
      </c>
    </row>
    <row r="936" spans="2:7">
      <c r="B936" s="162" t="s">
        <v>675</v>
      </c>
      <c r="C936" s="162" t="s">
        <v>4152</v>
      </c>
      <c r="D936" s="162" t="s">
        <v>4149</v>
      </c>
      <c r="E936" s="162" t="s">
        <v>4102</v>
      </c>
      <c r="F936" s="162">
        <v>8230</v>
      </c>
      <c r="G936" s="162">
        <v>1</v>
      </c>
    </row>
    <row r="937" spans="2:7">
      <c r="B937" s="162" t="s">
        <v>675</v>
      </c>
      <c r="C937" s="162" t="s">
        <v>4153</v>
      </c>
      <c r="D937" s="162" t="s">
        <v>4154</v>
      </c>
      <c r="F937" s="162">
        <v>10930</v>
      </c>
      <c r="G937" s="162">
        <v>1</v>
      </c>
    </row>
    <row r="938" spans="2:7">
      <c r="B938" s="162" t="s">
        <v>675</v>
      </c>
      <c r="C938" s="162" t="s">
        <v>4155</v>
      </c>
      <c r="D938" s="162" t="s">
        <v>4156</v>
      </c>
      <c r="F938" s="162">
        <v>11130</v>
      </c>
      <c r="G938" s="162">
        <v>1</v>
      </c>
    </row>
    <row r="939" spans="2:7">
      <c r="B939" s="162" t="s">
        <v>675</v>
      </c>
      <c r="C939" s="162" t="s">
        <v>4157</v>
      </c>
      <c r="D939" s="162" t="s">
        <v>4158</v>
      </c>
      <c r="E939" s="162" t="s">
        <v>4102</v>
      </c>
      <c r="F939" s="162">
        <v>11500</v>
      </c>
      <c r="G939" s="162">
        <v>1</v>
      </c>
    </row>
    <row r="940" spans="2:7">
      <c r="B940" s="162" t="s">
        <v>675</v>
      </c>
      <c r="C940" s="162" t="s">
        <v>4159</v>
      </c>
      <c r="D940" s="162" t="s">
        <v>4160</v>
      </c>
      <c r="F940" s="162">
        <v>11500</v>
      </c>
      <c r="G940" s="162">
        <v>1</v>
      </c>
    </row>
    <row r="941" spans="2:7">
      <c r="B941" s="162" t="s">
        <v>675</v>
      </c>
      <c r="C941" s="162" t="s">
        <v>4161</v>
      </c>
      <c r="D941" s="162" t="s">
        <v>4162</v>
      </c>
      <c r="E941" s="162" t="s">
        <v>4102</v>
      </c>
      <c r="F941" s="162">
        <v>11500</v>
      </c>
      <c r="G941" s="162">
        <v>1</v>
      </c>
    </row>
    <row r="942" spans="2:7">
      <c r="B942" s="162" t="s">
        <v>675</v>
      </c>
      <c r="C942" s="162" t="s">
        <v>4163</v>
      </c>
      <c r="D942" s="162" t="s">
        <v>4164</v>
      </c>
      <c r="F942" s="162">
        <v>13200</v>
      </c>
      <c r="G942" s="162">
        <v>1</v>
      </c>
    </row>
    <row r="943" spans="2:7">
      <c r="B943" s="162" t="s">
        <v>675</v>
      </c>
      <c r="C943" s="162" t="s">
        <v>4165</v>
      </c>
      <c r="D943" s="162" t="s">
        <v>4166</v>
      </c>
      <c r="E943" s="162" t="s">
        <v>4102</v>
      </c>
      <c r="F943" s="162">
        <v>13600</v>
      </c>
      <c r="G943" s="162">
        <v>1</v>
      </c>
    </row>
    <row r="944" spans="2:7">
      <c r="B944" s="162" t="s">
        <v>675</v>
      </c>
      <c r="C944" s="162" t="s">
        <v>4167</v>
      </c>
      <c r="D944" s="162" t="s">
        <v>4168</v>
      </c>
      <c r="F944" s="162">
        <v>13600</v>
      </c>
      <c r="G944" s="162">
        <v>1</v>
      </c>
    </row>
    <row r="945" spans="2:7">
      <c r="B945" s="162" t="s">
        <v>675</v>
      </c>
      <c r="C945" s="162" t="s">
        <v>4169</v>
      </c>
      <c r="D945" s="162" t="s">
        <v>4170</v>
      </c>
      <c r="E945" s="162" t="s">
        <v>4102</v>
      </c>
      <c r="F945" s="162">
        <v>13600</v>
      </c>
      <c r="G945" s="162">
        <v>1</v>
      </c>
    </row>
    <row r="946" spans="2:7">
      <c r="B946" s="162" t="s">
        <v>675</v>
      </c>
      <c r="C946" s="162" t="s">
        <v>4171</v>
      </c>
      <c r="D946" s="162" t="s">
        <v>4172</v>
      </c>
      <c r="F946" s="162">
        <v>16100</v>
      </c>
      <c r="G946" s="162">
        <v>1</v>
      </c>
    </row>
    <row r="947" spans="2:7">
      <c r="B947" s="162" t="s">
        <v>675</v>
      </c>
      <c r="C947" s="162" t="s">
        <v>4173</v>
      </c>
      <c r="D947" s="162" t="s">
        <v>4174</v>
      </c>
      <c r="E947" s="162" t="s">
        <v>4102</v>
      </c>
      <c r="F947" s="162">
        <v>17500</v>
      </c>
      <c r="G947" s="162">
        <v>1</v>
      </c>
    </row>
    <row r="948" spans="2:7">
      <c r="B948" s="162" t="s">
        <v>675</v>
      </c>
      <c r="C948" s="162" t="s">
        <v>4175</v>
      </c>
      <c r="D948" s="162" t="s">
        <v>4176</v>
      </c>
      <c r="F948" s="162">
        <v>17500</v>
      </c>
      <c r="G948" s="162">
        <v>1</v>
      </c>
    </row>
    <row r="949" spans="2:7">
      <c r="B949" s="162" t="s">
        <v>675</v>
      </c>
      <c r="C949" s="162" t="s">
        <v>4177</v>
      </c>
      <c r="D949" s="162" t="s">
        <v>4178</v>
      </c>
      <c r="E949" s="162" t="s">
        <v>4102</v>
      </c>
      <c r="F949" s="162">
        <v>17500</v>
      </c>
      <c r="G949" s="162">
        <v>1</v>
      </c>
    </row>
    <row r="950" spans="2:7">
      <c r="B950" s="162" t="s">
        <v>675</v>
      </c>
      <c r="C950" s="162" t="s">
        <v>4179</v>
      </c>
      <c r="D950" s="162" t="s">
        <v>4180</v>
      </c>
      <c r="F950" s="162">
        <v>9180</v>
      </c>
      <c r="G950" s="162">
        <v>1</v>
      </c>
    </row>
    <row r="951" spans="2:7">
      <c r="B951" s="162" t="s">
        <v>675</v>
      </c>
      <c r="C951" s="162" t="s">
        <v>4113</v>
      </c>
      <c r="D951" s="162" t="s">
        <v>4114</v>
      </c>
      <c r="F951" s="162">
        <v>4100</v>
      </c>
      <c r="G951" s="162">
        <v>1</v>
      </c>
    </row>
    <row r="952" spans="2:7">
      <c r="B952" s="162" t="s">
        <v>675</v>
      </c>
      <c r="C952" s="162" t="s">
        <v>4115</v>
      </c>
      <c r="D952" s="162" t="s">
        <v>4116</v>
      </c>
      <c r="F952" s="162">
        <v>2580</v>
      </c>
      <c r="G952" s="162">
        <v>1</v>
      </c>
    </row>
    <row r="953" spans="2:7">
      <c r="B953" s="162" t="s">
        <v>675</v>
      </c>
      <c r="C953" s="162" t="s">
        <v>4117</v>
      </c>
      <c r="D953" s="162" t="s">
        <v>4118</v>
      </c>
      <c r="F953" s="162">
        <v>2580</v>
      </c>
      <c r="G953" s="162">
        <v>1</v>
      </c>
    </row>
    <row r="954" spans="2:7">
      <c r="B954" s="162" t="s">
        <v>675</v>
      </c>
      <c r="C954" s="162" t="s">
        <v>4119</v>
      </c>
      <c r="D954" s="162" t="s">
        <v>4120</v>
      </c>
      <c r="F954" s="162">
        <v>1920</v>
      </c>
      <c r="G954" s="162">
        <v>1</v>
      </c>
    </row>
    <row r="955" spans="2:7">
      <c r="B955" s="162" t="s">
        <v>675</v>
      </c>
      <c r="C955" s="162" t="s">
        <v>4121</v>
      </c>
      <c r="D955" s="162" t="s">
        <v>4122</v>
      </c>
      <c r="F955" s="162">
        <v>2580</v>
      </c>
      <c r="G955" s="162">
        <v>1</v>
      </c>
    </row>
    <row r="956" spans="2:7">
      <c r="B956" s="162" t="s">
        <v>675</v>
      </c>
      <c r="C956" s="162" t="s">
        <v>4123</v>
      </c>
      <c r="D956" s="162" t="s">
        <v>4124</v>
      </c>
      <c r="F956" s="162">
        <v>2580</v>
      </c>
      <c r="G956" s="162">
        <v>1</v>
      </c>
    </row>
    <row r="957" spans="2:7" ht="86.4">
      <c r="B957" s="162" t="s">
        <v>675</v>
      </c>
      <c r="C957" s="162" t="s">
        <v>4181</v>
      </c>
      <c r="D957" s="162" t="s">
        <v>4182</v>
      </c>
      <c r="E957" s="162" t="s">
        <v>4183</v>
      </c>
      <c r="F957" s="162">
        <v>15200</v>
      </c>
      <c r="G957" s="162">
        <v>1</v>
      </c>
    </row>
    <row r="958" spans="2:7">
      <c r="B958" s="162" t="s">
        <v>675</v>
      </c>
      <c r="C958" s="162" t="s">
        <v>4184</v>
      </c>
      <c r="D958" s="162" t="s">
        <v>4185</v>
      </c>
      <c r="F958" s="162">
        <v>2340</v>
      </c>
      <c r="G958" s="162">
        <v>1</v>
      </c>
    </row>
    <row r="959" spans="2:7" ht="28.8">
      <c r="B959" s="162" t="s">
        <v>675</v>
      </c>
      <c r="C959" s="162" t="s">
        <v>4128</v>
      </c>
      <c r="D959" s="162" t="s">
        <v>4129</v>
      </c>
      <c r="E959" s="162" t="s">
        <v>4130</v>
      </c>
      <c r="F959" s="162">
        <v>80</v>
      </c>
      <c r="G959" s="162">
        <v>1</v>
      </c>
    </row>
    <row r="960" spans="2:7">
      <c r="B960" s="162" t="s">
        <v>675</v>
      </c>
      <c r="C960" s="162" t="s">
        <v>4186</v>
      </c>
      <c r="D960" s="162" t="s">
        <v>4187</v>
      </c>
      <c r="E960" s="162" t="s">
        <v>4069</v>
      </c>
      <c r="F960" s="162">
        <v>470</v>
      </c>
      <c r="G960" s="162">
        <v>1</v>
      </c>
    </row>
    <row r="961" spans="2:7">
      <c r="B961" s="162" t="s">
        <v>675</v>
      </c>
      <c r="C961" s="162" t="s">
        <v>4188</v>
      </c>
      <c r="D961" s="162" t="s">
        <v>4189</v>
      </c>
      <c r="E961" s="162" t="s">
        <v>4072</v>
      </c>
      <c r="F961" s="162">
        <v>840</v>
      </c>
      <c r="G961" s="162">
        <v>1</v>
      </c>
    </row>
    <row r="962" spans="2:7">
      <c r="B962" s="162" t="s">
        <v>675</v>
      </c>
      <c r="C962" s="162" t="s">
        <v>4190</v>
      </c>
      <c r="D962" s="162" t="s">
        <v>4191</v>
      </c>
      <c r="E962" s="162" t="s">
        <v>4069</v>
      </c>
      <c r="F962" s="162">
        <v>590</v>
      </c>
      <c r="G962" s="162">
        <v>1</v>
      </c>
    </row>
    <row r="963" spans="2:7">
      <c r="B963" s="162" t="s">
        <v>675</v>
      </c>
      <c r="C963" s="162" t="s">
        <v>4192</v>
      </c>
      <c r="D963" s="162" t="s">
        <v>4193</v>
      </c>
      <c r="E963" s="162" t="s">
        <v>4072</v>
      </c>
      <c r="F963" s="162">
        <v>1080</v>
      </c>
      <c r="G963" s="162">
        <v>1</v>
      </c>
    </row>
    <row r="964" spans="2:7">
      <c r="B964" s="162" t="s">
        <v>675</v>
      </c>
      <c r="C964" s="162" t="s">
        <v>4194</v>
      </c>
      <c r="D964" s="162" t="s">
        <v>4195</v>
      </c>
      <c r="E964" s="162" t="s">
        <v>4069</v>
      </c>
      <c r="F964" s="162">
        <v>770</v>
      </c>
      <c r="G964" s="162">
        <v>1</v>
      </c>
    </row>
    <row r="965" spans="2:7">
      <c r="B965" s="162" t="s">
        <v>675</v>
      </c>
      <c r="C965" s="162" t="s">
        <v>4196</v>
      </c>
      <c r="D965" s="162" t="s">
        <v>4197</v>
      </c>
      <c r="E965" s="162" t="s">
        <v>4072</v>
      </c>
      <c r="F965" s="162">
        <v>1440</v>
      </c>
      <c r="G965" s="162">
        <v>1</v>
      </c>
    </row>
    <row r="966" spans="2:7">
      <c r="B966" s="162" t="s">
        <v>675</v>
      </c>
      <c r="C966" s="162" t="s">
        <v>4198</v>
      </c>
      <c r="D966" s="162" t="s">
        <v>4199</v>
      </c>
      <c r="E966" s="162" t="s">
        <v>4069</v>
      </c>
      <c r="F966" s="162">
        <v>560</v>
      </c>
      <c r="G966" s="162">
        <v>1</v>
      </c>
    </row>
    <row r="967" spans="2:7">
      <c r="B967" s="162" t="s">
        <v>675</v>
      </c>
      <c r="C967" s="162" t="s">
        <v>4200</v>
      </c>
      <c r="D967" s="162" t="s">
        <v>4201</v>
      </c>
      <c r="E967" s="162" t="s">
        <v>4072</v>
      </c>
      <c r="F967" s="162">
        <v>900</v>
      </c>
      <c r="G967" s="162">
        <v>1</v>
      </c>
    </row>
    <row r="968" spans="2:7">
      <c r="B968" s="162" t="s">
        <v>675</v>
      </c>
      <c r="C968" s="162" t="s">
        <v>4202</v>
      </c>
      <c r="D968" s="162" t="s">
        <v>4203</v>
      </c>
      <c r="E968" s="162" t="s">
        <v>4069</v>
      </c>
      <c r="F968" s="162">
        <v>720</v>
      </c>
      <c r="G968" s="162">
        <v>1</v>
      </c>
    </row>
    <row r="969" spans="2:7">
      <c r="B969" s="162" t="s">
        <v>675</v>
      </c>
      <c r="C969" s="162" t="s">
        <v>4204</v>
      </c>
      <c r="D969" s="162" t="s">
        <v>4205</v>
      </c>
      <c r="E969" s="162" t="s">
        <v>4072</v>
      </c>
      <c r="F969" s="162">
        <v>1140</v>
      </c>
      <c r="G969" s="162">
        <v>1</v>
      </c>
    </row>
    <row r="970" spans="2:7">
      <c r="B970" s="162" t="s">
        <v>675</v>
      </c>
      <c r="C970" s="162" t="s">
        <v>4206</v>
      </c>
      <c r="D970" s="162" t="s">
        <v>4207</v>
      </c>
      <c r="E970" s="162" t="s">
        <v>4069</v>
      </c>
      <c r="F970" s="162">
        <v>870</v>
      </c>
      <c r="G970" s="162">
        <v>1</v>
      </c>
    </row>
    <row r="971" spans="2:7">
      <c r="B971" s="162" t="s">
        <v>675</v>
      </c>
      <c r="C971" s="162" t="s">
        <v>4208</v>
      </c>
      <c r="D971" s="162" t="s">
        <v>4209</v>
      </c>
      <c r="E971" s="162" t="s">
        <v>4072</v>
      </c>
      <c r="F971" s="162">
        <v>1390</v>
      </c>
      <c r="G971" s="162">
        <v>1</v>
      </c>
    </row>
    <row r="972" spans="2:7">
      <c r="B972" s="162" t="s">
        <v>675</v>
      </c>
      <c r="C972" s="162" t="s">
        <v>4210</v>
      </c>
      <c r="D972" s="162" t="s">
        <v>4211</v>
      </c>
      <c r="E972" s="162" t="s">
        <v>4102</v>
      </c>
      <c r="F972" s="162">
        <v>30500</v>
      </c>
      <c r="G972" s="162">
        <v>1</v>
      </c>
    </row>
    <row r="973" spans="2:7">
      <c r="B973" s="162" t="s">
        <v>675</v>
      </c>
      <c r="C973" s="162" t="s">
        <v>4212</v>
      </c>
      <c r="D973" s="162" t="s">
        <v>4213</v>
      </c>
      <c r="E973" s="162" t="s">
        <v>4102</v>
      </c>
      <c r="F973" s="162">
        <v>33200</v>
      </c>
      <c r="G973" s="162">
        <v>1</v>
      </c>
    </row>
    <row r="974" spans="2:7">
      <c r="B974" s="162" t="s">
        <v>675</v>
      </c>
      <c r="C974" s="162" t="s">
        <v>4214</v>
      </c>
      <c r="D974" s="162" t="s">
        <v>4215</v>
      </c>
      <c r="E974" s="162" t="s">
        <v>4102</v>
      </c>
      <c r="F974" s="162">
        <v>37100</v>
      </c>
      <c r="G974" s="162">
        <v>1</v>
      </c>
    </row>
    <row r="975" spans="2:7" ht="57.6">
      <c r="B975" s="162" t="s">
        <v>675</v>
      </c>
      <c r="C975" s="162" t="s">
        <v>4216</v>
      </c>
      <c r="D975" s="162" t="s">
        <v>4217</v>
      </c>
      <c r="E975" s="162" t="s">
        <v>4218</v>
      </c>
      <c r="F975" s="162">
        <v>23700</v>
      </c>
      <c r="G975" s="162">
        <v>1</v>
      </c>
    </row>
    <row r="976" spans="2:7" ht="28.8">
      <c r="B976" s="162" t="s">
        <v>675</v>
      </c>
      <c r="C976" s="162" t="s">
        <v>4219</v>
      </c>
      <c r="D976" s="162" t="s">
        <v>4220</v>
      </c>
      <c r="E976" s="162" t="s">
        <v>4221</v>
      </c>
      <c r="F976" s="162">
        <v>10370</v>
      </c>
      <c r="G976" s="162">
        <v>1</v>
      </c>
    </row>
    <row r="977" spans="2:7">
      <c r="B977" s="162" t="s">
        <v>675</v>
      </c>
      <c r="C977" s="162" t="s">
        <v>4222</v>
      </c>
      <c r="D977" s="162" t="s">
        <v>4223</v>
      </c>
      <c r="E977" s="162" t="s">
        <v>4224</v>
      </c>
      <c r="F977" s="162">
        <v>6160</v>
      </c>
      <c r="G977" s="162">
        <v>1</v>
      </c>
    </row>
    <row r="978" spans="2:7">
      <c r="B978" s="162" t="s">
        <v>675</v>
      </c>
      <c r="C978" s="162" t="s">
        <v>4225</v>
      </c>
      <c r="D978" s="162" t="s">
        <v>4226</v>
      </c>
      <c r="E978" s="162" t="s">
        <v>4224</v>
      </c>
      <c r="F978" s="162">
        <v>5110</v>
      </c>
      <c r="G978" s="162">
        <v>1</v>
      </c>
    </row>
    <row r="979" spans="2:7">
      <c r="B979" s="162" t="s">
        <v>675</v>
      </c>
      <c r="C979" s="162" t="s">
        <v>4227</v>
      </c>
      <c r="D979" s="162" t="s">
        <v>4228</v>
      </c>
      <c r="E979" s="162" t="s">
        <v>4224</v>
      </c>
      <c r="F979" s="162">
        <v>5640</v>
      </c>
      <c r="G979" s="162">
        <v>1</v>
      </c>
    </row>
    <row r="980" spans="2:7" ht="28.8">
      <c r="B980" s="162" t="s">
        <v>675</v>
      </c>
      <c r="C980" s="162" t="s">
        <v>4229</v>
      </c>
      <c r="D980" s="162" t="s">
        <v>4230</v>
      </c>
      <c r="E980" s="162" t="s">
        <v>4221</v>
      </c>
      <c r="F980" s="162">
        <v>6160</v>
      </c>
      <c r="G980" s="162">
        <v>1</v>
      </c>
    </row>
    <row r="981" spans="2:7" ht="28.8">
      <c r="B981" s="162" t="s">
        <v>675</v>
      </c>
      <c r="C981" s="162" t="s">
        <v>4231</v>
      </c>
      <c r="D981" s="162" t="s">
        <v>4232</v>
      </c>
      <c r="E981" s="162" t="s">
        <v>4221</v>
      </c>
      <c r="F981" s="162">
        <v>4860</v>
      </c>
      <c r="G981" s="162">
        <v>1</v>
      </c>
    </row>
    <row r="982" spans="2:7" ht="28.8">
      <c r="B982" s="162" t="s">
        <v>675</v>
      </c>
      <c r="C982" s="162" t="s">
        <v>4233</v>
      </c>
      <c r="D982" s="162" t="s">
        <v>4234</v>
      </c>
      <c r="E982" s="162" t="s">
        <v>4221</v>
      </c>
      <c r="F982" s="162">
        <v>6160</v>
      </c>
      <c r="G982" s="162">
        <v>1</v>
      </c>
    </row>
    <row r="983" spans="2:7">
      <c r="B983" s="162" t="s">
        <v>675</v>
      </c>
      <c r="C983" s="162" t="s">
        <v>4235</v>
      </c>
      <c r="D983" s="162" t="s">
        <v>4236</v>
      </c>
      <c r="E983" s="162" t="s">
        <v>4224</v>
      </c>
      <c r="F983" s="162">
        <v>5980</v>
      </c>
      <c r="G983" s="162">
        <v>1</v>
      </c>
    </row>
    <row r="984" spans="2:7" ht="28.8">
      <c r="B984" s="162" t="s">
        <v>675</v>
      </c>
      <c r="C984" s="162" t="s">
        <v>4237</v>
      </c>
      <c r="D984" s="162" t="s">
        <v>4236</v>
      </c>
      <c r="E984" s="162" t="s">
        <v>4221</v>
      </c>
      <c r="F984" s="162">
        <v>6160</v>
      </c>
      <c r="G984" s="162">
        <v>1</v>
      </c>
    </row>
    <row r="985" spans="2:7" ht="28.8">
      <c r="B985" s="162" t="s">
        <v>675</v>
      </c>
      <c r="C985" s="162" t="s">
        <v>4238</v>
      </c>
      <c r="D985" s="162" t="s">
        <v>4239</v>
      </c>
      <c r="E985" s="162" t="s">
        <v>4221</v>
      </c>
      <c r="F985" s="162">
        <v>11220</v>
      </c>
      <c r="G985" s="162">
        <v>1</v>
      </c>
    </row>
    <row r="986" spans="2:7">
      <c r="B986" s="162" t="s">
        <v>675</v>
      </c>
      <c r="C986" s="162" t="s">
        <v>4240</v>
      </c>
      <c r="D986" s="162" t="s">
        <v>4241</v>
      </c>
      <c r="F986" s="162">
        <v>3260</v>
      </c>
      <c r="G986" s="162">
        <v>1</v>
      </c>
    </row>
    <row r="987" spans="2:7" ht="28.8">
      <c r="B987" s="162" t="s">
        <v>675</v>
      </c>
      <c r="C987" s="162" t="s">
        <v>4128</v>
      </c>
      <c r="D987" s="162" t="s">
        <v>4129</v>
      </c>
      <c r="E987" s="162" t="s">
        <v>4130</v>
      </c>
      <c r="F987" s="162">
        <v>80</v>
      </c>
      <c r="G987" s="162">
        <v>1</v>
      </c>
    </row>
    <row r="988" spans="2:7">
      <c r="B988" s="162" t="s">
        <v>675</v>
      </c>
      <c r="C988" s="162" t="s">
        <v>4242</v>
      </c>
      <c r="D988" s="162" t="s">
        <v>4243</v>
      </c>
      <c r="F988" s="162">
        <v>1180</v>
      </c>
      <c r="G988" s="162">
        <v>1</v>
      </c>
    </row>
    <row r="989" spans="2:7">
      <c r="B989" s="162" t="s">
        <v>675</v>
      </c>
      <c r="C989" s="162" t="s">
        <v>4244</v>
      </c>
      <c r="D989" s="162" t="s">
        <v>4245</v>
      </c>
      <c r="F989" s="162">
        <v>1320</v>
      </c>
      <c r="G989" s="162">
        <v>1</v>
      </c>
    </row>
    <row r="990" spans="2:7">
      <c r="B990" s="162" t="s">
        <v>675</v>
      </c>
      <c r="C990" s="162" t="s">
        <v>4246</v>
      </c>
      <c r="D990" s="162" t="s">
        <v>4247</v>
      </c>
      <c r="F990" s="162">
        <v>1440</v>
      </c>
      <c r="G990" s="162">
        <v>1</v>
      </c>
    </row>
    <row r="991" spans="2:7">
      <c r="B991" s="162" t="s">
        <v>675</v>
      </c>
      <c r="C991" s="162" t="s">
        <v>4248</v>
      </c>
      <c r="D991" s="162" t="s">
        <v>4249</v>
      </c>
      <c r="F991" s="162">
        <v>2120</v>
      </c>
      <c r="G991" s="162">
        <v>1</v>
      </c>
    </row>
    <row r="992" spans="2:7">
      <c r="B992" s="162" t="s">
        <v>675</v>
      </c>
      <c r="C992" s="162" t="s">
        <v>4250</v>
      </c>
      <c r="D992" s="162" t="s">
        <v>4251</v>
      </c>
      <c r="F992" s="162">
        <v>2360</v>
      </c>
      <c r="G992" s="162">
        <v>1</v>
      </c>
    </row>
    <row r="993" spans="2:7">
      <c r="B993" s="162" t="s">
        <v>675</v>
      </c>
      <c r="C993" s="162" t="s">
        <v>4252</v>
      </c>
      <c r="D993" s="162" t="s">
        <v>4253</v>
      </c>
      <c r="F993" s="162">
        <v>2580</v>
      </c>
      <c r="G993" s="162">
        <v>1</v>
      </c>
    </row>
    <row r="994" spans="2:7">
      <c r="B994" s="162" t="s">
        <v>675</v>
      </c>
      <c r="C994" s="162" t="s">
        <v>4254</v>
      </c>
      <c r="D994" s="162" t="s">
        <v>4255</v>
      </c>
      <c r="E994" s="162" t="s">
        <v>4256</v>
      </c>
      <c r="F994" s="162">
        <v>47900</v>
      </c>
      <c r="G994" s="162">
        <v>1</v>
      </c>
    </row>
    <row r="995" spans="2:7">
      <c r="B995" s="162" t="s">
        <v>675</v>
      </c>
      <c r="C995" s="162" t="s">
        <v>4257</v>
      </c>
      <c r="D995" s="162" t="s">
        <v>4258</v>
      </c>
      <c r="E995" s="162" t="s">
        <v>4256</v>
      </c>
      <c r="F995" s="162">
        <v>58700</v>
      </c>
      <c r="G995" s="162">
        <v>1</v>
      </c>
    </row>
    <row r="996" spans="2:7">
      <c r="B996" s="162" t="s">
        <v>675</v>
      </c>
      <c r="C996" s="162" t="s">
        <v>4259</v>
      </c>
      <c r="D996" s="162" t="s">
        <v>4260</v>
      </c>
      <c r="E996" s="162" t="s">
        <v>4256</v>
      </c>
      <c r="F996" s="162">
        <v>63500</v>
      </c>
      <c r="G996" s="162">
        <v>1</v>
      </c>
    </row>
    <row r="997" spans="2:7">
      <c r="B997" s="162" t="s">
        <v>675</v>
      </c>
      <c r="C997" s="162" t="s">
        <v>4261</v>
      </c>
      <c r="D997" s="162" t="s">
        <v>4262</v>
      </c>
      <c r="E997" s="162" t="s">
        <v>4263</v>
      </c>
      <c r="F997" s="162">
        <v>82600</v>
      </c>
      <c r="G997" s="162">
        <v>1</v>
      </c>
    </row>
    <row r="998" spans="2:7" ht="28.8">
      <c r="B998" s="162" t="s">
        <v>675</v>
      </c>
      <c r="C998" s="162" t="s">
        <v>4264</v>
      </c>
      <c r="D998" s="162" t="s">
        <v>4265</v>
      </c>
      <c r="E998" s="162" t="s">
        <v>4266</v>
      </c>
      <c r="F998" s="162">
        <v>60800</v>
      </c>
      <c r="G998" s="162">
        <v>1</v>
      </c>
    </row>
    <row r="999" spans="2:7" ht="28.8">
      <c r="B999" s="162" t="s">
        <v>675</v>
      </c>
      <c r="C999" s="162" t="s">
        <v>4267</v>
      </c>
      <c r="D999" s="162" t="s">
        <v>4268</v>
      </c>
      <c r="E999" s="162" t="s">
        <v>4266</v>
      </c>
      <c r="F999" s="162">
        <v>76300</v>
      </c>
      <c r="G999" s="162">
        <v>1</v>
      </c>
    </row>
    <row r="1000" spans="2:7" ht="28.8">
      <c r="B1000" s="162" t="s">
        <v>675</v>
      </c>
      <c r="C1000" s="162" t="s">
        <v>4269</v>
      </c>
      <c r="D1000" s="162" t="s">
        <v>4270</v>
      </c>
      <c r="E1000" s="162" t="s">
        <v>4271</v>
      </c>
      <c r="F1000" s="162">
        <v>95500</v>
      </c>
      <c r="G1000" s="162">
        <v>1</v>
      </c>
    </row>
    <row r="1001" spans="2:7" ht="28.8">
      <c r="B1001" s="162" t="s">
        <v>675</v>
      </c>
      <c r="C1001" s="162" t="s">
        <v>4272</v>
      </c>
      <c r="D1001" s="162" t="s">
        <v>4273</v>
      </c>
      <c r="E1001" s="162" t="s">
        <v>4274</v>
      </c>
      <c r="F1001" s="162">
        <v>62600</v>
      </c>
      <c r="G1001" s="162">
        <v>1</v>
      </c>
    </row>
    <row r="1002" spans="2:7" ht="28.8">
      <c r="B1002" s="162" t="s">
        <v>675</v>
      </c>
      <c r="C1002" s="162" t="s">
        <v>4275</v>
      </c>
      <c r="D1002" s="162" t="s">
        <v>4276</v>
      </c>
      <c r="E1002" s="162" t="s">
        <v>4274</v>
      </c>
      <c r="F1002" s="162">
        <v>77300</v>
      </c>
      <c r="G1002" s="162">
        <v>1</v>
      </c>
    </row>
    <row r="1003" spans="2:7" ht="28.8">
      <c r="B1003" s="162" t="s">
        <v>675</v>
      </c>
      <c r="C1003" s="162" t="s">
        <v>4277</v>
      </c>
      <c r="D1003" s="162" t="s">
        <v>4278</v>
      </c>
      <c r="E1003" s="162" t="s">
        <v>4279</v>
      </c>
      <c r="F1003" s="162">
        <v>96500</v>
      </c>
      <c r="G1003" s="162">
        <v>1</v>
      </c>
    </row>
    <row r="1004" spans="2:7" ht="57.6">
      <c r="B1004" s="162" t="s">
        <v>675</v>
      </c>
      <c r="C1004" s="162" t="s">
        <v>4280</v>
      </c>
      <c r="D1004" s="162" t="s">
        <v>4281</v>
      </c>
      <c r="E1004" s="162" t="s">
        <v>4282</v>
      </c>
      <c r="F1004" s="162">
        <v>64300</v>
      </c>
      <c r="G1004" s="162">
        <v>1</v>
      </c>
    </row>
    <row r="1005" spans="2:7" ht="57.6">
      <c r="B1005" s="162" t="s">
        <v>675</v>
      </c>
      <c r="C1005" s="162" t="s">
        <v>4283</v>
      </c>
      <c r="D1005" s="162" t="s">
        <v>4284</v>
      </c>
      <c r="E1005" s="162" t="s">
        <v>4282</v>
      </c>
      <c r="F1005" s="162">
        <v>79800</v>
      </c>
      <c r="G1005" s="162">
        <v>1</v>
      </c>
    </row>
    <row r="1006" spans="2:7" ht="57.6">
      <c r="B1006" s="162" t="s">
        <v>675</v>
      </c>
      <c r="C1006" s="162" t="s">
        <v>4285</v>
      </c>
      <c r="D1006" s="162" t="s">
        <v>4286</v>
      </c>
      <c r="E1006" s="162" t="s">
        <v>4287</v>
      </c>
      <c r="F1006" s="162">
        <v>99000</v>
      </c>
      <c r="G1006" s="162">
        <v>1</v>
      </c>
    </row>
    <row r="1007" spans="2:7">
      <c r="B1007" s="162" t="s">
        <v>675</v>
      </c>
      <c r="C1007" s="162" t="s">
        <v>4288</v>
      </c>
      <c r="D1007" s="162" t="s">
        <v>4289</v>
      </c>
      <c r="E1007" s="162" t="s">
        <v>4290</v>
      </c>
      <c r="F1007" s="162">
        <v>47900</v>
      </c>
      <c r="G1007" s="162">
        <v>1</v>
      </c>
    </row>
    <row r="1008" spans="2:7">
      <c r="B1008" s="162" t="s">
        <v>675</v>
      </c>
      <c r="C1008" s="162" t="s">
        <v>4291</v>
      </c>
      <c r="D1008" s="162" t="s">
        <v>4292</v>
      </c>
      <c r="E1008" s="162" t="s">
        <v>4290</v>
      </c>
      <c r="F1008" s="162">
        <v>58700</v>
      </c>
      <c r="G1008" s="162">
        <v>1</v>
      </c>
    </row>
    <row r="1009" spans="2:7">
      <c r="B1009" s="162" t="s">
        <v>675</v>
      </c>
      <c r="C1009" s="162" t="s">
        <v>4293</v>
      </c>
      <c r="D1009" s="162" t="s">
        <v>4294</v>
      </c>
      <c r="E1009" s="162" t="s">
        <v>4290</v>
      </c>
      <c r="F1009" s="162">
        <v>63500</v>
      </c>
      <c r="G1009" s="162">
        <v>1</v>
      </c>
    </row>
    <row r="1010" spans="2:7">
      <c r="B1010" s="162" t="s">
        <v>675</v>
      </c>
      <c r="C1010" s="162" t="s">
        <v>4295</v>
      </c>
      <c r="D1010" s="162" t="s">
        <v>4296</v>
      </c>
      <c r="E1010" s="162" t="s">
        <v>4297</v>
      </c>
      <c r="F1010" s="162">
        <v>82600</v>
      </c>
      <c r="G1010" s="162">
        <v>1</v>
      </c>
    </row>
    <row r="1011" spans="2:7" ht="28.8">
      <c r="B1011" s="162" t="s">
        <v>675</v>
      </c>
      <c r="C1011" s="162" t="s">
        <v>4298</v>
      </c>
      <c r="D1011" s="162" t="s">
        <v>4299</v>
      </c>
      <c r="E1011" s="162" t="s">
        <v>4300</v>
      </c>
      <c r="F1011" s="162">
        <v>60800</v>
      </c>
      <c r="G1011" s="162">
        <v>1</v>
      </c>
    </row>
    <row r="1012" spans="2:7" ht="28.8">
      <c r="B1012" s="162" t="s">
        <v>675</v>
      </c>
      <c r="C1012" s="162" t="s">
        <v>4301</v>
      </c>
      <c r="D1012" s="162" t="s">
        <v>4302</v>
      </c>
      <c r="E1012" s="162" t="s">
        <v>4300</v>
      </c>
      <c r="F1012" s="162">
        <v>76300</v>
      </c>
      <c r="G1012" s="162">
        <v>1</v>
      </c>
    </row>
    <row r="1013" spans="2:7" ht="28.8">
      <c r="B1013" s="162" t="s">
        <v>675</v>
      </c>
      <c r="C1013" s="162" t="s">
        <v>4303</v>
      </c>
      <c r="D1013" s="162" t="s">
        <v>4304</v>
      </c>
      <c r="E1013" s="162" t="s">
        <v>4305</v>
      </c>
      <c r="F1013" s="162">
        <v>95500</v>
      </c>
      <c r="G1013" s="162">
        <v>1</v>
      </c>
    </row>
    <row r="1014" spans="2:7">
      <c r="B1014" s="162" t="s">
        <v>675</v>
      </c>
      <c r="C1014" s="162" t="s">
        <v>4306</v>
      </c>
      <c r="D1014" s="162" t="s">
        <v>4307</v>
      </c>
      <c r="E1014" s="162" t="s">
        <v>4308</v>
      </c>
      <c r="F1014" s="162">
        <v>62600</v>
      </c>
      <c r="G1014" s="162">
        <v>1</v>
      </c>
    </row>
    <row r="1015" spans="2:7">
      <c r="B1015" s="162" t="s">
        <v>675</v>
      </c>
      <c r="C1015" s="162" t="s">
        <v>4309</v>
      </c>
      <c r="D1015" s="162" t="s">
        <v>4310</v>
      </c>
      <c r="E1015" s="162" t="s">
        <v>4308</v>
      </c>
      <c r="F1015" s="162">
        <v>77300</v>
      </c>
      <c r="G1015" s="162">
        <v>1</v>
      </c>
    </row>
    <row r="1016" spans="2:7" ht="28.8">
      <c r="B1016" s="162" t="s">
        <v>675</v>
      </c>
      <c r="C1016" s="162" t="s">
        <v>4311</v>
      </c>
      <c r="D1016" s="162" t="s">
        <v>4312</v>
      </c>
      <c r="E1016" s="162" t="s">
        <v>4313</v>
      </c>
      <c r="F1016" s="162">
        <v>96500</v>
      </c>
      <c r="G1016" s="162">
        <v>1</v>
      </c>
    </row>
    <row r="1017" spans="2:7" ht="57.6">
      <c r="B1017" s="162" t="s">
        <v>675</v>
      </c>
      <c r="C1017" s="162" t="s">
        <v>4314</v>
      </c>
      <c r="D1017" s="162" t="s">
        <v>4315</v>
      </c>
      <c r="E1017" s="162" t="s">
        <v>4316</v>
      </c>
      <c r="F1017" s="162">
        <v>64300</v>
      </c>
      <c r="G1017" s="162">
        <v>1</v>
      </c>
    </row>
    <row r="1018" spans="2:7" ht="57.6">
      <c r="B1018" s="162" t="s">
        <v>675</v>
      </c>
      <c r="C1018" s="162" t="s">
        <v>4317</v>
      </c>
      <c r="D1018" s="162" t="s">
        <v>4318</v>
      </c>
      <c r="E1018" s="162" t="s">
        <v>4316</v>
      </c>
      <c r="F1018" s="162">
        <v>79800</v>
      </c>
      <c r="G1018" s="162">
        <v>1</v>
      </c>
    </row>
    <row r="1019" spans="2:7" ht="57.6">
      <c r="B1019" s="162" t="s">
        <v>675</v>
      </c>
      <c r="C1019" s="162" t="s">
        <v>4319</v>
      </c>
      <c r="D1019" s="162" t="s">
        <v>4320</v>
      </c>
      <c r="E1019" s="162" t="s">
        <v>4321</v>
      </c>
      <c r="F1019" s="162">
        <v>99000</v>
      </c>
      <c r="G1019" s="162">
        <v>1</v>
      </c>
    </row>
    <row r="1020" spans="2:7">
      <c r="B1020" s="162" t="s">
        <v>675</v>
      </c>
      <c r="C1020" s="162" t="s">
        <v>4322</v>
      </c>
      <c r="D1020" s="162" t="s">
        <v>4323</v>
      </c>
      <c r="E1020" s="162" t="s">
        <v>4256</v>
      </c>
      <c r="F1020" s="162">
        <v>59900</v>
      </c>
      <c r="G1020" s="162">
        <v>1</v>
      </c>
    </row>
    <row r="1021" spans="2:7">
      <c r="B1021" s="162" t="s">
        <v>675</v>
      </c>
      <c r="C1021" s="162" t="s">
        <v>4324</v>
      </c>
      <c r="D1021" s="162" t="s">
        <v>4325</v>
      </c>
      <c r="E1021" s="162" t="s">
        <v>4256</v>
      </c>
      <c r="F1021" s="162">
        <v>75000</v>
      </c>
      <c r="G1021" s="162">
        <v>1</v>
      </c>
    </row>
    <row r="1022" spans="2:7">
      <c r="B1022" s="162" t="s">
        <v>675</v>
      </c>
      <c r="C1022" s="162" t="s">
        <v>4326</v>
      </c>
      <c r="D1022" s="162" t="s">
        <v>4327</v>
      </c>
      <c r="E1022" s="162" t="s">
        <v>4328</v>
      </c>
      <c r="F1022" s="162">
        <v>94600</v>
      </c>
      <c r="G1022" s="162">
        <v>1</v>
      </c>
    </row>
    <row r="1023" spans="2:7" ht="28.8">
      <c r="B1023" s="162" t="s">
        <v>675</v>
      </c>
      <c r="C1023" s="162" t="s">
        <v>4329</v>
      </c>
      <c r="D1023" s="162" t="s">
        <v>4330</v>
      </c>
      <c r="E1023" s="162" t="s">
        <v>4266</v>
      </c>
      <c r="F1023" s="162">
        <v>72800</v>
      </c>
      <c r="G1023" s="162">
        <v>1</v>
      </c>
    </row>
    <row r="1024" spans="2:7" ht="28.8">
      <c r="B1024" s="162" t="s">
        <v>675</v>
      </c>
      <c r="C1024" s="162" t="s">
        <v>4331</v>
      </c>
      <c r="D1024" s="162" t="s">
        <v>4332</v>
      </c>
      <c r="E1024" s="162" t="s">
        <v>4266</v>
      </c>
      <c r="F1024" s="162">
        <v>86600</v>
      </c>
      <c r="G1024" s="162">
        <v>1</v>
      </c>
    </row>
    <row r="1025" spans="2:7" ht="28.8">
      <c r="B1025" s="162" t="s">
        <v>675</v>
      </c>
      <c r="C1025" s="162" t="s">
        <v>4333</v>
      </c>
      <c r="D1025" s="162" t="s">
        <v>4334</v>
      </c>
      <c r="E1025" s="162" t="s">
        <v>4271</v>
      </c>
      <c r="F1025" s="162">
        <v>107500</v>
      </c>
      <c r="G1025" s="162">
        <v>1</v>
      </c>
    </row>
    <row r="1026" spans="2:7" ht="28.8">
      <c r="B1026" s="162" t="s">
        <v>675</v>
      </c>
      <c r="C1026" s="162" t="s">
        <v>4335</v>
      </c>
      <c r="D1026" s="162" t="s">
        <v>4336</v>
      </c>
      <c r="E1026" s="162" t="s">
        <v>4274</v>
      </c>
      <c r="F1026" s="162">
        <v>67200</v>
      </c>
      <c r="G1026" s="162">
        <v>1</v>
      </c>
    </row>
    <row r="1027" spans="2:7" ht="28.8">
      <c r="B1027" s="162" t="s">
        <v>675</v>
      </c>
      <c r="C1027" s="162" t="s">
        <v>4337</v>
      </c>
      <c r="D1027" s="162" t="s">
        <v>4338</v>
      </c>
      <c r="E1027" s="162" t="s">
        <v>4274</v>
      </c>
      <c r="F1027" s="162">
        <v>82300</v>
      </c>
      <c r="G1027" s="162">
        <v>1</v>
      </c>
    </row>
    <row r="1028" spans="2:7" ht="28.8">
      <c r="B1028" s="162" t="s">
        <v>675</v>
      </c>
      <c r="C1028" s="162" t="s">
        <v>4339</v>
      </c>
      <c r="D1028" s="162" t="s">
        <v>4340</v>
      </c>
      <c r="E1028" s="162" t="s">
        <v>4279</v>
      </c>
      <c r="F1028" s="162">
        <v>101900</v>
      </c>
      <c r="G1028" s="162">
        <v>1</v>
      </c>
    </row>
    <row r="1029" spans="2:7" ht="57.6">
      <c r="B1029" s="162" t="s">
        <v>675</v>
      </c>
      <c r="C1029" s="162" t="s">
        <v>4341</v>
      </c>
      <c r="D1029" s="162" t="s">
        <v>4342</v>
      </c>
      <c r="E1029" s="162" t="s">
        <v>4282</v>
      </c>
      <c r="F1029" s="162">
        <v>76300</v>
      </c>
      <c r="G1029" s="162">
        <v>1</v>
      </c>
    </row>
    <row r="1030" spans="2:7" ht="57.6">
      <c r="B1030" s="162" t="s">
        <v>675</v>
      </c>
      <c r="C1030" s="162" t="s">
        <v>4343</v>
      </c>
      <c r="D1030" s="162" t="s">
        <v>4344</v>
      </c>
      <c r="E1030" s="162" t="s">
        <v>4282</v>
      </c>
      <c r="F1030" s="162">
        <v>91300</v>
      </c>
      <c r="G1030" s="162">
        <v>1</v>
      </c>
    </row>
    <row r="1031" spans="2:7" ht="57.6">
      <c r="B1031" s="162" t="s">
        <v>675</v>
      </c>
      <c r="C1031" s="162" t="s">
        <v>4345</v>
      </c>
      <c r="D1031" s="162" t="s">
        <v>4346</v>
      </c>
      <c r="E1031" s="162" t="s">
        <v>4287</v>
      </c>
      <c r="F1031" s="162">
        <v>111000</v>
      </c>
      <c r="G1031" s="162">
        <v>1</v>
      </c>
    </row>
    <row r="1032" spans="2:7">
      <c r="B1032" s="162" t="s">
        <v>675</v>
      </c>
      <c r="C1032" s="162" t="s">
        <v>4347</v>
      </c>
      <c r="D1032" s="162" t="s">
        <v>4348</v>
      </c>
      <c r="E1032" s="162" t="s">
        <v>4290</v>
      </c>
      <c r="F1032" s="162">
        <v>59900</v>
      </c>
      <c r="G1032" s="162">
        <v>1</v>
      </c>
    </row>
    <row r="1033" spans="2:7">
      <c r="B1033" s="162" t="s">
        <v>675</v>
      </c>
      <c r="C1033" s="162" t="s">
        <v>4349</v>
      </c>
      <c r="D1033" s="162" t="s">
        <v>4350</v>
      </c>
      <c r="E1033" s="162" t="s">
        <v>4290</v>
      </c>
      <c r="F1033" s="162">
        <v>75000</v>
      </c>
      <c r="G1033" s="162">
        <v>1</v>
      </c>
    </row>
    <row r="1034" spans="2:7">
      <c r="B1034" s="162" t="s">
        <v>675</v>
      </c>
      <c r="C1034" s="162" t="s">
        <v>4351</v>
      </c>
      <c r="D1034" s="162" t="s">
        <v>4352</v>
      </c>
      <c r="E1034" s="162" t="s">
        <v>4297</v>
      </c>
      <c r="F1034" s="162">
        <v>94600</v>
      </c>
      <c r="G1034" s="162">
        <v>1</v>
      </c>
    </row>
    <row r="1035" spans="2:7" ht="28.8">
      <c r="B1035" s="162" t="s">
        <v>675</v>
      </c>
      <c r="C1035" s="162" t="s">
        <v>4353</v>
      </c>
      <c r="D1035" s="162" t="s">
        <v>4354</v>
      </c>
      <c r="E1035" s="162" t="s">
        <v>4300</v>
      </c>
      <c r="F1035" s="162">
        <v>72800</v>
      </c>
      <c r="G1035" s="162">
        <v>1</v>
      </c>
    </row>
    <row r="1036" spans="2:7" ht="28.8">
      <c r="B1036" s="162" t="s">
        <v>675</v>
      </c>
      <c r="C1036" s="162" t="s">
        <v>4355</v>
      </c>
      <c r="D1036" s="162" t="s">
        <v>4356</v>
      </c>
      <c r="E1036" s="162" t="s">
        <v>4300</v>
      </c>
      <c r="F1036" s="162">
        <v>86600</v>
      </c>
      <c r="G1036" s="162">
        <v>1</v>
      </c>
    </row>
    <row r="1037" spans="2:7" ht="28.8">
      <c r="B1037" s="162" t="s">
        <v>675</v>
      </c>
      <c r="C1037" s="162" t="s">
        <v>4357</v>
      </c>
      <c r="D1037" s="162" t="s">
        <v>4358</v>
      </c>
      <c r="E1037" s="162" t="s">
        <v>4305</v>
      </c>
      <c r="F1037" s="162">
        <v>107500</v>
      </c>
      <c r="G1037" s="162">
        <v>1</v>
      </c>
    </row>
    <row r="1038" spans="2:7">
      <c r="B1038" s="162" t="s">
        <v>675</v>
      </c>
      <c r="C1038" s="162" t="s">
        <v>4359</v>
      </c>
      <c r="D1038" s="162" t="s">
        <v>4360</v>
      </c>
      <c r="E1038" s="162" t="s">
        <v>4308</v>
      </c>
      <c r="F1038" s="162">
        <v>67200</v>
      </c>
      <c r="G1038" s="162">
        <v>1</v>
      </c>
    </row>
    <row r="1039" spans="2:7">
      <c r="B1039" s="162" t="s">
        <v>675</v>
      </c>
      <c r="C1039" s="162" t="s">
        <v>4361</v>
      </c>
      <c r="D1039" s="162" t="s">
        <v>4362</v>
      </c>
      <c r="E1039" s="162" t="s">
        <v>4308</v>
      </c>
      <c r="F1039" s="162">
        <v>82300</v>
      </c>
      <c r="G1039" s="162">
        <v>1</v>
      </c>
    </row>
    <row r="1040" spans="2:7" ht="28.8">
      <c r="B1040" s="162" t="s">
        <v>675</v>
      </c>
      <c r="C1040" s="162" t="s">
        <v>4363</v>
      </c>
      <c r="D1040" s="162" t="s">
        <v>4364</v>
      </c>
      <c r="E1040" s="162" t="s">
        <v>4313</v>
      </c>
      <c r="F1040" s="162">
        <v>101900</v>
      </c>
      <c r="G1040" s="162">
        <v>1</v>
      </c>
    </row>
    <row r="1041" spans="2:7" ht="57.6">
      <c r="B1041" s="162" t="s">
        <v>675</v>
      </c>
      <c r="C1041" s="162" t="s">
        <v>4365</v>
      </c>
      <c r="D1041" s="162" t="s">
        <v>4366</v>
      </c>
      <c r="E1041" s="162" t="s">
        <v>4316</v>
      </c>
      <c r="F1041" s="162">
        <v>76300</v>
      </c>
      <c r="G1041" s="162">
        <v>1</v>
      </c>
    </row>
    <row r="1042" spans="2:7" ht="57.6">
      <c r="B1042" s="162" t="s">
        <v>675</v>
      </c>
      <c r="C1042" s="162" t="s">
        <v>4367</v>
      </c>
      <c r="D1042" s="162" t="s">
        <v>4368</v>
      </c>
      <c r="E1042" s="162" t="s">
        <v>4316</v>
      </c>
      <c r="F1042" s="162">
        <v>91300</v>
      </c>
      <c r="G1042" s="162">
        <v>1</v>
      </c>
    </row>
    <row r="1043" spans="2:7" ht="57.6">
      <c r="B1043" s="162" t="s">
        <v>675</v>
      </c>
      <c r="C1043" s="162" t="s">
        <v>4369</v>
      </c>
      <c r="D1043" s="162" t="s">
        <v>4370</v>
      </c>
      <c r="E1043" s="162" t="s">
        <v>4321</v>
      </c>
      <c r="F1043" s="162">
        <v>111000</v>
      </c>
      <c r="G1043" s="162">
        <v>1</v>
      </c>
    </row>
    <row r="1044" spans="2:7" ht="28.8">
      <c r="B1044" s="162" t="s">
        <v>675</v>
      </c>
      <c r="C1044" s="162" t="s">
        <v>4371</v>
      </c>
      <c r="D1044" s="162" t="s">
        <v>4372</v>
      </c>
      <c r="E1044" s="162" t="s">
        <v>4373</v>
      </c>
      <c r="F1044" s="162">
        <v>28300</v>
      </c>
      <c r="G1044" s="162">
        <v>1</v>
      </c>
    </row>
    <row r="1045" spans="2:7" ht="28.8">
      <c r="B1045" s="162" t="s">
        <v>675</v>
      </c>
      <c r="C1045" s="162" t="s">
        <v>4374</v>
      </c>
      <c r="D1045" s="162" t="s">
        <v>4375</v>
      </c>
      <c r="E1045" s="162" t="s">
        <v>4376</v>
      </c>
      <c r="F1045" s="162">
        <v>22600</v>
      </c>
      <c r="G1045" s="162">
        <v>1</v>
      </c>
    </row>
    <row r="1046" spans="2:7" ht="43.2">
      <c r="B1046" s="162" t="s">
        <v>675</v>
      </c>
      <c r="C1046" s="162" t="s">
        <v>4377</v>
      </c>
      <c r="D1046" s="162" t="s">
        <v>4378</v>
      </c>
      <c r="E1046" s="162" t="s">
        <v>4379</v>
      </c>
      <c r="F1046" s="162">
        <v>7000</v>
      </c>
      <c r="G1046" s="162">
        <v>1</v>
      </c>
    </row>
    <row r="1047" spans="2:7" ht="57.6">
      <c r="B1047" s="162" t="s">
        <v>675</v>
      </c>
      <c r="C1047" s="162" t="s">
        <v>4380</v>
      </c>
      <c r="D1047" s="162" t="s">
        <v>4381</v>
      </c>
      <c r="E1047" s="162" t="s">
        <v>4382</v>
      </c>
      <c r="F1047" s="162">
        <v>14000</v>
      </c>
      <c r="G1047" s="162">
        <v>1</v>
      </c>
    </row>
    <row r="1048" spans="2:7" ht="57.6">
      <c r="B1048" s="162" t="s">
        <v>675</v>
      </c>
      <c r="C1048" s="162" t="s">
        <v>4383</v>
      </c>
      <c r="D1048" s="162" t="s">
        <v>4384</v>
      </c>
      <c r="E1048" s="162" t="s">
        <v>4385</v>
      </c>
      <c r="F1048" s="162">
        <v>12600</v>
      </c>
      <c r="G1048" s="162">
        <v>1</v>
      </c>
    </row>
    <row r="1049" spans="2:7" ht="43.2">
      <c r="B1049" s="162" t="s">
        <v>675</v>
      </c>
      <c r="C1049" s="162" t="s">
        <v>4386</v>
      </c>
      <c r="D1049" s="162" t="s">
        <v>4387</v>
      </c>
      <c r="E1049" s="162" t="s">
        <v>4388</v>
      </c>
      <c r="F1049" s="162">
        <v>7000</v>
      </c>
      <c r="G1049" s="162">
        <v>1</v>
      </c>
    </row>
    <row r="1050" spans="2:7" ht="43.2">
      <c r="B1050" s="162" t="s">
        <v>675</v>
      </c>
      <c r="C1050" s="162" t="s">
        <v>4389</v>
      </c>
      <c r="D1050" s="162" t="s">
        <v>4390</v>
      </c>
      <c r="E1050" s="162" t="s">
        <v>4391</v>
      </c>
      <c r="F1050" s="162">
        <v>7000</v>
      </c>
      <c r="G1050" s="162">
        <v>1</v>
      </c>
    </row>
    <row r="1051" spans="2:7" ht="57.6">
      <c r="B1051" s="162" t="s">
        <v>675</v>
      </c>
      <c r="C1051" s="162" t="s">
        <v>4392</v>
      </c>
      <c r="D1051" s="162" t="s">
        <v>4393</v>
      </c>
      <c r="E1051" s="162" t="s">
        <v>4394</v>
      </c>
      <c r="F1051" s="162">
        <v>7000</v>
      </c>
      <c r="G1051" s="162">
        <v>1</v>
      </c>
    </row>
    <row r="1052" spans="2:7" ht="57.6">
      <c r="B1052" s="162" t="s">
        <v>675</v>
      </c>
      <c r="C1052" s="162" t="s">
        <v>4395</v>
      </c>
      <c r="D1052" s="162" t="s">
        <v>4396</v>
      </c>
      <c r="E1052" s="162" t="s">
        <v>4397</v>
      </c>
      <c r="F1052" s="162">
        <v>7000</v>
      </c>
      <c r="G1052" s="162">
        <v>1</v>
      </c>
    </row>
    <row r="1053" spans="2:7" ht="57.6">
      <c r="B1053" s="162" t="s">
        <v>675</v>
      </c>
      <c r="C1053" s="162" t="s">
        <v>4398</v>
      </c>
      <c r="D1053" s="162" t="s">
        <v>4399</v>
      </c>
      <c r="E1053" s="162" t="s">
        <v>4400</v>
      </c>
      <c r="F1053" s="162">
        <v>14000</v>
      </c>
      <c r="G1053" s="162">
        <v>1</v>
      </c>
    </row>
    <row r="1054" spans="2:7" ht="57.6">
      <c r="B1054" s="162" t="s">
        <v>675</v>
      </c>
      <c r="C1054" s="162" t="s">
        <v>4401</v>
      </c>
      <c r="D1054" s="162" t="s">
        <v>4402</v>
      </c>
      <c r="E1054" s="162" t="s">
        <v>4403</v>
      </c>
      <c r="F1054" s="162">
        <v>26000</v>
      </c>
      <c r="G1054" s="162">
        <v>1</v>
      </c>
    </row>
    <row r="1055" spans="2:7" ht="43.2">
      <c r="B1055" s="162" t="s">
        <v>675</v>
      </c>
      <c r="C1055" s="162" t="s">
        <v>4404</v>
      </c>
      <c r="D1055" s="162" t="s">
        <v>4405</v>
      </c>
      <c r="E1055" s="162" t="s">
        <v>4406</v>
      </c>
      <c r="F1055" s="162">
        <v>35300</v>
      </c>
      <c r="G1055" s="162">
        <v>1</v>
      </c>
    </row>
    <row r="1056" spans="2:7" ht="43.2">
      <c r="B1056" s="162" t="s">
        <v>675</v>
      </c>
      <c r="C1056" s="162" t="s">
        <v>4407</v>
      </c>
      <c r="D1056" s="162" t="s">
        <v>4408</v>
      </c>
      <c r="E1056" s="162" t="s">
        <v>4409</v>
      </c>
      <c r="F1056" s="162">
        <v>41200</v>
      </c>
      <c r="G1056" s="162">
        <v>1</v>
      </c>
    </row>
    <row r="1057" spans="2:7">
      <c r="B1057" s="162" t="s">
        <v>675</v>
      </c>
      <c r="C1057" s="162" t="s">
        <v>4410</v>
      </c>
      <c r="D1057" s="162" t="s">
        <v>4411</v>
      </c>
      <c r="F1057" s="162">
        <v>40</v>
      </c>
      <c r="G1057" s="162">
        <v>1</v>
      </c>
    </row>
    <row r="1058" spans="2:7" ht="72">
      <c r="B1058" s="162" t="s">
        <v>675</v>
      </c>
      <c r="C1058" s="162" t="s">
        <v>4412</v>
      </c>
      <c r="D1058" s="162" t="s">
        <v>4413</v>
      </c>
      <c r="E1058" s="162" t="s">
        <v>4414</v>
      </c>
      <c r="F1058" s="162">
        <v>530</v>
      </c>
      <c r="G1058" s="162">
        <v>1</v>
      </c>
    </row>
    <row r="1059" spans="2:7" ht="43.2">
      <c r="B1059" s="162" t="s">
        <v>675</v>
      </c>
      <c r="C1059" s="162" t="s">
        <v>4415</v>
      </c>
      <c r="D1059" s="162" t="s">
        <v>4416</v>
      </c>
      <c r="E1059" s="162" t="s">
        <v>4417</v>
      </c>
      <c r="F1059" s="162">
        <v>330</v>
      </c>
      <c r="G1059" s="162">
        <v>1</v>
      </c>
    </row>
    <row r="1060" spans="2:7" ht="43.2">
      <c r="B1060" s="162" t="s">
        <v>675</v>
      </c>
      <c r="C1060" s="162" t="s">
        <v>4418</v>
      </c>
      <c r="D1060" s="162" t="s">
        <v>4419</v>
      </c>
      <c r="E1060" s="162" t="s">
        <v>4420</v>
      </c>
      <c r="F1060" s="162">
        <v>70</v>
      </c>
      <c r="G1060" s="162">
        <v>1</v>
      </c>
    </row>
    <row r="1061" spans="2:7">
      <c r="B1061" s="162" t="s">
        <v>675</v>
      </c>
      <c r="C1061" s="162" t="s">
        <v>4421</v>
      </c>
      <c r="D1061" s="162" t="s">
        <v>4422</v>
      </c>
      <c r="E1061" s="162" t="s">
        <v>4423</v>
      </c>
      <c r="F1061" s="162">
        <v>150</v>
      </c>
      <c r="G1061" s="162">
        <v>1</v>
      </c>
    </row>
    <row r="1062" spans="2:7">
      <c r="B1062" s="162" t="s">
        <v>675</v>
      </c>
      <c r="C1062" s="162" t="s">
        <v>4424</v>
      </c>
      <c r="D1062" s="162" t="s">
        <v>4425</v>
      </c>
      <c r="E1062" s="162" t="s">
        <v>4423</v>
      </c>
      <c r="F1062" s="162">
        <v>40</v>
      </c>
      <c r="G1062" s="162">
        <v>1</v>
      </c>
    </row>
    <row r="1063" spans="2:7">
      <c r="B1063" s="162" t="s">
        <v>675</v>
      </c>
      <c r="C1063" s="162" t="s">
        <v>4426</v>
      </c>
      <c r="D1063" s="162" t="s">
        <v>4427</v>
      </c>
      <c r="E1063" s="162" t="s">
        <v>4423</v>
      </c>
      <c r="F1063" s="162">
        <v>40</v>
      </c>
      <c r="G1063" s="162">
        <v>1</v>
      </c>
    </row>
    <row r="1064" spans="2:7" ht="28.8">
      <c r="B1064" s="162" t="s">
        <v>675</v>
      </c>
      <c r="C1064" s="162" t="s">
        <v>4428</v>
      </c>
      <c r="D1064" s="162" t="s">
        <v>4429</v>
      </c>
      <c r="E1064" s="162" t="s">
        <v>4423</v>
      </c>
      <c r="F1064" s="162">
        <v>40</v>
      </c>
      <c r="G1064" s="162">
        <v>1</v>
      </c>
    </row>
    <row r="1065" spans="2:7">
      <c r="B1065" s="162" t="s">
        <v>675</v>
      </c>
      <c r="C1065" s="162" t="s">
        <v>4430</v>
      </c>
      <c r="D1065" s="162" t="s">
        <v>4431</v>
      </c>
      <c r="E1065" s="162" t="s">
        <v>4423</v>
      </c>
      <c r="F1065" s="162">
        <v>40</v>
      </c>
      <c r="G1065" s="162">
        <v>1</v>
      </c>
    </row>
    <row r="1066" spans="2:7" ht="57.6">
      <c r="B1066" s="162" t="s">
        <v>675</v>
      </c>
      <c r="C1066" s="162" t="s">
        <v>4432</v>
      </c>
      <c r="D1066" s="162" t="s">
        <v>4433</v>
      </c>
      <c r="E1066" s="162" t="s">
        <v>4434</v>
      </c>
      <c r="F1066" s="162">
        <v>230</v>
      </c>
      <c r="G1066" s="162">
        <v>1</v>
      </c>
    </row>
    <row r="1067" spans="2:7" ht="57.6">
      <c r="B1067" s="162" t="s">
        <v>675</v>
      </c>
      <c r="C1067" s="162" t="s">
        <v>4435</v>
      </c>
      <c r="D1067" s="162" t="s">
        <v>4436</v>
      </c>
      <c r="E1067" s="162" t="s">
        <v>4437</v>
      </c>
      <c r="F1067" s="162">
        <v>530</v>
      </c>
      <c r="G1067" s="162">
        <v>1</v>
      </c>
    </row>
    <row r="1068" spans="2:7" ht="28.8">
      <c r="B1068" s="162" t="s">
        <v>675</v>
      </c>
      <c r="C1068" s="162" t="s">
        <v>4438</v>
      </c>
      <c r="D1068" s="162" t="s">
        <v>4439</v>
      </c>
      <c r="E1068" s="162" t="s">
        <v>4440</v>
      </c>
      <c r="F1068" s="162">
        <v>8400</v>
      </c>
      <c r="G1068" s="162">
        <v>1</v>
      </c>
    </row>
    <row r="1069" spans="2:7" ht="28.8">
      <c r="B1069" s="162" t="s">
        <v>675</v>
      </c>
      <c r="C1069" s="162" t="s">
        <v>4441</v>
      </c>
      <c r="D1069" s="162" t="s">
        <v>4442</v>
      </c>
      <c r="E1069" s="162" t="s">
        <v>4440</v>
      </c>
      <c r="F1069" s="162">
        <v>8400</v>
      </c>
      <c r="G1069" s="162">
        <v>1</v>
      </c>
    </row>
    <row r="1070" spans="2:7" ht="72">
      <c r="B1070" s="162" t="s">
        <v>675</v>
      </c>
      <c r="C1070" s="162" t="s">
        <v>4443</v>
      </c>
      <c r="D1070" s="162" t="s">
        <v>4444</v>
      </c>
      <c r="E1070" s="162" t="s">
        <v>4445</v>
      </c>
      <c r="F1070" s="162">
        <v>4650</v>
      </c>
      <c r="G1070" s="162">
        <v>1</v>
      </c>
    </row>
    <row r="1071" spans="2:7" ht="43.2">
      <c r="B1071" s="162" t="s">
        <v>675</v>
      </c>
      <c r="C1071" s="162" t="s">
        <v>4446</v>
      </c>
      <c r="D1071" s="162" t="s">
        <v>4447</v>
      </c>
      <c r="E1071" s="162" t="s">
        <v>4448</v>
      </c>
      <c r="F1071" s="162">
        <v>590</v>
      </c>
      <c r="G1071" s="162">
        <v>1</v>
      </c>
    </row>
    <row r="1072" spans="2:7" ht="57.6">
      <c r="B1072" s="162" t="s">
        <v>675</v>
      </c>
      <c r="C1072" s="162" t="s">
        <v>4449</v>
      </c>
      <c r="D1072" s="162" t="s">
        <v>4450</v>
      </c>
      <c r="E1072" s="162" t="s">
        <v>4451</v>
      </c>
      <c r="F1072" s="162">
        <v>4350</v>
      </c>
      <c r="G1072" s="162">
        <v>1</v>
      </c>
    </row>
    <row r="1073" spans="2:7" ht="57.6">
      <c r="B1073" s="162" t="s">
        <v>675</v>
      </c>
      <c r="C1073" s="162" t="s">
        <v>4452</v>
      </c>
      <c r="D1073" s="162" t="s">
        <v>4453</v>
      </c>
      <c r="E1073" s="162" t="s">
        <v>4451</v>
      </c>
      <c r="F1073" s="162">
        <v>4350</v>
      </c>
      <c r="G1073" s="162">
        <v>1</v>
      </c>
    </row>
    <row r="1074" spans="2:7" ht="28.8">
      <c r="B1074" s="162" t="s">
        <v>675</v>
      </c>
      <c r="C1074" s="162" t="s">
        <v>4454</v>
      </c>
      <c r="D1074" s="162" t="s">
        <v>4455</v>
      </c>
      <c r="E1074" s="162" t="s">
        <v>4456</v>
      </c>
      <c r="F1074" s="162">
        <v>530</v>
      </c>
      <c r="G1074" s="162">
        <v>1</v>
      </c>
    </row>
    <row r="1075" spans="2:7">
      <c r="B1075" s="162" t="s">
        <v>675</v>
      </c>
      <c r="C1075" s="162" t="s">
        <v>3964</v>
      </c>
      <c r="D1075" s="162" t="s">
        <v>4457</v>
      </c>
      <c r="E1075" s="162" t="s">
        <v>4458</v>
      </c>
      <c r="F1075" s="162">
        <v>14700</v>
      </c>
      <c r="G1075" s="162">
        <v>1</v>
      </c>
    </row>
    <row r="1076" spans="2:7" ht="57.6">
      <c r="B1076" s="162" t="s">
        <v>675</v>
      </c>
      <c r="C1076" s="162" t="s">
        <v>4459</v>
      </c>
      <c r="D1076" s="162" t="s">
        <v>4460</v>
      </c>
      <c r="E1076" s="162" t="s">
        <v>4461</v>
      </c>
      <c r="F1076" s="162">
        <v>1390</v>
      </c>
      <c r="G1076" s="162">
        <v>1</v>
      </c>
    </row>
    <row r="1077" spans="2:7" ht="43.2">
      <c r="B1077" s="162" t="s">
        <v>675</v>
      </c>
      <c r="C1077" s="162" t="s">
        <v>4462</v>
      </c>
      <c r="D1077" s="162" t="s">
        <v>4463</v>
      </c>
      <c r="E1077" s="162" t="s">
        <v>4464</v>
      </c>
      <c r="F1077" s="162">
        <v>1130</v>
      </c>
      <c r="G1077" s="162">
        <v>1</v>
      </c>
    </row>
    <row r="1078" spans="2:7">
      <c r="B1078" s="162" t="s">
        <v>675</v>
      </c>
      <c r="C1078" s="162" t="s">
        <v>4465</v>
      </c>
      <c r="D1078" s="162" t="s">
        <v>4466</v>
      </c>
      <c r="E1078" s="162" t="s">
        <v>4467</v>
      </c>
      <c r="F1078" s="162">
        <v>2800</v>
      </c>
      <c r="G1078" s="162">
        <v>1</v>
      </c>
    </row>
    <row r="1079" spans="2:7" ht="43.2">
      <c r="B1079" s="162" t="s">
        <v>675</v>
      </c>
      <c r="C1079" s="162" t="s">
        <v>4468</v>
      </c>
      <c r="D1079" s="162" t="s">
        <v>4469</v>
      </c>
      <c r="E1079" s="162" t="s">
        <v>4470</v>
      </c>
      <c r="F1079" s="162">
        <v>6020</v>
      </c>
      <c r="G1079" s="162">
        <v>1</v>
      </c>
    </row>
    <row r="1080" spans="2:7" ht="57.6">
      <c r="B1080" s="162" t="s">
        <v>675</v>
      </c>
      <c r="C1080" s="162" t="s">
        <v>4471</v>
      </c>
      <c r="D1080" s="162" t="s">
        <v>4472</v>
      </c>
      <c r="E1080" s="162" t="s">
        <v>4473</v>
      </c>
      <c r="F1080" s="162">
        <v>2040</v>
      </c>
      <c r="G1080" s="162">
        <v>1</v>
      </c>
    </row>
    <row r="1081" spans="2:7" ht="43.2">
      <c r="B1081" s="162" t="s">
        <v>675</v>
      </c>
      <c r="C1081" s="162" t="s">
        <v>4056</v>
      </c>
      <c r="D1081" s="162" t="s">
        <v>4057</v>
      </c>
      <c r="E1081" s="162" t="s">
        <v>4058</v>
      </c>
      <c r="F1081" s="162">
        <v>430</v>
      </c>
      <c r="G1081" s="162">
        <v>1</v>
      </c>
    </row>
    <row r="1082" spans="2:7" ht="43.2">
      <c r="B1082" s="162" t="s">
        <v>675</v>
      </c>
      <c r="C1082" s="162" t="s">
        <v>4474</v>
      </c>
      <c r="D1082" s="162" t="s">
        <v>4475</v>
      </c>
      <c r="E1082" s="162" t="s">
        <v>4476</v>
      </c>
      <c r="F1082" s="162">
        <v>2640</v>
      </c>
      <c r="G1082" s="162">
        <v>1</v>
      </c>
    </row>
    <row r="1083" spans="2:7" ht="43.2">
      <c r="B1083" s="162" t="s">
        <v>675</v>
      </c>
      <c r="C1083" s="162" t="s">
        <v>4059</v>
      </c>
      <c r="D1083" s="162" t="s">
        <v>4060</v>
      </c>
      <c r="E1083" s="162" t="s">
        <v>4477</v>
      </c>
      <c r="F1083" s="162">
        <v>70</v>
      </c>
      <c r="G1083" s="162">
        <v>1</v>
      </c>
    </row>
    <row r="1084" spans="2:7" ht="28.8">
      <c r="B1084" s="162" t="s">
        <v>675</v>
      </c>
      <c r="C1084" s="162" t="s">
        <v>4062</v>
      </c>
      <c r="D1084" s="162" t="s">
        <v>4063</v>
      </c>
      <c r="E1084" s="162" t="s">
        <v>4064</v>
      </c>
      <c r="F1084" s="162">
        <v>40</v>
      </c>
      <c r="G1084" s="162">
        <v>1</v>
      </c>
    </row>
    <row r="1085" spans="2:7" ht="28.8">
      <c r="B1085" s="162" t="s">
        <v>675</v>
      </c>
      <c r="C1085" s="162" t="s">
        <v>4065</v>
      </c>
      <c r="D1085" s="162" t="s">
        <v>4066</v>
      </c>
      <c r="F1085" s="162">
        <v>130</v>
      </c>
      <c r="G1085" s="162">
        <v>1</v>
      </c>
    </row>
    <row r="1086" spans="2:7">
      <c r="B1086" s="162" t="s">
        <v>675</v>
      </c>
      <c r="C1086" s="162" t="s">
        <v>4478</v>
      </c>
      <c r="D1086" s="162" t="s">
        <v>4479</v>
      </c>
      <c r="F1086" s="162">
        <v>130</v>
      </c>
      <c r="G1086" s="162">
        <v>1</v>
      </c>
    </row>
    <row r="1087" spans="2:7">
      <c r="B1087" s="162" t="s">
        <v>675</v>
      </c>
      <c r="C1087" s="162" t="s">
        <v>4480</v>
      </c>
      <c r="D1087" s="162" t="s">
        <v>4481</v>
      </c>
      <c r="F1087" s="162">
        <v>180</v>
      </c>
      <c r="G1087" s="162">
        <v>1</v>
      </c>
    </row>
    <row r="1088" spans="2:7">
      <c r="B1088" s="162" t="s">
        <v>675</v>
      </c>
      <c r="C1088" s="162" t="s">
        <v>4482</v>
      </c>
      <c r="D1088" s="162" t="s">
        <v>4483</v>
      </c>
      <c r="F1088" s="162">
        <v>480</v>
      </c>
      <c r="G1088" s="162">
        <v>1</v>
      </c>
    </row>
    <row r="1089" spans="2:7" ht="28.8">
      <c r="B1089" s="162" t="s">
        <v>675</v>
      </c>
      <c r="C1089" s="162" t="s">
        <v>4484</v>
      </c>
      <c r="D1089" s="162" t="s">
        <v>4485</v>
      </c>
      <c r="E1089" s="162" t="s">
        <v>4486</v>
      </c>
      <c r="F1089" s="162">
        <v>47900</v>
      </c>
      <c r="G1089" s="162">
        <v>1</v>
      </c>
    </row>
    <row r="1090" spans="2:7" ht="28.8">
      <c r="B1090" s="162" t="s">
        <v>675</v>
      </c>
      <c r="C1090" s="162" t="s">
        <v>4487</v>
      </c>
      <c r="D1090" s="162" t="s">
        <v>4488</v>
      </c>
      <c r="E1090" s="162" t="s">
        <v>4486</v>
      </c>
      <c r="F1090" s="162">
        <v>30000</v>
      </c>
      <c r="G1090" s="162">
        <v>1</v>
      </c>
    </row>
    <row r="1091" spans="2:7">
      <c r="B1091" s="162" t="s">
        <v>675</v>
      </c>
      <c r="C1091" s="162" t="s">
        <v>4489</v>
      </c>
      <c r="D1091" s="162" t="s">
        <v>4490</v>
      </c>
      <c r="F1091" s="162">
        <v>2050</v>
      </c>
      <c r="G1091" s="162">
        <v>1</v>
      </c>
    </row>
    <row r="1092" spans="2:7">
      <c r="B1092" s="162" t="s">
        <v>675</v>
      </c>
      <c r="C1092" s="162" t="s">
        <v>4491</v>
      </c>
      <c r="D1092" s="162" t="s">
        <v>4492</v>
      </c>
      <c r="F1092" s="162">
        <v>3720</v>
      </c>
      <c r="G1092" s="162">
        <v>1</v>
      </c>
    </row>
    <row r="1093" spans="2:7">
      <c r="B1093" s="162" t="s">
        <v>675</v>
      </c>
      <c r="C1093" s="162" t="s">
        <v>4493</v>
      </c>
      <c r="D1093" s="162" t="s">
        <v>4494</v>
      </c>
      <c r="F1093" s="162">
        <v>2560</v>
      </c>
      <c r="G1093" s="162">
        <v>1</v>
      </c>
    </row>
    <row r="1094" spans="2:7">
      <c r="B1094" s="162" t="s">
        <v>675</v>
      </c>
      <c r="C1094" s="162" t="s">
        <v>4495</v>
      </c>
      <c r="D1094" s="162" t="s">
        <v>4496</v>
      </c>
      <c r="F1094" s="162">
        <v>4640</v>
      </c>
      <c r="G1094" s="162">
        <v>1</v>
      </c>
    </row>
    <row r="1095" spans="2:7">
      <c r="B1095" s="162" t="s">
        <v>675</v>
      </c>
      <c r="C1095" s="162" t="s">
        <v>4497</v>
      </c>
      <c r="D1095" s="162" t="s">
        <v>4498</v>
      </c>
      <c r="F1095" s="162">
        <v>2930</v>
      </c>
      <c r="G1095" s="162">
        <v>1</v>
      </c>
    </row>
    <row r="1096" spans="2:7">
      <c r="B1096" s="162" t="s">
        <v>675</v>
      </c>
      <c r="C1096" s="162" t="s">
        <v>4499</v>
      </c>
      <c r="D1096" s="162" t="s">
        <v>4500</v>
      </c>
      <c r="F1096" s="162">
        <v>5320</v>
      </c>
      <c r="G1096" s="162">
        <v>1</v>
      </c>
    </row>
    <row r="1097" spans="2:7">
      <c r="B1097" s="162" t="s">
        <v>675</v>
      </c>
      <c r="C1097" s="162" t="s">
        <v>4501</v>
      </c>
      <c r="D1097" s="162" t="s">
        <v>4502</v>
      </c>
      <c r="F1097" s="162">
        <v>3370</v>
      </c>
      <c r="G1097" s="162">
        <v>1</v>
      </c>
    </row>
    <row r="1098" spans="2:7">
      <c r="B1098" s="162" t="s">
        <v>675</v>
      </c>
      <c r="C1098" s="162" t="s">
        <v>4503</v>
      </c>
      <c r="D1098" s="162" t="s">
        <v>4504</v>
      </c>
      <c r="F1098" s="162">
        <v>6070</v>
      </c>
      <c r="G1098" s="162">
        <v>1</v>
      </c>
    </row>
    <row r="1099" spans="2:7">
      <c r="B1099" s="162" t="s">
        <v>675</v>
      </c>
      <c r="C1099" s="162" t="s">
        <v>4505</v>
      </c>
      <c r="D1099" s="162" t="s">
        <v>4506</v>
      </c>
      <c r="F1099" s="162">
        <v>580</v>
      </c>
      <c r="G1099" s="162">
        <v>1</v>
      </c>
    </row>
    <row r="1100" spans="2:7" ht="28.8">
      <c r="B1100" s="162" t="s">
        <v>675</v>
      </c>
      <c r="C1100" s="162" t="s">
        <v>4507</v>
      </c>
      <c r="D1100" s="162" t="s">
        <v>4508</v>
      </c>
      <c r="E1100" s="162" t="s">
        <v>4509</v>
      </c>
      <c r="F1100" s="162">
        <v>5320</v>
      </c>
      <c r="G1100" s="162">
        <v>1</v>
      </c>
    </row>
    <row r="1101" spans="2:7">
      <c r="B1101" s="162" t="s">
        <v>675</v>
      </c>
      <c r="C1101" s="162" t="s">
        <v>4510</v>
      </c>
      <c r="D1101" s="162" t="s">
        <v>4511</v>
      </c>
      <c r="E1101" s="162" t="s">
        <v>4256</v>
      </c>
      <c r="F1101" s="162">
        <v>97000</v>
      </c>
      <c r="G1101" s="162">
        <v>1</v>
      </c>
    </row>
    <row r="1102" spans="2:7">
      <c r="B1102" s="162" t="s">
        <v>675</v>
      </c>
      <c r="C1102" s="162" t="s">
        <v>4512</v>
      </c>
      <c r="D1102" s="162" t="s">
        <v>4513</v>
      </c>
      <c r="E1102" s="162" t="s">
        <v>4256</v>
      </c>
      <c r="F1102" s="162">
        <v>107800</v>
      </c>
      <c r="G1102" s="162">
        <v>1</v>
      </c>
    </row>
    <row r="1103" spans="2:7">
      <c r="B1103" s="162" t="s">
        <v>675</v>
      </c>
      <c r="C1103" s="162" t="s">
        <v>4514</v>
      </c>
      <c r="D1103" s="162" t="s">
        <v>4515</v>
      </c>
      <c r="E1103" s="162" t="s">
        <v>4263</v>
      </c>
      <c r="F1103" s="162">
        <v>137700</v>
      </c>
      <c r="G1103" s="162">
        <v>1</v>
      </c>
    </row>
    <row r="1104" spans="2:7">
      <c r="B1104" s="162" t="s">
        <v>675</v>
      </c>
      <c r="C1104" s="162" t="s">
        <v>4516</v>
      </c>
      <c r="D1104" s="162" t="s">
        <v>4517</v>
      </c>
      <c r="E1104" s="162" t="s">
        <v>4256</v>
      </c>
      <c r="F1104" s="162">
        <v>111000</v>
      </c>
      <c r="G1104" s="162">
        <v>1</v>
      </c>
    </row>
    <row r="1105" spans="2:7">
      <c r="B1105" s="162" t="s">
        <v>675</v>
      </c>
      <c r="C1105" s="162" t="s">
        <v>4518</v>
      </c>
      <c r="D1105" s="162" t="s">
        <v>4519</v>
      </c>
      <c r="E1105" s="162" t="s">
        <v>4256</v>
      </c>
      <c r="F1105" s="162">
        <v>118000</v>
      </c>
      <c r="G1105" s="162">
        <v>1</v>
      </c>
    </row>
    <row r="1106" spans="2:7" ht="28.8">
      <c r="B1106" s="162" t="s">
        <v>675</v>
      </c>
      <c r="C1106" s="162" t="s">
        <v>4520</v>
      </c>
      <c r="D1106" s="162" t="s">
        <v>4521</v>
      </c>
      <c r="E1106" s="162" t="s">
        <v>4266</v>
      </c>
      <c r="F1106" s="162">
        <v>109900</v>
      </c>
      <c r="G1106" s="162">
        <v>1</v>
      </c>
    </row>
    <row r="1107" spans="2:7" ht="28.8">
      <c r="B1107" s="162" t="s">
        <v>675</v>
      </c>
      <c r="C1107" s="162" t="s">
        <v>4522</v>
      </c>
      <c r="D1107" s="162" t="s">
        <v>4523</v>
      </c>
      <c r="E1107" s="162" t="s">
        <v>4266</v>
      </c>
      <c r="F1107" s="162">
        <v>120000</v>
      </c>
      <c r="G1107" s="162">
        <v>1</v>
      </c>
    </row>
    <row r="1108" spans="2:7" ht="28.8">
      <c r="B1108" s="162" t="s">
        <v>675</v>
      </c>
      <c r="C1108" s="162" t="s">
        <v>4524</v>
      </c>
      <c r="D1108" s="162" t="s">
        <v>4525</v>
      </c>
      <c r="E1108" s="162" t="s">
        <v>4271</v>
      </c>
      <c r="F1108" s="162">
        <v>150600</v>
      </c>
      <c r="G1108" s="162">
        <v>1</v>
      </c>
    </row>
    <row r="1109" spans="2:7" ht="28.8">
      <c r="B1109" s="162" t="s">
        <v>675</v>
      </c>
      <c r="C1109" s="162" t="s">
        <v>4526</v>
      </c>
      <c r="D1109" s="162" t="s">
        <v>4527</v>
      </c>
      <c r="E1109" s="162" t="s">
        <v>4274</v>
      </c>
      <c r="F1109" s="162">
        <v>102600</v>
      </c>
      <c r="G1109" s="162">
        <v>1</v>
      </c>
    </row>
    <row r="1110" spans="2:7" ht="28.8">
      <c r="B1110" s="162" t="s">
        <v>675</v>
      </c>
      <c r="C1110" s="162" t="s">
        <v>4528</v>
      </c>
      <c r="D1110" s="162" t="s">
        <v>4529</v>
      </c>
      <c r="E1110" s="162" t="s">
        <v>4274</v>
      </c>
      <c r="F1110" s="162">
        <v>113100</v>
      </c>
      <c r="G1110" s="162">
        <v>1</v>
      </c>
    </row>
    <row r="1111" spans="2:7" ht="28.8">
      <c r="B1111" s="162" t="s">
        <v>675</v>
      </c>
      <c r="C1111" s="162" t="s">
        <v>4530</v>
      </c>
      <c r="D1111" s="162" t="s">
        <v>4531</v>
      </c>
      <c r="E1111" s="162" t="s">
        <v>4279</v>
      </c>
      <c r="F1111" s="162">
        <v>143300</v>
      </c>
      <c r="G1111" s="162">
        <v>1</v>
      </c>
    </row>
    <row r="1112" spans="2:7" ht="57.6">
      <c r="B1112" s="162" t="s">
        <v>675</v>
      </c>
      <c r="C1112" s="162" t="s">
        <v>4532</v>
      </c>
      <c r="D1112" s="162" t="s">
        <v>4533</v>
      </c>
      <c r="E1112" s="162" t="s">
        <v>4282</v>
      </c>
      <c r="F1112" s="162">
        <v>124400</v>
      </c>
      <c r="G1112" s="162">
        <v>1</v>
      </c>
    </row>
    <row r="1113" spans="2:7" ht="57.6">
      <c r="B1113" s="162" t="s">
        <v>675</v>
      </c>
      <c r="C1113" s="162" t="s">
        <v>4534</v>
      </c>
      <c r="D1113" s="162" t="s">
        <v>4535</v>
      </c>
      <c r="E1113" s="162" t="s">
        <v>4287</v>
      </c>
      <c r="F1113" s="162">
        <v>155200</v>
      </c>
      <c r="G1113" s="162">
        <v>1</v>
      </c>
    </row>
    <row r="1114" spans="2:7">
      <c r="B1114" s="162" t="s">
        <v>675</v>
      </c>
      <c r="C1114" s="162" t="s">
        <v>4536</v>
      </c>
      <c r="D1114" s="162" t="s">
        <v>4537</v>
      </c>
      <c r="E1114" s="162" t="s">
        <v>4538</v>
      </c>
      <c r="F1114" s="162">
        <v>97000</v>
      </c>
      <c r="G1114" s="162">
        <v>1</v>
      </c>
    </row>
    <row r="1115" spans="2:7">
      <c r="B1115" s="162" t="s">
        <v>675</v>
      </c>
      <c r="C1115" s="162" t="s">
        <v>4539</v>
      </c>
      <c r="D1115" s="162" t="s">
        <v>4540</v>
      </c>
      <c r="E1115" s="162" t="s">
        <v>4538</v>
      </c>
      <c r="F1115" s="162">
        <v>107800</v>
      </c>
      <c r="G1115" s="162">
        <v>1</v>
      </c>
    </row>
    <row r="1116" spans="2:7">
      <c r="B1116" s="162" t="s">
        <v>675</v>
      </c>
      <c r="C1116" s="162" t="s">
        <v>4541</v>
      </c>
      <c r="D1116" s="162" t="s">
        <v>4542</v>
      </c>
      <c r="E1116" s="162" t="s">
        <v>4543</v>
      </c>
      <c r="F1116" s="162">
        <v>137700</v>
      </c>
      <c r="G1116" s="162">
        <v>1</v>
      </c>
    </row>
    <row r="1117" spans="2:7">
      <c r="B1117" s="162" t="s">
        <v>675</v>
      </c>
      <c r="C1117" s="162" t="s">
        <v>4544</v>
      </c>
      <c r="D1117" s="162" t="s">
        <v>4545</v>
      </c>
      <c r="E1117" s="162" t="s">
        <v>4538</v>
      </c>
      <c r="F1117" s="162">
        <v>111000</v>
      </c>
      <c r="G1117" s="162">
        <v>1</v>
      </c>
    </row>
    <row r="1118" spans="2:7">
      <c r="B1118" s="162" t="s">
        <v>675</v>
      </c>
      <c r="C1118" s="162" t="s">
        <v>4546</v>
      </c>
      <c r="D1118" s="162" t="s">
        <v>4547</v>
      </c>
      <c r="E1118" s="162" t="s">
        <v>4538</v>
      </c>
      <c r="F1118" s="162">
        <v>118000</v>
      </c>
      <c r="G1118" s="162">
        <v>1</v>
      </c>
    </row>
    <row r="1119" spans="2:7" ht="28.8">
      <c r="B1119" s="162" t="s">
        <v>675</v>
      </c>
      <c r="C1119" s="162" t="s">
        <v>4548</v>
      </c>
      <c r="D1119" s="162" t="s">
        <v>4549</v>
      </c>
      <c r="E1119" s="162" t="s">
        <v>4300</v>
      </c>
      <c r="F1119" s="162">
        <v>109900</v>
      </c>
      <c r="G1119" s="162">
        <v>1</v>
      </c>
    </row>
    <row r="1120" spans="2:7" ht="28.8">
      <c r="B1120" s="162" t="s">
        <v>675</v>
      </c>
      <c r="C1120" s="162" t="s">
        <v>4550</v>
      </c>
      <c r="D1120" s="162" t="s">
        <v>4551</v>
      </c>
      <c r="E1120" s="162" t="s">
        <v>4300</v>
      </c>
      <c r="F1120" s="162">
        <v>120000</v>
      </c>
      <c r="G1120" s="162">
        <v>1</v>
      </c>
    </row>
    <row r="1121" spans="2:7" ht="28.8">
      <c r="B1121" s="162" t="s">
        <v>675</v>
      </c>
      <c r="C1121" s="162" t="s">
        <v>4552</v>
      </c>
      <c r="D1121" s="162" t="s">
        <v>4553</v>
      </c>
      <c r="E1121" s="162" t="s">
        <v>4305</v>
      </c>
      <c r="F1121" s="162">
        <v>150600</v>
      </c>
      <c r="G1121" s="162">
        <v>1</v>
      </c>
    </row>
    <row r="1122" spans="2:7">
      <c r="B1122" s="162" t="s">
        <v>675</v>
      </c>
      <c r="C1122" s="162" t="s">
        <v>4554</v>
      </c>
      <c r="D1122" s="162" t="s">
        <v>4555</v>
      </c>
      <c r="E1122" s="162" t="s">
        <v>4308</v>
      </c>
      <c r="F1122" s="162">
        <v>102600</v>
      </c>
      <c r="G1122" s="162">
        <v>1</v>
      </c>
    </row>
    <row r="1123" spans="2:7">
      <c r="B1123" s="162" t="s">
        <v>675</v>
      </c>
      <c r="C1123" s="162" t="s">
        <v>4556</v>
      </c>
      <c r="D1123" s="162" t="s">
        <v>4557</v>
      </c>
      <c r="E1123" s="162" t="s">
        <v>4308</v>
      </c>
      <c r="F1123" s="162">
        <v>113100</v>
      </c>
      <c r="G1123" s="162">
        <v>1</v>
      </c>
    </row>
    <row r="1124" spans="2:7" ht="28.8">
      <c r="B1124" s="162" t="s">
        <v>675</v>
      </c>
      <c r="C1124" s="162" t="s">
        <v>4558</v>
      </c>
      <c r="D1124" s="162" t="s">
        <v>4559</v>
      </c>
      <c r="E1124" s="162" t="s">
        <v>4313</v>
      </c>
      <c r="F1124" s="162">
        <v>143300</v>
      </c>
      <c r="G1124" s="162">
        <v>1</v>
      </c>
    </row>
    <row r="1125" spans="2:7" ht="57.6">
      <c r="B1125" s="162" t="s">
        <v>675</v>
      </c>
      <c r="C1125" s="162" t="s">
        <v>4560</v>
      </c>
      <c r="D1125" s="162" t="s">
        <v>4561</v>
      </c>
      <c r="E1125" s="162" t="s">
        <v>4316</v>
      </c>
      <c r="F1125" s="162">
        <v>124400</v>
      </c>
      <c r="G1125" s="162">
        <v>1</v>
      </c>
    </row>
    <row r="1126" spans="2:7" ht="57.6">
      <c r="B1126" s="162" t="s">
        <v>675</v>
      </c>
      <c r="C1126" s="162" t="s">
        <v>4562</v>
      </c>
      <c r="D1126" s="162" t="s">
        <v>4563</v>
      </c>
      <c r="E1126" s="162" t="s">
        <v>4321</v>
      </c>
      <c r="F1126" s="162">
        <v>155200</v>
      </c>
      <c r="G1126" s="162">
        <v>1</v>
      </c>
    </row>
    <row r="1127" spans="2:7">
      <c r="B1127" s="162" t="s">
        <v>675</v>
      </c>
      <c r="C1127" s="162" t="s">
        <v>4564</v>
      </c>
      <c r="D1127" s="162" t="s">
        <v>4565</v>
      </c>
      <c r="E1127" s="162" t="s">
        <v>4256</v>
      </c>
      <c r="F1127" s="162">
        <v>107800</v>
      </c>
      <c r="G1127" s="162">
        <v>1</v>
      </c>
    </row>
    <row r="1128" spans="2:7">
      <c r="B1128" s="162" t="s">
        <v>675</v>
      </c>
      <c r="C1128" s="162" t="s">
        <v>4566</v>
      </c>
      <c r="D1128" s="162" t="s">
        <v>4567</v>
      </c>
      <c r="E1128" s="162" t="s">
        <v>4256</v>
      </c>
      <c r="F1128" s="162">
        <v>118500</v>
      </c>
      <c r="G1128" s="162">
        <v>1</v>
      </c>
    </row>
    <row r="1129" spans="2:7">
      <c r="B1129" s="162" t="s">
        <v>675</v>
      </c>
      <c r="C1129" s="162" t="s">
        <v>4568</v>
      </c>
      <c r="D1129" s="162" t="s">
        <v>4569</v>
      </c>
      <c r="E1129" s="162" t="s">
        <v>4328</v>
      </c>
      <c r="F1129" s="162">
        <v>148500</v>
      </c>
      <c r="G1129" s="162">
        <v>1</v>
      </c>
    </row>
    <row r="1130" spans="2:7" ht="28.8">
      <c r="B1130" s="162" t="s">
        <v>675</v>
      </c>
      <c r="C1130" s="162" t="s">
        <v>4570</v>
      </c>
      <c r="D1130" s="162" t="s">
        <v>4571</v>
      </c>
      <c r="E1130" s="162" t="s">
        <v>4266</v>
      </c>
      <c r="F1130" s="162">
        <v>120600</v>
      </c>
      <c r="G1130" s="162">
        <v>1</v>
      </c>
    </row>
    <row r="1131" spans="2:7" ht="28.8">
      <c r="B1131" s="162" t="s">
        <v>675</v>
      </c>
      <c r="C1131" s="162" t="s">
        <v>4572</v>
      </c>
      <c r="D1131" s="162" t="s">
        <v>4573</v>
      </c>
      <c r="E1131" s="162" t="s">
        <v>4266</v>
      </c>
      <c r="F1131" s="162">
        <v>130800</v>
      </c>
      <c r="G1131" s="162">
        <v>1</v>
      </c>
    </row>
    <row r="1132" spans="2:7" ht="28.8">
      <c r="B1132" s="162" t="s">
        <v>675</v>
      </c>
      <c r="C1132" s="162" t="s">
        <v>4574</v>
      </c>
      <c r="D1132" s="162" t="s">
        <v>4575</v>
      </c>
      <c r="E1132" s="162" t="s">
        <v>4271</v>
      </c>
      <c r="F1132" s="162">
        <v>161300</v>
      </c>
      <c r="G1132" s="162">
        <v>1</v>
      </c>
    </row>
    <row r="1133" spans="2:7" ht="28.8">
      <c r="B1133" s="162" t="s">
        <v>675</v>
      </c>
      <c r="C1133" s="162" t="s">
        <v>4576</v>
      </c>
      <c r="D1133" s="162" t="s">
        <v>4577</v>
      </c>
      <c r="E1133" s="162" t="s">
        <v>4274</v>
      </c>
      <c r="F1133" s="162">
        <v>115500</v>
      </c>
      <c r="G1133" s="162">
        <v>1</v>
      </c>
    </row>
    <row r="1134" spans="2:7" ht="28.8">
      <c r="B1134" s="162" t="s">
        <v>675</v>
      </c>
      <c r="C1134" s="162" t="s">
        <v>4578</v>
      </c>
      <c r="D1134" s="162" t="s">
        <v>4579</v>
      </c>
      <c r="E1134" s="162" t="s">
        <v>4274</v>
      </c>
      <c r="F1134" s="162">
        <v>125800</v>
      </c>
      <c r="G1134" s="162">
        <v>1</v>
      </c>
    </row>
    <row r="1135" spans="2:7" ht="28.8">
      <c r="B1135" s="162" t="s">
        <v>675</v>
      </c>
      <c r="C1135" s="162" t="s">
        <v>4580</v>
      </c>
      <c r="D1135" s="162" t="s">
        <v>4581</v>
      </c>
      <c r="E1135" s="162" t="s">
        <v>4279</v>
      </c>
      <c r="F1135" s="162">
        <v>156100</v>
      </c>
      <c r="G1135" s="162">
        <v>1</v>
      </c>
    </row>
    <row r="1136" spans="2:7" ht="57.6">
      <c r="B1136" s="162" t="s">
        <v>675</v>
      </c>
      <c r="C1136" s="162" t="s">
        <v>4582</v>
      </c>
      <c r="D1136" s="162" t="s">
        <v>4583</v>
      </c>
      <c r="E1136" s="162" t="s">
        <v>4282</v>
      </c>
      <c r="F1136" s="162">
        <v>135100</v>
      </c>
      <c r="G1136" s="162">
        <v>1</v>
      </c>
    </row>
    <row r="1137" spans="2:7" ht="57.6">
      <c r="B1137" s="162" t="s">
        <v>675</v>
      </c>
      <c r="C1137" s="162" t="s">
        <v>4584</v>
      </c>
      <c r="D1137" s="162" t="s">
        <v>4585</v>
      </c>
      <c r="E1137" s="162" t="s">
        <v>4287</v>
      </c>
      <c r="F1137" s="162">
        <v>165900</v>
      </c>
      <c r="G1137" s="162">
        <v>1</v>
      </c>
    </row>
    <row r="1138" spans="2:7">
      <c r="B1138" s="162" t="s">
        <v>675</v>
      </c>
      <c r="C1138" s="162" t="s">
        <v>4586</v>
      </c>
      <c r="D1138" s="162" t="s">
        <v>4587</v>
      </c>
      <c r="E1138" s="162" t="s">
        <v>4538</v>
      </c>
      <c r="F1138" s="162">
        <v>107800</v>
      </c>
      <c r="G1138" s="162">
        <v>1</v>
      </c>
    </row>
    <row r="1139" spans="2:7">
      <c r="B1139" s="162" t="s">
        <v>675</v>
      </c>
      <c r="C1139" s="162" t="s">
        <v>4588</v>
      </c>
      <c r="D1139" s="162" t="s">
        <v>4589</v>
      </c>
      <c r="E1139" s="162" t="s">
        <v>4538</v>
      </c>
      <c r="F1139" s="162">
        <v>118500</v>
      </c>
      <c r="G1139" s="162">
        <v>1</v>
      </c>
    </row>
    <row r="1140" spans="2:7">
      <c r="B1140" s="162" t="s">
        <v>675</v>
      </c>
      <c r="C1140" s="162" t="s">
        <v>4590</v>
      </c>
      <c r="D1140" s="162" t="s">
        <v>4591</v>
      </c>
      <c r="E1140" s="162" t="s">
        <v>4543</v>
      </c>
      <c r="F1140" s="162">
        <v>148500</v>
      </c>
      <c r="G1140" s="162">
        <v>1</v>
      </c>
    </row>
    <row r="1141" spans="2:7" ht="28.8">
      <c r="B1141" s="162" t="s">
        <v>675</v>
      </c>
      <c r="C1141" s="162" t="s">
        <v>4592</v>
      </c>
      <c r="D1141" s="162" t="s">
        <v>4593</v>
      </c>
      <c r="E1141" s="162" t="s">
        <v>4300</v>
      </c>
      <c r="F1141" s="162">
        <v>120600</v>
      </c>
      <c r="G1141" s="162">
        <v>1</v>
      </c>
    </row>
    <row r="1142" spans="2:7" ht="28.8">
      <c r="B1142" s="162" t="s">
        <v>675</v>
      </c>
      <c r="C1142" s="162" t="s">
        <v>4594</v>
      </c>
      <c r="D1142" s="162" t="s">
        <v>4595</v>
      </c>
      <c r="E1142" s="162" t="s">
        <v>4300</v>
      </c>
      <c r="F1142" s="162">
        <v>130800</v>
      </c>
      <c r="G1142" s="162">
        <v>1</v>
      </c>
    </row>
    <row r="1143" spans="2:7" ht="28.8">
      <c r="B1143" s="162" t="s">
        <v>675</v>
      </c>
      <c r="C1143" s="162" t="s">
        <v>4596</v>
      </c>
      <c r="D1143" s="162" t="s">
        <v>4597</v>
      </c>
      <c r="E1143" s="162" t="s">
        <v>4305</v>
      </c>
      <c r="F1143" s="162">
        <v>161300</v>
      </c>
      <c r="G1143" s="162">
        <v>1</v>
      </c>
    </row>
    <row r="1144" spans="2:7">
      <c r="B1144" s="162" t="s">
        <v>675</v>
      </c>
      <c r="C1144" s="162" t="s">
        <v>4598</v>
      </c>
      <c r="D1144" s="162" t="s">
        <v>4599</v>
      </c>
      <c r="E1144" s="162" t="s">
        <v>4308</v>
      </c>
      <c r="F1144" s="162">
        <v>115500</v>
      </c>
      <c r="G1144" s="162">
        <v>1</v>
      </c>
    </row>
    <row r="1145" spans="2:7">
      <c r="B1145" s="162" t="s">
        <v>675</v>
      </c>
      <c r="C1145" s="162" t="s">
        <v>4600</v>
      </c>
      <c r="D1145" s="162" t="s">
        <v>4601</v>
      </c>
      <c r="E1145" s="162" t="s">
        <v>4308</v>
      </c>
      <c r="F1145" s="162">
        <v>125800</v>
      </c>
      <c r="G1145" s="162">
        <v>1</v>
      </c>
    </row>
    <row r="1146" spans="2:7" ht="28.8">
      <c r="B1146" s="162" t="s">
        <v>675</v>
      </c>
      <c r="C1146" s="162" t="s">
        <v>4602</v>
      </c>
      <c r="D1146" s="162" t="s">
        <v>4603</v>
      </c>
      <c r="E1146" s="162" t="s">
        <v>4313</v>
      </c>
      <c r="F1146" s="162">
        <v>156100</v>
      </c>
      <c r="G1146" s="162">
        <v>1</v>
      </c>
    </row>
    <row r="1147" spans="2:7" ht="57.6">
      <c r="B1147" s="162" t="s">
        <v>675</v>
      </c>
      <c r="C1147" s="162" t="s">
        <v>4604</v>
      </c>
      <c r="D1147" s="162" t="s">
        <v>4605</v>
      </c>
      <c r="E1147" s="162" t="s">
        <v>4316</v>
      </c>
      <c r="F1147" s="162">
        <v>135100</v>
      </c>
      <c r="G1147" s="162">
        <v>1</v>
      </c>
    </row>
    <row r="1148" spans="2:7" ht="57.6">
      <c r="B1148" s="162" t="s">
        <v>675</v>
      </c>
      <c r="C1148" s="162" t="s">
        <v>4606</v>
      </c>
      <c r="D1148" s="162" t="s">
        <v>4607</v>
      </c>
      <c r="E1148" s="162" t="s">
        <v>4321</v>
      </c>
      <c r="F1148" s="162">
        <v>165900</v>
      </c>
      <c r="G1148" s="162">
        <v>1</v>
      </c>
    </row>
    <row r="1149" spans="2:7" ht="28.8">
      <c r="B1149" s="162" t="s">
        <v>675</v>
      </c>
      <c r="C1149" s="162" t="s">
        <v>4371</v>
      </c>
      <c r="D1149" s="162" t="s">
        <v>4372</v>
      </c>
      <c r="E1149" s="162" t="s">
        <v>4373</v>
      </c>
      <c r="F1149" s="162">
        <v>28300</v>
      </c>
      <c r="G1149" s="162">
        <v>1</v>
      </c>
    </row>
    <row r="1150" spans="2:7" ht="28.8">
      <c r="B1150" s="162" t="s">
        <v>675</v>
      </c>
      <c r="C1150" s="162" t="s">
        <v>4374</v>
      </c>
      <c r="D1150" s="162" t="s">
        <v>4375</v>
      </c>
      <c r="E1150" s="162" t="s">
        <v>4376</v>
      </c>
      <c r="F1150" s="162">
        <v>22600</v>
      </c>
      <c r="G1150" s="162">
        <v>1</v>
      </c>
    </row>
    <row r="1151" spans="2:7" ht="43.2">
      <c r="B1151" s="162" t="s">
        <v>675</v>
      </c>
      <c r="C1151" s="162" t="s">
        <v>4377</v>
      </c>
      <c r="D1151" s="162" t="s">
        <v>4378</v>
      </c>
      <c r="E1151" s="162" t="s">
        <v>4379</v>
      </c>
      <c r="F1151" s="162">
        <v>7000</v>
      </c>
      <c r="G1151" s="162">
        <v>1</v>
      </c>
    </row>
    <row r="1152" spans="2:7" ht="57.6">
      <c r="B1152" s="162" t="s">
        <v>675</v>
      </c>
      <c r="C1152" s="162" t="s">
        <v>4380</v>
      </c>
      <c r="D1152" s="162" t="s">
        <v>4381</v>
      </c>
      <c r="E1152" s="162" t="s">
        <v>4382</v>
      </c>
      <c r="F1152" s="162">
        <v>14000</v>
      </c>
      <c r="G1152" s="162">
        <v>1</v>
      </c>
    </row>
    <row r="1153" spans="2:7" ht="57.6">
      <c r="B1153" s="162" t="s">
        <v>675</v>
      </c>
      <c r="C1153" s="162" t="s">
        <v>4383</v>
      </c>
      <c r="D1153" s="162" t="s">
        <v>4384</v>
      </c>
      <c r="E1153" s="162" t="s">
        <v>4385</v>
      </c>
      <c r="F1153" s="162">
        <v>12600</v>
      </c>
      <c r="G1153" s="162">
        <v>1</v>
      </c>
    </row>
    <row r="1154" spans="2:7" ht="43.2">
      <c r="B1154" s="162" t="s">
        <v>675</v>
      </c>
      <c r="C1154" s="162" t="s">
        <v>4386</v>
      </c>
      <c r="D1154" s="162" t="s">
        <v>4387</v>
      </c>
      <c r="E1154" s="162" t="s">
        <v>4388</v>
      </c>
      <c r="F1154" s="162">
        <v>7000</v>
      </c>
      <c r="G1154" s="162">
        <v>1</v>
      </c>
    </row>
    <row r="1155" spans="2:7" ht="43.2">
      <c r="B1155" s="162" t="s">
        <v>675</v>
      </c>
      <c r="C1155" s="162" t="s">
        <v>4389</v>
      </c>
      <c r="D1155" s="162" t="s">
        <v>4390</v>
      </c>
      <c r="E1155" s="162" t="s">
        <v>4391</v>
      </c>
      <c r="F1155" s="162">
        <v>7000</v>
      </c>
      <c r="G1155" s="162">
        <v>1</v>
      </c>
    </row>
    <row r="1156" spans="2:7" ht="57.6">
      <c r="B1156" s="162" t="s">
        <v>675</v>
      </c>
      <c r="C1156" s="162" t="s">
        <v>4392</v>
      </c>
      <c r="D1156" s="162" t="s">
        <v>4393</v>
      </c>
      <c r="E1156" s="162" t="s">
        <v>4394</v>
      </c>
      <c r="F1156" s="162">
        <v>7000</v>
      </c>
      <c r="G1156" s="162">
        <v>1</v>
      </c>
    </row>
    <row r="1157" spans="2:7" ht="57.6">
      <c r="B1157" s="162" t="s">
        <v>675</v>
      </c>
      <c r="C1157" s="162" t="s">
        <v>4395</v>
      </c>
      <c r="D1157" s="162" t="s">
        <v>4396</v>
      </c>
      <c r="E1157" s="162" t="s">
        <v>4397</v>
      </c>
      <c r="F1157" s="162">
        <v>7000</v>
      </c>
      <c r="G1157" s="162">
        <v>1</v>
      </c>
    </row>
    <row r="1158" spans="2:7" ht="57.6">
      <c r="B1158" s="162" t="s">
        <v>675</v>
      </c>
      <c r="C1158" s="162" t="s">
        <v>4398</v>
      </c>
      <c r="D1158" s="162" t="s">
        <v>4399</v>
      </c>
      <c r="E1158" s="162" t="s">
        <v>4400</v>
      </c>
      <c r="F1158" s="162">
        <v>14000</v>
      </c>
      <c r="G1158" s="162">
        <v>1</v>
      </c>
    </row>
    <row r="1159" spans="2:7" ht="57.6">
      <c r="B1159" s="162" t="s">
        <v>675</v>
      </c>
      <c r="C1159" s="162" t="s">
        <v>4401</v>
      </c>
      <c r="D1159" s="162" t="s">
        <v>4402</v>
      </c>
      <c r="E1159" s="162" t="s">
        <v>4403</v>
      </c>
      <c r="F1159" s="162">
        <v>26000</v>
      </c>
      <c r="G1159" s="162">
        <v>1</v>
      </c>
    </row>
    <row r="1160" spans="2:7" ht="43.2">
      <c r="B1160" s="162" t="s">
        <v>675</v>
      </c>
      <c r="C1160" s="162" t="s">
        <v>4404</v>
      </c>
      <c r="D1160" s="162" t="s">
        <v>4405</v>
      </c>
      <c r="E1160" s="162" t="s">
        <v>4406</v>
      </c>
      <c r="F1160" s="162">
        <v>35300</v>
      </c>
      <c r="G1160" s="162">
        <v>1</v>
      </c>
    </row>
    <row r="1161" spans="2:7" ht="43.2">
      <c r="B1161" s="162" t="s">
        <v>675</v>
      </c>
      <c r="C1161" s="162" t="s">
        <v>4407</v>
      </c>
      <c r="D1161" s="162" t="s">
        <v>4408</v>
      </c>
      <c r="E1161" s="162" t="s">
        <v>4409</v>
      </c>
      <c r="F1161" s="162">
        <v>41200</v>
      </c>
      <c r="G1161" s="162">
        <v>1</v>
      </c>
    </row>
    <row r="1162" spans="2:7">
      <c r="B1162" s="162" t="s">
        <v>675</v>
      </c>
      <c r="C1162" s="162" t="s">
        <v>4410</v>
      </c>
      <c r="D1162" s="162" t="s">
        <v>4411</v>
      </c>
      <c r="F1162" s="162">
        <v>40</v>
      </c>
      <c r="G1162" s="162">
        <v>1</v>
      </c>
    </row>
    <row r="1163" spans="2:7" ht="72">
      <c r="B1163" s="162" t="s">
        <v>675</v>
      </c>
      <c r="C1163" s="162" t="s">
        <v>4412</v>
      </c>
      <c r="D1163" s="162" t="s">
        <v>4413</v>
      </c>
      <c r="E1163" s="162" t="s">
        <v>4414</v>
      </c>
      <c r="F1163" s="162">
        <v>530</v>
      </c>
      <c r="G1163" s="162">
        <v>1</v>
      </c>
    </row>
    <row r="1164" spans="2:7" ht="43.2">
      <c r="B1164" s="162" t="s">
        <v>675</v>
      </c>
      <c r="C1164" s="162" t="s">
        <v>4415</v>
      </c>
      <c r="D1164" s="162" t="s">
        <v>4416</v>
      </c>
      <c r="E1164" s="162" t="s">
        <v>4417</v>
      </c>
      <c r="F1164" s="162">
        <v>330</v>
      </c>
      <c r="G1164" s="162">
        <v>1</v>
      </c>
    </row>
    <row r="1165" spans="2:7" ht="43.2">
      <c r="B1165" s="162" t="s">
        <v>675</v>
      </c>
      <c r="C1165" s="162" t="s">
        <v>4418</v>
      </c>
      <c r="D1165" s="162" t="s">
        <v>4419</v>
      </c>
      <c r="E1165" s="162" t="s">
        <v>4420</v>
      </c>
      <c r="F1165" s="162">
        <v>70</v>
      </c>
      <c r="G1165" s="162">
        <v>1</v>
      </c>
    </row>
    <row r="1166" spans="2:7">
      <c r="B1166" s="162" t="s">
        <v>675</v>
      </c>
      <c r="C1166" s="162" t="s">
        <v>4421</v>
      </c>
      <c r="D1166" s="162" t="s">
        <v>4422</v>
      </c>
      <c r="E1166" s="162" t="s">
        <v>4423</v>
      </c>
      <c r="F1166" s="162">
        <v>150</v>
      </c>
      <c r="G1166" s="162">
        <v>1</v>
      </c>
    </row>
    <row r="1167" spans="2:7">
      <c r="B1167" s="162" t="s">
        <v>675</v>
      </c>
      <c r="C1167" s="162" t="s">
        <v>4424</v>
      </c>
      <c r="D1167" s="162" t="s">
        <v>4425</v>
      </c>
      <c r="E1167" s="162" t="s">
        <v>4423</v>
      </c>
      <c r="F1167" s="162">
        <v>40</v>
      </c>
      <c r="G1167" s="162">
        <v>1</v>
      </c>
    </row>
    <row r="1168" spans="2:7">
      <c r="B1168" s="162" t="s">
        <v>675</v>
      </c>
      <c r="C1168" s="162" t="s">
        <v>4426</v>
      </c>
      <c r="D1168" s="162" t="s">
        <v>4427</v>
      </c>
      <c r="E1168" s="162" t="s">
        <v>4423</v>
      </c>
      <c r="F1168" s="162">
        <v>40</v>
      </c>
      <c r="G1168" s="162">
        <v>1</v>
      </c>
    </row>
    <row r="1169" spans="2:7" ht="28.8">
      <c r="B1169" s="162" t="s">
        <v>675</v>
      </c>
      <c r="C1169" s="162" t="s">
        <v>4428</v>
      </c>
      <c r="D1169" s="162" t="s">
        <v>4429</v>
      </c>
      <c r="E1169" s="162" t="s">
        <v>4423</v>
      </c>
      <c r="F1169" s="162">
        <v>40</v>
      </c>
      <c r="G1169" s="162">
        <v>1</v>
      </c>
    </row>
    <row r="1170" spans="2:7">
      <c r="B1170" s="162" t="s">
        <v>675</v>
      </c>
      <c r="C1170" s="162" t="s">
        <v>4430</v>
      </c>
      <c r="D1170" s="162" t="s">
        <v>4431</v>
      </c>
      <c r="E1170" s="162" t="s">
        <v>4423</v>
      </c>
      <c r="F1170" s="162">
        <v>40</v>
      </c>
      <c r="G1170" s="162">
        <v>1</v>
      </c>
    </row>
    <row r="1171" spans="2:7" ht="57.6">
      <c r="B1171" s="162" t="s">
        <v>675</v>
      </c>
      <c r="C1171" s="162" t="s">
        <v>4432</v>
      </c>
      <c r="D1171" s="162" t="s">
        <v>4433</v>
      </c>
      <c r="E1171" s="162" t="s">
        <v>4434</v>
      </c>
      <c r="F1171" s="162">
        <v>230</v>
      </c>
      <c r="G1171" s="162">
        <v>1</v>
      </c>
    </row>
    <row r="1172" spans="2:7" ht="86.4">
      <c r="B1172" s="162" t="s">
        <v>675</v>
      </c>
      <c r="C1172" s="162" t="s">
        <v>4435</v>
      </c>
      <c r="D1172" s="162" t="s">
        <v>4608</v>
      </c>
      <c r="E1172" s="162" t="s">
        <v>4609</v>
      </c>
      <c r="F1172" s="162">
        <v>530</v>
      </c>
      <c r="G1172" s="162">
        <v>1</v>
      </c>
    </row>
    <row r="1173" spans="2:7" ht="28.8">
      <c r="B1173" s="162" t="s">
        <v>675</v>
      </c>
      <c r="C1173" s="162" t="s">
        <v>4438</v>
      </c>
      <c r="D1173" s="162" t="s">
        <v>4610</v>
      </c>
      <c r="E1173" s="162" t="s">
        <v>4440</v>
      </c>
      <c r="F1173" s="162">
        <v>8400</v>
      </c>
      <c r="G1173" s="162">
        <v>1</v>
      </c>
    </row>
    <row r="1174" spans="2:7" ht="28.8">
      <c r="B1174" s="162" t="s">
        <v>675</v>
      </c>
      <c r="C1174" s="162" t="s">
        <v>4441</v>
      </c>
      <c r="D1174" s="162" t="s">
        <v>4442</v>
      </c>
      <c r="E1174" s="162" t="s">
        <v>4440</v>
      </c>
      <c r="F1174" s="162">
        <v>8400</v>
      </c>
      <c r="G1174" s="162">
        <v>1</v>
      </c>
    </row>
    <row r="1175" spans="2:7" ht="72">
      <c r="B1175" s="162" t="s">
        <v>675</v>
      </c>
      <c r="C1175" s="162" t="s">
        <v>4443</v>
      </c>
      <c r="D1175" s="162" t="s">
        <v>4444</v>
      </c>
      <c r="E1175" s="162" t="s">
        <v>4445</v>
      </c>
      <c r="F1175" s="162">
        <v>4650</v>
      </c>
      <c r="G1175" s="162">
        <v>1</v>
      </c>
    </row>
    <row r="1176" spans="2:7" ht="43.2">
      <c r="B1176" s="162" t="s">
        <v>675</v>
      </c>
      <c r="C1176" s="162" t="s">
        <v>4446</v>
      </c>
      <c r="D1176" s="162" t="s">
        <v>4447</v>
      </c>
      <c r="E1176" s="162" t="s">
        <v>4448</v>
      </c>
      <c r="F1176" s="162">
        <v>590</v>
      </c>
      <c r="G1176" s="162">
        <v>1</v>
      </c>
    </row>
    <row r="1177" spans="2:7">
      <c r="B1177" s="162" t="s">
        <v>675</v>
      </c>
      <c r="C1177" s="162" t="s">
        <v>3964</v>
      </c>
      <c r="D1177" s="162" t="s">
        <v>4457</v>
      </c>
      <c r="E1177" s="162" t="s">
        <v>4611</v>
      </c>
      <c r="F1177" s="162">
        <v>14700</v>
      </c>
      <c r="G1177" s="162">
        <v>1</v>
      </c>
    </row>
    <row r="1178" spans="2:7" ht="57.6">
      <c r="B1178" s="162" t="s">
        <v>675</v>
      </c>
      <c r="C1178" s="162" t="s">
        <v>4459</v>
      </c>
      <c r="D1178" s="162" t="s">
        <v>4460</v>
      </c>
      <c r="E1178" s="162" t="s">
        <v>4612</v>
      </c>
      <c r="F1178" s="162">
        <v>1390</v>
      </c>
      <c r="G1178" s="162">
        <v>1</v>
      </c>
    </row>
    <row r="1179" spans="2:7" ht="57.6">
      <c r="B1179" s="162" t="s">
        <v>675</v>
      </c>
      <c r="C1179" s="162" t="s">
        <v>4462</v>
      </c>
      <c r="D1179" s="162" t="s">
        <v>4463</v>
      </c>
      <c r="E1179" s="162" t="s">
        <v>4613</v>
      </c>
      <c r="F1179" s="162">
        <v>1130</v>
      </c>
      <c r="G1179" s="162">
        <v>1</v>
      </c>
    </row>
    <row r="1180" spans="2:7" ht="43.2">
      <c r="B1180" s="162" t="s">
        <v>675</v>
      </c>
      <c r="C1180" s="162" t="s">
        <v>4614</v>
      </c>
      <c r="D1180" s="162" t="s">
        <v>4615</v>
      </c>
      <c r="E1180" s="162" t="s">
        <v>4616</v>
      </c>
      <c r="F1180" s="162">
        <v>3430</v>
      </c>
      <c r="G1180" s="162">
        <v>1</v>
      </c>
    </row>
    <row r="1181" spans="2:7" ht="28.8">
      <c r="B1181" s="162" t="s">
        <v>675</v>
      </c>
      <c r="C1181" s="162" t="s">
        <v>4454</v>
      </c>
      <c r="D1181" s="162" t="s">
        <v>4455</v>
      </c>
      <c r="E1181" s="162" t="s">
        <v>4456</v>
      </c>
      <c r="F1181" s="162">
        <v>530</v>
      </c>
      <c r="G1181" s="162">
        <v>1</v>
      </c>
    </row>
    <row r="1182" spans="2:7">
      <c r="B1182" s="162" t="s">
        <v>675</v>
      </c>
      <c r="C1182" s="162" t="s">
        <v>4617</v>
      </c>
      <c r="D1182" s="162" t="s">
        <v>4618</v>
      </c>
      <c r="E1182" s="162" t="s">
        <v>4619</v>
      </c>
      <c r="F1182" s="162">
        <v>2800</v>
      </c>
      <c r="G1182" s="162">
        <v>1</v>
      </c>
    </row>
    <row r="1183" spans="2:7">
      <c r="B1183" s="162" t="s">
        <v>675</v>
      </c>
      <c r="C1183" s="162" t="s">
        <v>4620</v>
      </c>
      <c r="D1183" s="162" t="s">
        <v>4621</v>
      </c>
      <c r="E1183" s="162" t="s">
        <v>4622</v>
      </c>
      <c r="F1183" s="162">
        <v>6440</v>
      </c>
      <c r="G1183" s="162">
        <v>1</v>
      </c>
    </row>
    <row r="1184" spans="2:7" ht="57.6">
      <c r="B1184" s="162" t="s">
        <v>675</v>
      </c>
      <c r="C1184" s="162" t="s">
        <v>4471</v>
      </c>
      <c r="D1184" s="162" t="s">
        <v>4623</v>
      </c>
      <c r="E1184" s="162" t="s">
        <v>4624</v>
      </c>
      <c r="F1184" s="162">
        <v>2040</v>
      </c>
      <c r="G1184" s="162">
        <v>1</v>
      </c>
    </row>
    <row r="1185" spans="2:7" ht="43.2">
      <c r="B1185" s="162" t="s">
        <v>675</v>
      </c>
      <c r="C1185" s="162" t="s">
        <v>4056</v>
      </c>
      <c r="D1185" s="162" t="s">
        <v>4057</v>
      </c>
      <c r="E1185" s="162" t="s">
        <v>4058</v>
      </c>
      <c r="F1185" s="162">
        <v>430</v>
      </c>
      <c r="G1185" s="162">
        <v>1</v>
      </c>
    </row>
    <row r="1186" spans="2:7" ht="43.2">
      <c r="B1186" s="162" t="s">
        <v>675</v>
      </c>
      <c r="C1186" s="162" t="s">
        <v>4474</v>
      </c>
      <c r="D1186" s="162" t="s">
        <v>4475</v>
      </c>
      <c r="E1186" s="162" t="s">
        <v>4476</v>
      </c>
      <c r="F1186" s="162">
        <v>2640</v>
      </c>
      <c r="G1186" s="162">
        <v>1</v>
      </c>
    </row>
    <row r="1187" spans="2:7" ht="43.2">
      <c r="B1187" s="162" t="s">
        <v>675</v>
      </c>
      <c r="C1187" s="162" t="s">
        <v>4625</v>
      </c>
      <c r="D1187" s="162" t="s">
        <v>4626</v>
      </c>
      <c r="E1187" s="162" t="s">
        <v>4627</v>
      </c>
      <c r="F1187" s="162">
        <v>50</v>
      </c>
      <c r="G1187" s="162">
        <v>1</v>
      </c>
    </row>
    <row r="1188" spans="2:7" ht="43.2">
      <c r="B1188" s="162" t="s">
        <v>675</v>
      </c>
      <c r="C1188" s="162" t="s">
        <v>4059</v>
      </c>
      <c r="D1188" s="162" t="s">
        <v>4060</v>
      </c>
      <c r="E1188" s="162" t="s">
        <v>4477</v>
      </c>
      <c r="F1188" s="162">
        <v>70</v>
      </c>
      <c r="G1188" s="162">
        <v>1</v>
      </c>
    </row>
    <row r="1189" spans="2:7" ht="28.8">
      <c r="B1189" s="162" t="s">
        <v>675</v>
      </c>
      <c r="C1189" s="162" t="s">
        <v>4062</v>
      </c>
      <c r="D1189" s="162" t="s">
        <v>4063</v>
      </c>
      <c r="E1189" s="162" t="s">
        <v>4064</v>
      </c>
      <c r="F1189" s="162">
        <v>40</v>
      </c>
      <c r="G1189" s="162">
        <v>1</v>
      </c>
    </row>
    <row r="1190" spans="2:7" ht="28.8">
      <c r="B1190" s="162" t="s">
        <v>675</v>
      </c>
      <c r="C1190" s="162" t="s">
        <v>4065</v>
      </c>
      <c r="D1190" s="162" t="s">
        <v>4066</v>
      </c>
      <c r="F1190" s="162">
        <v>130</v>
      </c>
      <c r="G1190" s="162">
        <v>1</v>
      </c>
    </row>
    <row r="1191" spans="2:7">
      <c r="B1191" s="162" t="s">
        <v>675</v>
      </c>
      <c r="C1191" s="162" t="s">
        <v>4628</v>
      </c>
      <c r="D1191" s="162" t="s">
        <v>4629</v>
      </c>
      <c r="F1191" s="162">
        <v>160</v>
      </c>
      <c r="G1191" s="162">
        <v>1</v>
      </c>
    </row>
    <row r="1192" spans="2:7">
      <c r="B1192" s="162" t="s">
        <v>675</v>
      </c>
      <c r="C1192" s="162" t="s">
        <v>4630</v>
      </c>
      <c r="D1192" s="162" t="s">
        <v>4631</v>
      </c>
      <c r="F1192" s="162">
        <v>170</v>
      </c>
      <c r="G1192" s="162">
        <v>1</v>
      </c>
    </row>
    <row r="1193" spans="2:7">
      <c r="B1193" s="162" t="s">
        <v>675</v>
      </c>
      <c r="C1193" s="162" t="s">
        <v>4632</v>
      </c>
      <c r="D1193" s="162" t="s">
        <v>4633</v>
      </c>
      <c r="F1193" s="162">
        <v>810</v>
      </c>
      <c r="G1193" s="162">
        <v>1</v>
      </c>
    </row>
    <row r="1194" spans="2:7" ht="43.2">
      <c r="B1194" s="162" t="s">
        <v>675</v>
      </c>
      <c r="C1194" s="162" t="s">
        <v>4634</v>
      </c>
      <c r="D1194" s="162" t="s">
        <v>4635</v>
      </c>
      <c r="E1194" s="162" t="s">
        <v>4636</v>
      </c>
      <c r="F1194" s="162">
        <v>300</v>
      </c>
      <c r="G1194" s="162">
        <v>1</v>
      </c>
    </row>
    <row r="1195" spans="2:7" ht="28.8">
      <c r="B1195" s="162" t="s">
        <v>675</v>
      </c>
      <c r="C1195" s="162" t="s">
        <v>4637</v>
      </c>
      <c r="D1195" s="162" t="s">
        <v>4638</v>
      </c>
      <c r="E1195" s="162" t="s">
        <v>4639</v>
      </c>
      <c r="G1195" s="162">
        <v>1</v>
      </c>
    </row>
    <row r="1196" spans="2:7" ht="28.8">
      <c r="B1196" s="162" t="s">
        <v>675</v>
      </c>
      <c r="C1196" s="162" t="s">
        <v>4640</v>
      </c>
      <c r="D1196" s="162" t="s">
        <v>4641</v>
      </c>
      <c r="E1196" s="162" t="s">
        <v>4642</v>
      </c>
      <c r="F1196" s="162">
        <v>35000</v>
      </c>
      <c r="G1196" s="162">
        <v>1</v>
      </c>
    </row>
    <row r="1197" spans="2:7" ht="158.4">
      <c r="B1197" s="162" t="s">
        <v>675</v>
      </c>
      <c r="C1197" s="162" t="s">
        <v>4643</v>
      </c>
      <c r="D1197" s="162" t="s">
        <v>4644</v>
      </c>
      <c r="E1197" s="162" t="s">
        <v>4645</v>
      </c>
      <c r="F1197" s="162">
        <v>10500</v>
      </c>
      <c r="G1197" s="162">
        <v>1</v>
      </c>
    </row>
    <row r="1198" spans="2:7" ht="158.4">
      <c r="B1198" s="162" t="s">
        <v>675</v>
      </c>
      <c r="C1198" s="162" t="s">
        <v>4646</v>
      </c>
      <c r="D1198" s="162" t="s">
        <v>4647</v>
      </c>
      <c r="E1198" s="162" t="s">
        <v>4648</v>
      </c>
      <c r="F1198" s="162">
        <v>6980</v>
      </c>
      <c r="G1198" s="162">
        <v>1</v>
      </c>
    </row>
    <row r="1199" spans="2:7" ht="28.8">
      <c r="B1199" s="162" t="s">
        <v>675</v>
      </c>
      <c r="C1199" s="162" t="s">
        <v>4649</v>
      </c>
      <c r="D1199" s="162" t="s">
        <v>4650</v>
      </c>
      <c r="E1199" s="162" t="s">
        <v>4651</v>
      </c>
      <c r="F1199" s="162">
        <v>2360</v>
      </c>
      <c r="G1199" s="162">
        <v>1</v>
      </c>
    </row>
    <row r="1200" spans="2:7" ht="28.8">
      <c r="B1200" s="162" t="s">
        <v>675</v>
      </c>
      <c r="C1200" s="162" t="s">
        <v>4652</v>
      </c>
      <c r="D1200" s="162" t="s">
        <v>4653</v>
      </c>
      <c r="E1200" s="162" t="s">
        <v>4651</v>
      </c>
      <c r="F1200" s="162">
        <v>2270</v>
      </c>
      <c r="G1200" s="162">
        <v>1</v>
      </c>
    </row>
    <row r="1201" spans="2:7">
      <c r="B1201" s="162" t="s">
        <v>675</v>
      </c>
      <c r="C1201" s="162" t="s">
        <v>4654</v>
      </c>
      <c r="D1201" s="162" t="s">
        <v>4655</v>
      </c>
      <c r="E1201" s="162" t="s">
        <v>4069</v>
      </c>
      <c r="F1201" s="162">
        <v>3760</v>
      </c>
      <c r="G1201" s="162">
        <v>1</v>
      </c>
    </row>
    <row r="1202" spans="2:7">
      <c r="B1202" s="162" t="s">
        <v>675</v>
      </c>
      <c r="C1202" s="162" t="s">
        <v>4656</v>
      </c>
      <c r="D1202" s="162" t="s">
        <v>4657</v>
      </c>
      <c r="E1202" s="162" t="s">
        <v>4069</v>
      </c>
      <c r="F1202" s="162">
        <v>4660</v>
      </c>
      <c r="G1202" s="162">
        <v>1</v>
      </c>
    </row>
    <row r="1203" spans="2:7">
      <c r="B1203" s="162" t="s">
        <v>675</v>
      </c>
      <c r="C1203" s="162" t="s">
        <v>4658</v>
      </c>
      <c r="D1203" s="162" t="s">
        <v>4659</v>
      </c>
      <c r="E1203" s="162" t="s">
        <v>4072</v>
      </c>
      <c r="F1203" s="162">
        <v>6830</v>
      </c>
      <c r="G1203" s="162">
        <v>1</v>
      </c>
    </row>
    <row r="1204" spans="2:7">
      <c r="B1204" s="162" t="s">
        <v>675</v>
      </c>
      <c r="C1204" s="162" t="s">
        <v>4660</v>
      </c>
      <c r="D1204" s="162" t="s">
        <v>4661</v>
      </c>
      <c r="E1204" s="162" t="s">
        <v>4072</v>
      </c>
      <c r="F1204" s="162">
        <v>8450</v>
      </c>
      <c r="G1204" s="162">
        <v>1</v>
      </c>
    </row>
    <row r="1205" spans="2:7" ht="28.8">
      <c r="B1205" s="162" t="s">
        <v>675</v>
      </c>
      <c r="C1205" s="162" t="s">
        <v>4662</v>
      </c>
      <c r="D1205" s="162" t="s">
        <v>4663</v>
      </c>
      <c r="E1205" s="162" t="s">
        <v>4664</v>
      </c>
      <c r="F1205" s="162">
        <v>12600</v>
      </c>
      <c r="G1205" s="162">
        <v>1</v>
      </c>
    </row>
    <row r="1206" spans="2:7">
      <c r="B1206" s="162" t="s">
        <v>675</v>
      </c>
      <c r="C1206" s="162" t="s">
        <v>4665</v>
      </c>
      <c r="D1206" s="162" t="s">
        <v>4666</v>
      </c>
      <c r="E1206" s="162" t="s">
        <v>4667</v>
      </c>
      <c r="F1206" s="162">
        <v>87600</v>
      </c>
      <c r="G1206" s="162">
        <v>1</v>
      </c>
    </row>
    <row r="1207" spans="2:7">
      <c r="B1207" s="162" t="s">
        <v>675</v>
      </c>
      <c r="C1207" s="162" t="s">
        <v>4668</v>
      </c>
      <c r="D1207" s="162" t="s">
        <v>4669</v>
      </c>
      <c r="E1207" s="162" t="s">
        <v>4670</v>
      </c>
      <c r="F1207" s="162">
        <v>89900</v>
      </c>
      <c r="G1207" s="162">
        <v>1</v>
      </c>
    </row>
    <row r="1208" spans="2:7">
      <c r="B1208" s="162" t="s">
        <v>675</v>
      </c>
      <c r="C1208" s="162" t="s">
        <v>4671</v>
      </c>
      <c r="D1208" s="162" t="s">
        <v>4672</v>
      </c>
      <c r="E1208" s="162" t="s">
        <v>4670</v>
      </c>
      <c r="F1208" s="162">
        <v>122300</v>
      </c>
      <c r="G1208" s="162">
        <v>1</v>
      </c>
    </row>
    <row r="1209" spans="2:7" ht="43.2">
      <c r="B1209" s="162" t="s">
        <v>675</v>
      </c>
      <c r="C1209" s="162" t="s">
        <v>4371</v>
      </c>
      <c r="D1209" s="162" t="s">
        <v>4372</v>
      </c>
      <c r="E1209" s="162" t="s">
        <v>4673</v>
      </c>
      <c r="F1209" s="162">
        <v>28300</v>
      </c>
      <c r="G1209" s="162">
        <v>1</v>
      </c>
    </row>
    <row r="1210" spans="2:7" ht="43.2">
      <c r="B1210" s="162" t="s">
        <v>675</v>
      </c>
      <c r="C1210" s="162" t="s">
        <v>4374</v>
      </c>
      <c r="D1210" s="162" t="s">
        <v>4375</v>
      </c>
      <c r="E1210" s="162" t="s">
        <v>4674</v>
      </c>
      <c r="F1210" s="162">
        <v>22600</v>
      </c>
      <c r="G1210" s="162">
        <v>1</v>
      </c>
    </row>
    <row r="1211" spans="2:7" ht="72">
      <c r="B1211" s="162" t="s">
        <v>675</v>
      </c>
      <c r="C1211" s="162" t="s">
        <v>4380</v>
      </c>
      <c r="D1211" s="162" t="s">
        <v>4381</v>
      </c>
      <c r="E1211" s="162" t="s">
        <v>4675</v>
      </c>
      <c r="F1211" s="162">
        <v>14000</v>
      </c>
      <c r="G1211" s="162">
        <v>1</v>
      </c>
    </row>
    <row r="1212" spans="2:7" ht="72">
      <c r="B1212" s="162" t="s">
        <v>675</v>
      </c>
      <c r="C1212" s="162" t="s">
        <v>4383</v>
      </c>
      <c r="D1212" s="162" t="s">
        <v>4384</v>
      </c>
      <c r="E1212" s="162" t="s">
        <v>4676</v>
      </c>
      <c r="F1212" s="162">
        <v>12600</v>
      </c>
      <c r="G1212" s="162">
        <v>1</v>
      </c>
    </row>
    <row r="1213" spans="2:7" ht="72">
      <c r="B1213" s="162" t="s">
        <v>675</v>
      </c>
      <c r="C1213" s="162" t="s">
        <v>4386</v>
      </c>
      <c r="D1213" s="162" t="s">
        <v>4387</v>
      </c>
      <c r="E1213" s="162" t="s">
        <v>4677</v>
      </c>
      <c r="F1213" s="162">
        <v>7000</v>
      </c>
      <c r="G1213" s="162">
        <v>1</v>
      </c>
    </row>
    <row r="1214" spans="2:7" ht="57.6">
      <c r="B1214" s="162" t="s">
        <v>675</v>
      </c>
      <c r="C1214" s="162" t="s">
        <v>4389</v>
      </c>
      <c r="D1214" s="162" t="s">
        <v>4390</v>
      </c>
      <c r="E1214" s="162" t="s">
        <v>4678</v>
      </c>
      <c r="F1214" s="162">
        <v>7000</v>
      </c>
      <c r="G1214" s="162">
        <v>1</v>
      </c>
    </row>
    <row r="1215" spans="2:7" ht="72">
      <c r="B1215" s="162" t="s">
        <v>675</v>
      </c>
      <c r="C1215" s="162" t="s">
        <v>4392</v>
      </c>
      <c r="D1215" s="162" t="s">
        <v>4393</v>
      </c>
      <c r="E1215" s="162" t="s">
        <v>4679</v>
      </c>
      <c r="F1215" s="162">
        <v>7000</v>
      </c>
      <c r="G1215" s="162">
        <v>1</v>
      </c>
    </row>
    <row r="1216" spans="2:7" ht="72">
      <c r="B1216" s="162" t="s">
        <v>675</v>
      </c>
      <c r="C1216" s="162" t="s">
        <v>4395</v>
      </c>
      <c r="D1216" s="162" t="s">
        <v>4396</v>
      </c>
      <c r="E1216" s="162" t="s">
        <v>4680</v>
      </c>
      <c r="F1216" s="162">
        <v>7000</v>
      </c>
      <c r="G1216" s="162">
        <v>1</v>
      </c>
    </row>
    <row r="1217" spans="2:7" ht="72">
      <c r="B1217" s="162" t="s">
        <v>675</v>
      </c>
      <c r="C1217" s="162" t="s">
        <v>4398</v>
      </c>
      <c r="D1217" s="162" t="s">
        <v>4399</v>
      </c>
      <c r="E1217" s="162" t="s">
        <v>4681</v>
      </c>
      <c r="F1217" s="162">
        <v>14000</v>
      </c>
      <c r="G1217" s="162">
        <v>1</v>
      </c>
    </row>
    <row r="1218" spans="2:7" ht="43.2">
      <c r="B1218" s="162" t="s">
        <v>675</v>
      </c>
      <c r="C1218" s="162" t="s">
        <v>4682</v>
      </c>
      <c r="D1218" s="162" t="s">
        <v>4683</v>
      </c>
      <c r="E1218" s="162" t="s">
        <v>4684</v>
      </c>
      <c r="F1218" s="162">
        <v>59400</v>
      </c>
      <c r="G1218" s="162">
        <v>1</v>
      </c>
    </row>
    <row r="1219" spans="2:7">
      <c r="B1219" s="162" t="s">
        <v>675</v>
      </c>
      <c r="C1219" s="162" t="s">
        <v>4685</v>
      </c>
      <c r="D1219" s="162" t="s">
        <v>4686</v>
      </c>
      <c r="F1219" s="162">
        <v>1970</v>
      </c>
      <c r="G1219" s="162">
        <v>1</v>
      </c>
    </row>
    <row r="1220" spans="2:7" ht="43.2">
      <c r="B1220" s="162" t="s">
        <v>675</v>
      </c>
      <c r="C1220" s="162" t="s">
        <v>4687</v>
      </c>
      <c r="D1220" s="162" t="s">
        <v>4688</v>
      </c>
      <c r="E1220" s="162" t="s">
        <v>4689</v>
      </c>
      <c r="F1220" s="162">
        <v>61700</v>
      </c>
      <c r="G1220" s="162">
        <v>1</v>
      </c>
    </row>
    <row r="1221" spans="2:7">
      <c r="B1221" s="162" t="s">
        <v>675</v>
      </c>
      <c r="C1221" s="162" t="s">
        <v>4690</v>
      </c>
      <c r="D1221" s="162" t="s">
        <v>4691</v>
      </c>
      <c r="E1221" s="162" t="s">
        <v>4692</v>
      </c>
      <c r="F1221" s="162">
        <v>21000</v>
      </c>
      <c r="G1221" s="162">
        <v>1</v>
      </c>
    </row>
    <row r="1222" spans="2:7">
      <c r="B1222" s="162" t="s">
        <v>675</v>
      </c>
      <c r="C1222" s="162" t="s">
        <v>4693</v>
      </c>
      <c r="D1222" s="162" t="s">
        <v>4694</v>
      </c>
      <c r="E1222" s="162" t="s">
        <v>4695</v>
      </c>
      <c r="F1222" s="162">
        <v>21000</v>
      </c>
      <c r="G1222" s="162">
        <v>1</v>
      </c>
    </row>
    <row r="1223" spans="2:7" ht="28.8">
      <c r="B1223" s="162" t="s">
        <v>675</v>
      </c>
      <c r="C1223" s="162" t="s">
        <v>4696</v>
      </c>
      <c r="D1223" s="162" t="s">
        <v>4697</v>
      </c>
      <c r="E1223" s="162" t="s">
        <v>4698</v>
      </c>
      <c r="F1223" s="162">
        <v>12600</v>
      </c>
      <c r="G1223" s="162">
        <v>1</v>
      </c>
    </row>
    <row r="1224" spans="2:7" ht="28.8">
      <c r="B1224" s="162" t="s">
        <v>675</v>
      </c>
      <c r="C1224" s="162" t="s">
        <v>4699</v>
      </c>
      <c r="D1224" s="162" t="s">
        <v>4700</v>
      </c>
      <c r="E1224" s="162" t="s">
        <v>4701</v>
      </c>
      <c r="F1224" s="162">
        <v>12600</v>
      </c>
      <c r="G1224" s="162">
        <v>1</v>
      </c>
    </row>
    <row r="1225" spans="2:7" ht="28.8">
      <c r="B1225" s="162" t="s">
        <v>675</v>
      </c>
      <c r="C1225" s="162" t="s">
        <v>4702</v>
      </c>
      <c r="D1225" s="162" t="s">
        <v>4703</v>
      </c>
      <c r="E1225" s="162" t="s">
        <v>4704</v>
      </c>
      <c r="F1225" s="162">
        <v>12600</v>
      </c>
      <c r="G1225" s="162">
        <v>1</v>
      </c>
    </row>
    <row r="1226" spans="2:7" ht="28.8">
      <c r="B1226" s="162" t="s">
        <v>675</v>
      </c>
      <c r="C1226" s="162" t="s">
        <v>4705</v>
      </c>
      <c r="D1226" s="162" t="s">
        <v>4706</v>
      </c>
      <c r="E1226" s="162" t="s">
        <v>4707</v>
      </c>
      <c r="F1226" s="162">
        <v>17500</v>
      </c>
      <c r="G1226" s="162">
        <v>1</v>
      </c>
    </row>
    <row r="1227" spans="2:7" ht="28.8">
      <c r="B1227" s="162" t="s">
        <v>675</v>
      </c>
      <c r="C1227" s="162" t="s">
        <v>4708</v>
      </c>
      <c r="D1227" s="162" t="s">
        <v>4709</v>
      </c>
      <c r="E1227" s="162" t="s">
        <v>4710</v>
      </c>
      <c r="F1227" s="162">
        <v>21000</v>
      </c>
      <c r="G1227" s="162">
        <v>1</v>
      </c>
    </row>
    <row r="1228" spans="2:7">
      <c r="B1228" s="162" t="s">
        <v>675</v>
      </c>
      <c r="C1228" s="162" t="s">
        <v>4711</v>
      </c>
      <c r="D1228" s="162" t="s">
        <v>4712</v>
      </c>
      <c r="E1228" s="162" t="s">
        <v>4695</v>
      </c>
      <c r="F1228" s="162">
        <v>21000</v>
      </c>
      <c r="G1228" s="162">
        <v>1</v>
      </c>
    </row>
    <row r="1229" spans="2:7" ht="28.8">
      <c r="B1229" s="162" t="s">
        <v>675</v>
      </c>
      <c r="C1229" s="162" t="s">
        <v>4713</v>
      </c>
      <c r="D1229" s="162" t="s">
        <v>4714</v>
      </c>
      <c r="E1229" s="162" t="s">
        <v>4698</v>
      </c>
      <c r="F1229" s="162">
        <v>12600</v>
      </c>
      <c r="G1229" s="162">
        <v>1</v>
      </c>
    </row>
    <row r="1230" spans="2:7" ht="28.8">
      <c r="B1230" s="162" t="s">
        <v>675</v>
      </c>
      <c r="C1230" s="162" t="s">
        <v>4715</v>
      </c>
      <c r="D1230" s="162" t="s">
        <v>4716</v>
      </c>
      <c r="E1230" s="162" t="s">
        <v>4701</v>
      </c>
      <c r="F1230" s="162">
        <v>12600</v>
      </c>
      <c r="G1230" s="162">
        <v>1</v>
      </c>
    </row>
    <row r="1231" spans="2:7" ht="28.8">
      <c r="B1231" s="162" t="s">
        <v>675</v>
      </c>
      <c r="C1231" s="162" t="s">
        <v>4717</v>
      </c>
      <c r="D1231" s="162" t="s">
        <v>4718</v>
      </c>
      <c r="E1231" s="162" t="s">
        <v>4704</v>
      </c>
      <c r="F1231" s="162">
        <v>12600</v>
      </c>
      <c r="G1231" s="162">
        <v>1</v>
      </c>
    </row>
    <row r="1232" spans="2:7">
      <c r="B1232" s="162" t="s">
        <v>675</v>
      </c>
      <c r="C1232" s="162" t="s">
        <v>4719</v>
      </c>
      <c r="D1232" s="162" t="s">
        <v>4720</v>
      </c>
      <c r="F1232" s="162">
        <v>4510</v>
      </c>
      <c r="G1232" s="162">
        <v>1</v>
      </c>
    </row>
    <row r="1233" spans="2:7">
      <c r="B1233" s="162" t="s">
        <v>675</v>
      </c>
      <c r="C1233" s="162" t="s">
        <v>4721</v>
      </c>
      <c r="D1233" s="162" t="s">
        <v>4722</v>
      </c>
      <c r="F1233" s="162">
        <v>8120</v>
      </c>
      <c r="G1233" s="162">
        <v>1</v>
      </c>
    </row>
    <row r="1234" spans="2:7">
      <c r="B1234" s="162" t="s">
        <v>675</v>
      </c>
      <c r="C1234" s="162" t="s">
        <v>4723</v>
      </c>
      <c r="D1234" s="162" t="s">
        <v>4724</v>
      </c>
      <c r="F1234" s="162">
        <v>8850</v>
      </c>
      <c r="G1234" s="162">
        <v>1</v>
      </c>
    </row>
    <row r="1235" spans="2:7">
      <c r="B1235" s="162" t="s">
        <v>675</v>
      </c>
      <c r="G1235" s="162">
        <v>1</v>
      </c>
    </row>
    <row r="1236" spans="2:7">
      <c r="B1236" s="162" t="s">
        <v>675</v>
      </c>
      <c r="C1236" s="162" t="s">
        <v>4725</v>
      </c>
      <c r="D1236" s="162" t="s">
        <v>4726</v>
      </c>
      <c r="F1236" s="162">
        <v>5780</v>
      </c>
      <c r="G1236" s="162">
        <v>1</v>
      </c>
    </row>
    <row r="1237" spans="2:7">
      <c r="B1237" s="162" t="s">
        <v>675</v>
      </c>
      <c r="C1237" s="162" t="s">
        <v>4727</v>
      </c>
      <c r="D1237" s="162" t="s">
        <v>4728</v>
      </c>
      <c r="F1237" s="162">
        <v>10400</v>
      </c>
      <c r="G1237" s="162">
        <v>1</v>
      </c>
    </row>
    <row r="1238" spans="2:7">
      <c r="B1238" s="162" t="s">
        <v>675</v>
      </c>
      <c r="C1238" s="162" t="s">
        <v>4729</v>
      </c>
      <c r="D1238" s="162" t="s">
        <v>4730</v>
      </c>
      <c r="F1238" s="162">
        <v>8230</v>
      </c>
      <c r="G1238" s="162">
        <v>1</v>
      </c>
    </row>
    <row r="1239" spans="2:7">
      <c r="B1239" s="162" t="s">
        <v>675</v>
      </c>
      <c r="C1239" s="162" t="s">
        <v>4731</v>
      </c>
      <c r="D1239" s="162" t="s">
        <v>4732</v>
      </c>
      <c r="F1239" s="162">
        <v>454600</v>
      </c>
      <c r="G1239" s="162">
        <v>1</v>
      </c>
    </row>
    <row r="1240" spans="2:7">
      <c r="B1240" s="162" t="s">
        <v>675</v>
      </c>
      <c r="C1240" s="162" t="s">
        <v>4733</v>
      </c>
      <c r="D1240" s="162" t="s">
        <v>4734</v>
      </c>
      <c r="F1240" s="162">
        <v>400100</v>
      </c>
      <c r="G1240" s="162">
        <v>1</v>
      </c>
    </row>
    <row r="1241" spans="2:7">
      <c r="B1241" s="162" t="s">
        <v>675</v>
      </c>
      <c r="C1241" s="162" t="s">
        <v>4735</v>
      </c>
      <c r="D1241" s="162" t="s">
        <v>4736</v>
      </c>
      <c r="F1241" s="162">
        <v>249000</v>
      </c>
      <c r="G1241" s="162">
        <v>1</v>
      </c>
    </row>
    <row r="1242" spans="2:7">
      <c r="B1242" s="162" t="s">
        <v>675</v>
      </c>
      <c r="C1242" s="162" t="s">
        <v>4737</v>
      </c>
      <c r="D1242" s="162" t="s">
        <v>4738</v>
      </c>
      <c r="F1242" s="162">
        <v>8400</v>
      </c>
      <c r="G1242" s="162">
        <v>1</v>
      </c>
    </row>
    <row r="1243" spans="2:7">
      <c r="B1243" s="162" t="s">
        <v>675</v>
      </c>
      <c r="C1243" s="162" t="s">
        <v>4739</v>
      </c>
      <c r="D1243" s="162" t="s">
        <v>4740</v>
      </c>
      <c r="F1243" s="162">
        <v>8400</v>
      </c>
      <c r="G1243" s="162">
        <v>1</v>
      </c>
    </row>
    <row r="1244" spans="2:7" ht="28.8">
      <c r="B1244" s="162" t="s">
        <v>675</v>
      </c>
      <c r="C1244" s="162" t="s">
        <v>4741</v>
      </c>
      <c r="D1244" s="162" t="s">
        <v>4742</v>
      </c>
      <c r="F1244" s="162">
        <v>8400</v>
      </c>
      <c r="G1244" s="162">
        <v>1</v>
      </c>
    </row>
    <row r="1245" spans="2:7">
      <c r="B1245" s="162" t="s">
        <v>675</v>
      </c>
      <c r="C1245" s="162" t="s">
        <v>4743</v>
      </c>
      <c r="D1245" s="162" t="s">
        <v>4744</v>
      </c>
      <c r="F1245" s="162">
        <v>5600</v>
      </c>
      <c r="G1245" s="162">
        <v>1</v>
      </c>
    </row>
    <row r="1246" spans="2:7">
      <c r="B1246" s="162" t="s">
        <v>675</v>
      </c>
      <c r="C1246" s="162" t="s">
        <v>4745</v>
      </c>
      <c r="D1246" s="162" t="s">
        <v>4746</v>
      </c>
      <c r="F1246" s="162">
        <v>5600</v>
      </c>
      <c r="G1246" s="162">
        <v>1</v>
      </c>
    </row>
    <row r="1247" spans="2:7">
      <c r="B1247" s="162" t="s">
        <v>675</v>
      </c>
      <c r="C1247" s="162" t="s">
        <v>4747</v>
      </c>
      <c r="D1247" s="162" t="s">
        <v>4748</v>
      </c>
      <c r="F1247" s="162">
        <v>5600</v>
      </c>
      <c r="G1247" s="162">
        <v>1</v>
      </c>
    </row>
    <row r="1248" spans="2:7">
      <c r="B1248" s="162" t="s">
        <v>675</v>
      </c>
      <c r="C1248" s="162" t="s">
        <v>4690</v>
      </c>
      <c r="D1248" s="162" t="s">
        <v>4749</v>
      </c>
      <c r="F1248" s="162">
        <v>21000</v>
      </c>
      <c r="G1248" s="162">
        <v>1</v>
      </c>
    </row>
    <row r="1249" spans="2:7">
      <c r="B1249" s="162" t="s">
        <v>675</v>
      </c>
      <c r="C1249" s="162" t="s">
        <v>4693</v>
      </c>
      <c r="D1249" s="162" t="s">
        <v>4750</v>
      </c>
      <c r="F1249" s="162">
        <v>21000</v>
      </c>
      <c r="G1249" s="162">
        <v>1</v>
      </c>
    </row>
    <row r="1250" spans="2:7">
      <c r="B1250" s="162" t="s">
        <v>675</v>
      </c>
      <c r="C1250" s="162" t="s">
        <v>4696</v>
      </c>
      <c r="D1250" s="162" t="s">
        <v>4751</v>
      </c>
      <c r="F1250" s="162">
        <v>12600</v>
      </c>
      <c r="G1250" s="162">
        <v>1</v>
      </c>
    </row>
    <row r="1251" spans="2:7">
      <c r="B1251" s="162" t="s">
        <v>675</v>
      </c>
      <c r="C1251" s="162" t="s">
        <v>4699</v>
      </c>
      <c r="D1251" s="162" t="s">
        <v>4752</v>
      </c>
      <c r="F1251" s="162">
        <v>12600</v>
      </c>
      <c r="G1251" s="162">
        <v>1</v>
      </c>
    </row>
    <row r="1252" spans="2:7">
      <c r="B1252" s="162" t="s">
        <v>675</v>
      </c>
      <c r="C1252" s="162" t="s">
        <v>4702</v>
      </c>
      <c r="D1252" s="162" t="s">
        <v>4753</v>
      </c>
      <c r="F1252" s="162">
        <v>12600</v>
      </c>
      <c r="G1252" s="162">
        <v>1</v>
      </c>
    </row>
    <row r="1253" spans="2:7">
      <c r="B1253" s="162" t="s">
        <v>675</v>
      </c>
      <c r="C1253" s="162" t="s">
        <v>4705</v>
      </c>
      <c r="D1253" s="162" t="s">
        <v>4754</v>
      </c>
      <c r="F1253" s="162">
        <v>17500</v>
      </c>
      <c r="G1253" s="162">
        <v>1</v>
      </c>
    </row>
    <row r="1254" spans="2:7">
      <c r="B1254" s="162" t="s">
        <v>675</v>
      </c>
      <c r="C1254" s="162" t="s">
        <v>4708</v>
      </c>
      <c r="D1254" s="162" t="s">
        <v>4755</v>
      </c>
      <c r="F1254" s="162">
        <v>21000</v>
      </c>
      <c r="G1254" s="162">
        <v>1</v>
      </c>
    </row>
    <row r="1255" spans="2:7">
      <c r="B1255" s="162" t="s">
        <v>675</v>
      </c>
      <c r="C1255" s="162" t="s">
        <v>4711</v>
      </c>
      <c r="D1255" s="162" t="s">
        <v>4756</v>
      </c>
      <c r="F1255" s="162">
        <v>21000</v>
      </c>
      <c r="G1255" s="162">
        <v>1</v>
      </c>
    </row>
    <row r="1256" spans="2:7">
      <c r="B1256" s="162" t="s">
        <v>675</v>
      </c>
      <c r="C1256" s="162" t="s">
        <v>4713</v>
      </c>
      <c r="D1256" s="162" t="s">
        <v>4757</v>
      </c>
      <c r="F1256" s="162">
        <v>12600</v>
      </c>
      <c r="G1256" s="162">
        <v>1</v>
      </c>
    </row>
    <row r="1257" spans="2:7">
      <c r="B1257" s="162" t="s">
        <v>675</v>
      </c>
      <c r="C1257" s="162" t="s">
        <v>4715</v>
      </c>
      <c r="D1257" s="162" t="s">
        <v>4758</v>
      </c>
      <c r="F1257" s="162">
        <v>12600</v>
      </c>
      <c r="G1257" s="162">
        <v>1</v>
      </c>
    </row>
    <row r="1258" spans="2:7">
      <c r="B1258" s="162" t="s">
        <v>675</v>
      </c>
      <c r="C1258" s="162" t="s">
        <v>4717</v>
      </c>
      <c r="D1258" s="162" t="s">
        <v>4759</v>
      </c>
      <c r="F1258" s="162">
        <v>12600</v>
      </c>
      <c r="G1258" s="162">
        <v>1</v>
      </c>
    </row>
    <row r="1259" spans="2:7" ht="28.8">
      <c r="B1259" s="162" t="s">
        <v>675</v>
      </c>
      <c r="C1259" s="162" t="s">
        <v>4438</v>
      </c>
      <c r="D1259" s="162" t="s">
        <v>4610</v>
      </c>
      <c r="E1259" s="162" t="s">
        <v>4760</v>
      </c>
      <c r="F1259" s="162">
        <v>8400</v>
      </c>
      <c r="G1259" s="162">
        <v>1</v>
      </c>
    </row>
    <row r="1260" spans="2:7">
      <c r="B1260" s="162" t="s">
        <v>675</v>
      </c>
      <c r="C1260" s="162" t="s">
        <v>4761</v>
      </c>
      <c r="D1260" s="162" t="s">
        <v>4762</v>
      </c>
      <c r="F1260" s="162">
        <v>560</v>
      </c>
      <c r="G1260" s="162">
        <v>1</v>
      </c>
    </row>
    <row r="1261" spans="2:7">
      <c r="B1261" s="162" t="s">
        <v>675</v>
      </c>
      <c r="C1261" s="162" t="s">
        <v>4763</v>
      </c>
      <c r="D1261" s="162" t="s">
        <v>4764</v>
      </c>
      <c r="F1261" s="162">
        <v>260</v>
      </c>
      <c r="G1261" s="162">
        <v>1</v>
      </c>
    </row>
    <row r="1262" spans="2:7">
      <c r="B1262" s="162" t="s">
        <v>675</v>
      </c>
      <c r="C1262" s="162" t="s">
        <v>3940</v>
      </c>
      <c r="D1262" s="162" t="s">
        <v>3941</v>
      </c>
      <c r="E1262" s="162" t="s">
        <v>3942</v>
      </c>
      <c r="F1262" s="162">
        <v>100</v>
      </c>
      <c r="G1262" s="162">
        <v>1</v>
      </c>
    </row>
    <row r="1263" spans="2:7">
      <c r="B1263" s="162" t="s">
        <v>675</v>
      </c>
      <c r="C1263" s="162" t="s">
        <v>4059</v>
      </c>
      <c r="D1263" s="162" t="s">
        <v>4060</v>
      </c>
      <c r="E1263" s="162" t="s">
        <v>4061</v>
      </c>
      <c r="F1263" s="162">
        <v>70</v>
      </c>
      <c r="G1263" s="162">
        <v>1</v>
      </c>
    </row>
    <row r="1264" spans="2:7">
      <c r="B1264" s="162" t="s">
        <v>675</v>
      </c>
      <c r="C1264" s="162" t="s">
        <v>4765</v>
      </c>
      <c r="D1264" s="162" t="s">
        <v>4766</v>
      </c>
      <c r="E1264" s="162" t="s">
        <v>4767</v>
      </c>
      <c r="F1264" s="162">
        <v>7010</v>
      </c>
      <c r="G1264" s="162">
        <v>1</v>
      </c>
    </row>
    <row r="1265" spans="2:7">
      <c r="B1265" s="162" t="s">
        <v>675</v>
      </c>
      <c r="C1265" s="162" t="s">
        <v>4768</v>
      </c>
      <c r="D1265" s="162" t="s">
        <v>4769</v>
      </c>
      <c r="E1265" s="162" t="s">
        <v>4770</v>
      </c>
      <c r="F1265" s="162">
        <v>19200</v>
      </c>
      <c r="G1265" s="162">
        <v>1</v>
      </c>
    </row>
    <row r="1266" spans="2:7">
      <c r="B1266" s="162" t="s">
        <v>675</v>
      </c>
      <c r="C1266" s="162" t="s">
        <v>4771</v>
      </c>
      <c r="D1266" s="162" t="s">
        <v>4772</v>
      </c>
      <c r="E1266" s="162" t="s">
        <v>4767</v>
      </c>
      <c r="F1266" s="162">
        <v>11400</v>
      </c>
      <c r="G1266" s="162">
        <v>1</v>
      </c>
    </row>
    <row r="1267" spans="2:7">
      <c r="B1267" s="162" t="s">
        <v>675</v>
      </c>
      <c r="C1267" s="162" t="s">
        <v>4773</v>
      </c>
      <c r="D1267" s="162" t="s">
        <v>4774</v>
      </c>
      <c r="E1267" s="162" t="s">
        <v>4770</v>
      </c>
      <c r="F1267" s="162">
        <v>31200</v>
      </c>
      <c r="G1267" s="162">
        <v>1</v>
      </c>
    </row>
    <row r="1268" spans="2:7">
      <c r="B1268" s="162" t="s">
        <v>675</v>
      </c>
      <c r="C1268" s="162" t="s">
        <v>4775</v>
      </c>
      <c r="D1268" s="162" t="s">
        <v>4776</v>
      </c>
      <c r="E1268" s="162" t="s">
        <v>4767</v>
      </c>
      <c r="F1268" s="162">
        <v>12000</v>
      </c>
      <c r="G1268" s="162">
        <v>1</v>
      </c>
    </row>
    <row r="1269" spans="2:7">
      <c r="B1269" s="162" t="s">
        <v>675</v>
      </c>
      <c r="C1269" s="162" t="s">
        <v>4777</v>
      </c>
      <c r="D1269" s="162" t="s">
        <v>4778</v>
      </c>
      <c r="E1269" s="162" t="s">
        <v>4770</v>
      </c>
      <c r="F1269" s="162">
        <v>33000</v>
      </c>
      <c r="G1269" s="162">
        <v>1</v>
      </c>
    </row>
    <row r="1270" spans="2:7" ht="72">
      <c r="B1270" s="162" t="s">
        <v>675</v>
      </c>
      <c r="C1270" s="162" t="s">
        <v>4779</v>
      </c>
      <c r="D1270" s="162" t="s">
        <v>4780</v>
      </c>
      <c r="E1270" s="162" t="s">
        <v>4781</v>
      </c>
      <c r="F1270" s="162">
        <v>1180</v>
      </c>
      <c r="G1270" s="162">
        <v>1</v>
      </c>
    </row>
    <row r="1271" spans="2:7" ht="28.8">
      <c r="B1271" s="162" t="s">
        <v>675</v>
      </c>
      <c r="C1271" s="162" t="s">
        <v>4782</v>
      </c>
      <c r="D1271" s="162" t="s">
        <v>4783</v>
      </c>
      <c r="E1271" s="162" t="s">
        <v>4784</v>
      </c>
      <c r="F1271" s="162">
        <v>240</v>
      </c>
      <c r="G1271" s="162">
        <v>1</v>
      </c>
    </row>
    <row r="1272" spans="2:7" ht="28.8">
      <c r="B1272" s="162" t="s">
        <v>675</v>
      </c>
      <c r="C1272" s="162" t="s">
        <v>4785</v>
      </c>
      <c r="D1272" s="162" t="s">
        <v>4786</v>
      </c>
      <c r="E1272" s="162" t="s">
        <v>4784</v>
      </c>
      <c r="F1272" s="162">
        <v>600</v>
      </c>
      <c r="G1272" s="162">
        <v>1</v>
      </c>
    </row>
    <row r="1273" spans="2:7">
      <c r="B1273" s="162" t="s">
        <v>675</v>
      </c>
      <c r="C1273" s="162" t="s">
        <v>4787</v>
      </c>
      <c r="D1273" s="162" t="s">
        <v>4788</v>
      </c>
      <c r="E1273" s="162" t="s">
        <v>4784</v>
      </c>
      <c r="F1273" s="162">
        <v>960</v>
      </c>
      <c r="G1273" s="162">
        <v>1</v>
      </c>
    </row>
    <row r="1274" spans="2:7" ht="28.8">
      <c r="B1274" s="162" t="s">
        <v>675</v>
      </c>
      <c r="C1274" s="162" t="s">
        <v>4789</v>
      </c>
      <c r="D1274" s="162" t="s">
        <v>4790</v>
      </c>
      <c r="E1274" s="162" t="s">
        <v>4791</v>
      </c>
      <c r="F1274" s="162">
        <v>650</v>
      </c>
      <c r="G1274" s="162">
        <v>1</v>
      </c>
    </row>
    <row r="1275" spans="2:7" ht="28.8">
      <c r="B1275" s="162" t="s">
        <v>675</v>
      </c>
      <c r="C1275" s="162" t="s">
        <v>4792</v>
      </c>
      <c r="D1275" s="162" t="s">
        <v>4793</v>
      </c>
      <c r="E1275" s="162" t="s">
        <v>4791</v>
      </c>
      <c r="F1275" s="162">
        <v>1620</v>
      </c>
      <c r="G1275" s="162">
        <v>1</v>
      </c>
    </row>
    <row r="1276" spans="2:7">
      <c r="B1276" s="162" t="s">
        <v>675</v>
      </c>
      <c r="C1276" s="162" t="s">
        <v>4794</v>
      </c>
      <c r="D1276" s="162" t="s">
        <v>4795</v>
      </c>
      <c r="E1276" s="162" t="s">
        <v>4791</v>
      </c>
      <c r="F1276" s="162">
        <v>2590</v>
      </c>
      <c r="G1276" s="162">
        <v>1</v>
      </c>
    </row>
    <row r="1277" spans="2:7" ht="57.6">
      <c r="B1277" s="162" t="s">
        <v>675</v>
      </c>
      <c r="C1277" s="162" t="s">
        <v>4796</v>
      </c>
      <c r="D1277" s="162" t="s">
        <v>4797</v>
      </c>
      <c r="E1277" s="162" t="s">
        <v>4798</v>
      </c>
      <c r="F1277" s="162">
        <v>10270</v>
      </c>
      <c r="G1277" s="162">
        <v>1</v>
      </c>
    </row>
    <row r="1278" spans="2:7" ht="86.4">
      <c r="B1278" s="162" t="s">
        <v>675</v>
      </c>
      <c r="C1278" s="162" t="s">
        <v>4799</v>
      </c>
      <c r="D1278" s="162" t="s">
        <v>4800</v>
      </c>
      <c r="E1278" s="162" t="s">
        <v>4801</v>
      </c>
      <c r="F1278" s="162">
        <v>11600</v>
      </c>
      <c r="G1278" s="162">
        <v>1</v>
      </c>
    </row>
    <row r="1279" spans="2:7" ht="86.4">
      <c r="B1279" s="162" t="s">
        <v>675</v>
      </c>
      <c r="C1279" s="162" t="s">
        <v>4802</v>
      </c>
      <c r="D1279" s="162" t="s">
        <v>4803</v>
      </c>
      <c r="E1279" s="162" t="s">
        <v>4804</v>
      </c>
      <c r="F1279" s="162">
        <v>12900</v>
      </c>
      <c r="G1279" s="162">
        <v>1</v>
      </c>
    </row>
    <row r="1280" spans="2:7" ht="100.8">
      <c r="B1280" s="162" t="s">
        <v>675</v>
      </c>
      <c r="C1280" s="162" t="s">
        <v>4805</v>
      </c>
      <c r="D1280" s="162" t="s">
        <v>4806</v>
      </c>
      <c r="E1280" s="162" t="s">
        <v>4807</v>
      </c>
      <c r="F1280" s="162">
        <v>14200</v>
      </c>
      <c r="G1280" s="162">
        <v>1</v>
      </c>
    </row>
    <row r="1281" spans="2:7">
      <c r="B1281" s="162" t="s">
        <v>675</v>
      </c>
      <c r="C1281" s="162" t="s">
        <v>4808</v>
      </c>
      <c r="D1281" s="162" t="s">
        <v>4809</v>
      </c>
      <c r="F1281" s="162">
        <v>2570</v>
      </c>
      <c r="G1281" s="162">
        <v>1</v>
      </c>
    </row>
    <row r="1282" spans="2:7">
      <c r="B1282" s="162" t="s">
        <v>675</v>
      </c>
      <c r="C1282" s="162" t="s">
        <v>4810</v>
      </c>
      <c r="D1282" s="162" t="s">
        <v>4811</v>
      </c>
      <c r="F1282" s="162">
        <v>200</v>
      </c>
      <c r="G1282" s="162">
        <v>1</v>
      </c>
    </row>
    <row r="1283" spans="2:7">
      <c r="B1283" s="162" t="s">
        <v>675</v>
      </c>
      <c r="C1283" s="162" t="s">
        <v>4812</v>
      </c>
      <c r="D1283" s="162" t="s">
        <v>4813</v>
      </c>
      <c r="F1283" s="162">
        <v>200</v>
      </c>
      <c r="G1283" s="162">
        <v>1</v>
      </c>
    </row>
    <row r="1284" spans="2:7" ht="28.8">
      <c r="B1284" s="162" t="s">
        <v>675</v>
      </c>
      <c r="C1284" s="162" t="s">
        <v>4814</v>
      </c>
      <c r="D1284" s="162" t="s">
        <v>4815</v>
      </c>
      <c r="E1284" s="162" t="s">
        <v>4816</v>
      </c>
      <c r="F1284" s="162">
        <v>19100</v>
      </c>
      <c r="G1284" s="162">
        <v>1</v>
      </c>
    </row>
    <row r="1285" spans="2:7">
      <c r="B1285" s="162" t="s">
        <v>675</v>
      </c>
      <c r="C1285" s="162" t="s">
        <v>4817</v>
      </c>
      <c r="D1285" s="162" t="s">
        <v>4818</v>
      </c>
      <c r="E1285" s="162" t="s">
        <v>4819</v>
      </c>
      <c r="F1285" s="162">
        <v>7490</v>
      </c>
      <c r="G1285" s="162">
        <v>1</v>
      </c>
    </row>
    <row r="1286" spans="2:7">
      <c r="B1286" s="162" t="s">
        <v>675</v>
      </c>
      <c r="C1286" s="162" t="s">
        <v>4820</v>
      </c>
      <c r="D1286" s="162" t="s">
        <v>4821</v>
      </c>
      <c r="E1286" s="162" t="s">
        <v>4822</v>
      </c>
      <c r="F1286" s="162">
        <v>730</v>
      </c>
      <c r="G1286" s="162">
        <v>1</v>
      </c>
    </row>
    <row r="1287" spans="2:7" ht="28.8">
      <c r="B1287" s="162" t="s">
        <v>675</v>
      </c>
      <c r="C1287" s="162" t="s">
        <v>4823</v>
      </c>
      <c r="D1287" s="162" t="s">
        <v>4824</v>
      </c>
      <c r="E1287" s="162" t="s">
        <v>4825</v>
      </c>
      <c r="F1287" s="162">
        <v>1320</v>
      </c>
      <c r="G1287" s="162">
        <v>1</v>
      </c>
    </row>
    <row r="1288" spans="2:7">
      <c r="B1288" s="162" t="s">
        <v>675</v>
      </c>
      <c r="C1288" s="162" t="s">
        <v>4826</v>
      </c>
      <c r="D1288" s="162" t="s">
        <v>4827</v>
      </c>
      <c r="E1288" s="162" t="s">
        <v>4822</v>
      </c>
      <c r="F1288" s="162">
        <v>220</v>
      </c>
      <c r="G1288" s="162">
        <v>1</v>
      </c>
    </row>
    <row r="1289" spans="2:7" ht="28.8">
      <c r="B1289" s="162" t="s">
        <v>675</v>
      </c>
      <c r="C1289" s="162" t="s">
        <v>4828</v>
      </c>
      <c r="D1289" s="162" t="s">
        <v>4829</v>
      </c>
      <c r="E1289" s="162" t="s">
        <v>4825</v>
      </c>
      <c r="F1289" s="162">
        <v>400</v>
      </c>
      <c r="G1289" s="162">
        <v>1</v>
      </c>
    </row>
    <row r="1290" spans="2:7">
      <c r="B1290" s="162" t="s">
        <v>675</v>
      </c>
      <c r="C1290" s="162" t="s">
        <v>4830</v>
      </c>
      <c r="D1290" s="162" t="s">
        <v>4831</v>
      </c>
      <c r="F1290" s="162">
        <v>270</v>
      </c>
      <c r="G1290" s="162">
        <v>1</v>
      </c>
    </row>
    <row r="1291" spans="2:7">
      <c r="B1291" s="162" t="s">
        <v>675</v>
      </c>
      <c r="C1291" s="162" t="s">
        <v>4832</v>
      </c>
      <c r="D1291" s="162" t="s">
        <v>4833</v>
      </c>
      <c r="F1291" s="162">
        <v>500</v>
      </c>
      <c r="G1291" s="162">
        <v>1</v>
      </c>
    </row>
    <row r="1292" spans="2:7" ht="100.8">
      <c r="B1292" s="162" t="s">
        <v>675</v>
      </c>
      <c r="C1292" s="162" t="s">
        <v>4834</v>
      </c>
      <c r="D1292" s="162" t="s">
        <v>4835</v>
      </c>
      <c r="E1292" s="162" t="s">
        <v>4836</v>
      </c>
      <c r="F1292" s="162">
        <v>135000</v>
      </c>
      <c r="G1292" s="162">
        <v>1</v>
      </c>
    </row>
    <row r="1293" spans="2:7" ht="100.8">
      <c r="B1293" s="162" t="s">
        <v>675</v>
      </c>
      <c r="C1293" s="162" t="s">
        <v>4837</v>
      </c>
      <c r="D1293" s="162" t="s">
        <v>4838</v>
      </c>
      <c r="E1293" s="162" t="s">
        <v>4839</v>
      </c>
      <c r="F1293" s="162">
        <v>135000</v>
      </c>
      <c r="G1293" s="162">
        <v>1</v>
      </c>
    </row>
    <row r="1294" spans="2:7" ht="100.8">
      <c r="B1294" s="162" t="s">
        <v>675</v>
      </c>
      <c r="C1294" s="162" t="s">
        <v>4840</v>
      </c>
      <c r="D1294" s="162" t="s">
        <v>4841</v>
      </c>
      <c r="E1294" s="162" t="s">
        <v>4842</v>
      </c>
      <c r="F1294" s="162">
        <v>135000</v>
      </c>
      <c r="G1294" s="162">
        <v>1</v>
      </c>
    </row>
    <row r="1295" spans="2:7" ht="28.8">
      <c r="B1295" s="162" t="s">
        <v>675</v>
      </c>
      <c r="C1295" s="162" t="s">
        <v>4843</v>
      </c>
      <c r="D1295" s="162" t="s">
        <v>4844</v>
      </c>
      <c r="E1295" s="162" t="s">
        <v>4845</v>
      </c>
      <c r="F1295" s="162">
        <v>65900</v>
      </c>
      <c r="G1295" s="162">
        <v>1</v>
      </c>
    </row>
    <row r="1296" spans="2:7" ht="28.8">
      <c r="B1296" s="162" t="s">
        <v>675</v>
      </c>
      <c r="C1296" s="162" t="s">
        <v>4846</v>
      </c>
      <c r="D1296" s="162" t="s">
        <v>4847</v>
      </c>
      <c r="E1296" s="162" t="s">
        <v>4848</v>
      </c>
      <c r="F1296" s="162">
        <v>65900</v>
      </c>
      <c r="G1296" s="162">
        <v>1</v>
      </c>
    </row>
    <row r="1297" spans="2:7" ht="28.8">
      <c r="B1297" s="162" t="s">
        <v>675</v>
      </c>
      <c r="C1297" s="162" t="s">
        <v>4849</v>
      </c>
      <c r="D1297" s="162" t="s">
        <v>4850</v>
      </c>
      <c r="E1297" s="162" t="s">
        <v>4851</v>
      </c>
      <c r="F1297" s="162">
        <v>65900</v>
      </c>
      <c r="G1297" s="162">
        <v>1</v>
      </c>
    </row>
    <row r="1298" spans="2:7" ht="28.8">
      <c r="B1298" s="162" t="s">
        <v>675</v>
      </c>
      <c r="C1298" s="162" t="s">
        <v>4852</v>
      </c>
      <c r="D1298" s="162" t="s">
        <v>4853</v>
      </c>
      <c r="E1298" s="162" t="s">
        <v>4845</v>
      </c>
      <c r="F1298" s="162">
        <v>37700</v>
      </c>
      <c r="G1298" s="162">
        <v>1</v>
      </c>
    </row>
    <row r="1299" spans="2:7" ht="28.8">
      <c r="B1299" s="162" t="s">
        <v>675</v>
      </c>
      <c r="C1299" s="162" t="s">
        <v>4854</v>
      </c>
      <c r="D1299" s="162" t="s">
        <v>4855</v>
      </c>
      <c r="E1299" s="162" t="s">
        <v>4848</v>
      </c>
      <c r="F1299" s="162">
        <v>37700</v>
      </c>
      <c r="G1299" s="162">
        <v>1</v>
      </c>
    </row>
    <row r="1300" spans="2:7" ht="28.8">
      <c r="B1300" s="162" t="s">
        <v>675</v>
      </c>
      <c r="C1300" s="162" t="s">
        <v>4856</v>
      </c>
      <c r="D1300" s="162" t="s">
        <v>4857</v>
      </c>
      <c r="E1300" s="162" t="s">
        <v>4851</v>
      </c>
      <c r="F1300" s="162">
        <v>37700</v>
      </c>
      <c r="G1300" s="162">
        <v>1</v>
      </c>
    </row>
    <row r="1301" spans="2:7" ht="28.8">
      <c r="B1301" s="162" t="s">
        <v>675</v>
      </c>
      <c r="C1301" s="162" t="s">
        <v>4858</v>
      </c>
      <c r="D1301" s="162" t="s">
        <v>4859</v>
      </c>
      <c r="E1301" s="162" t="s">
        <v>4860</v>
      </c>
      <c r="F1301" s="162">
        <v>6420</v>
      </c>
      <c r="G1301" s="162">
        <v>1</v>
      </c>
    </row>
    <row r="1302" spans="2:7" ht="28.8">
      <c r="B1302" s="162" t="s">
        <v>675</v>
      </c>
      <c r="C1302" s="162" t="s">
        <v>4861</v>
      </c>
      <c r="D1302" s="162" t="s">
        <v>4862</v>
      </c>
      <c r="E1302" s="162" t="s">
        <v>4863</v>
      </c>
      <c r="F1302" s="162">
        <v>22500</v>
      </c>
      <c r="G1302" s="162">
        <v>1</v>
      </c>
    </row>
    <row r="1303" spans="2:7" ht="28.8">
      <c r="B1303" s="162" t="s">
        <v>675</v>
      </c>
      <c r="C1303" s="162" t="s">
        <v>4864</v>
      </c>
      <c r="D1303" s="162" t="s">
        <v>4865</v>
      </c>
      <c r="E1303" s="162" t="s">
        <v>4866</v>
      </c>
      <c r="F1303" s="162">
        <v>22500</v>
      </c>
      <c r="G1303" s="162">
        <v>1</v>
      </c>
    </row>
    <row r="1304" spans="2:7" ht="28.8">
      <c r="B1304" s="162" t="s">
        <v>675</v>
      </c>
      <c r="C1304" s="162" t="s">
        <v>4867</v>
      </c>
      <c r="D1304" s="162" t="s">
        <v>4868</v>
      </c>
      <c r="E1304" s="162" t="s">
        <v>4869</v>
      </c>
      <c r="F1304" s="162">
        <v>22500</v>
      </c>
      <c r="G1304" s="162">
        <v>1</v>
      </c>
    </row>
    <row r="1305" spans="2:7" ht="28.8">
      <c r="B1305" s="162" t="s">
        <v>675</v>
      </c>
      <c r="C1305" s="162" t="s">
        <v>4870</v>
      </c>
      <c r="D1305" s="162" t="s">
        <v>4871</v>
      </c>
      <c r="E1305" s="162" t="s">
        <v>4872</v>
      </c>
      <c r="F1305" s="162">
        <v>16800</v>
      </c>
      <c r="G1305" s="162">
        <v>1</v>
      </c>
    </row>
    <row r="1306" spans="2:7" ht="28.8">
      <c r="B1306" s="162" t="s">
        <v>675</v>
      </c>
      <c r="C1306" s="162" t="s">
        <v>4873</v>
      </c>
      <c r="D1306" s="162" t="s">
        <v>4874</v>
      </c>
      <c r="E1306" s="162" t="s">
        <v>4875</v>
      </c>
      <c r="F1306" s="162">
        <v>16800</v>
      </c>
      <c r="G1306" s="162">
        <v>1</v>
      </c>
    </row>
    <row r="1307" spans="2:7" ht="28.8">
      <c r="B1307" s="162" t="s">
        <v>675</v>
      </c>
      <c r="C1307" s="162" t="s">
        <v>4876</v>
      </c>
      <c r="D1307" s="162" t="s">
        <v>4877</v>
      </c>
      <c r="E1307" s="162" t="s">
        <v>4869</v>
      </c>
      <c r="F1307" s="162">
        <v>16800</v>
      </c>
      <c r="G1307" s="162">
        <v>1</v>
      </c>
    </row>
    <row r="1308" spans="2:7">
      <c r="B1308" s="162" t="s">
        <v>675</v>
      </c>
      <c r="C1308" s="162" t="s">
        <v>4878</v>
      </c>
      <c r="D1308" s="162" t="s">
        <v>4879</v>
      </c>
      <c r="E1308" s="162" t="s">
        <v>4880</v>
      </c>
      <c r="F1308" s="162">
        <v>7060</v>
      </c>
      <c r="G1308" s="162">
        <v>1</v>
      </c>
    </row>
    <row r="1309" spans="2:7" ht="72">
      <c r="B1309" s="162" t="s">
        <v>675</v>
      </c>
      <c r="C1309" s="162" t="s">
        <v>4881</v>
      </c>
      <c r="D1309" s="162" t="s">
        <v>4882</v>
      </c>
      <c r="E1309" s="162" t="s">
        <v>4883</v>
      </c>
      <c r="F1309" s="162">
        <v>4790</v>
      </c>
      <c r="G1309" s="162">
        <v>1</v>
      </c>
    </row>
    <row r="1310" spans="2:7" ht="28.8">
      <c r="B1310" s="162" t="s">
        <v>675</v>
      </c>
      <c r="C1310" s="162" t="s">
        <v>4884</v>
      </c>
      <c r="D1310" s="162" t="s">
        <v>4885</v>
      </c>
      <c r="E1310" s="162" t="s">
        <v>4886</v>
      </c>
      <c r="F1310" s="162">
        <v>6360</v>
      </c>
      <c r="G1310" s="162">
        <v>1</v>
      </c>
    </row>
    <row r="1311" spans="2:7" ht="28.8">
      <c r="B1311" s="162" t="s">
        <v>675</v>
      </c>
      <c r="C1311" s="162" t="s">
        <v>4887</v>
      </c>
      <c r="D1311" s="162" t="s">
        <v>4888</v>
      </c>
      <c r="E1311" s="162" t="s">
        <v>4886</v>
      </c>
      <c r="F1311" s="162">
        <v>6360</v>
      </c>
      <c r="G1311" s="162">
        <v>1</v>
      </c>
    </row>
    <row r="1312" spans="2:7">
      <c r="B1312" s="162" t="s">
        <v>675</v>
      </c>
      <c r="C1312" s="162" t="s">
        <v>4889</v>
      </c>
      <c r="D1312" s="162" t="s">
        <v>4890</v>
      </c>
      <c r="E1312" s="162" t="s">
        <v>4891</v>
      </c>
      <c r="F1312" s="162">
        <v>6360</v>
      </c>
      <c r="G1312" s="162">
        <v>1</v>
      </c>
    </row>
    <row r="1313" spans="2:7">
      <c r="B1313" s="162" t="s">
        <v>675</v>
      </c>
      <c r="C1313" s="162" t="s">
        <v>4892</v>
      </c>
      <c r="D1313" s="162" t="s">
        <v>4893</v>
      </c>
      <c r="E1313" s="162" t="s">
        <v>4891</v>
      </c>
      <c r="F1313" s="162">
        <v>6360</v>
      </c>
      <c r="G1313" s="162">
        <v>1</v>
      </c>
    </row>
    <row r="1314" spans="2:7">
      <c r="B1314" s="162" t="s">
        <v>675</v>
      </c>
      <c r="C1314" s="162" t="s">
        <v>4894</v>
      </c>
      <c r="D1314" s="162" t="s">
        <v>4895</v>
      </c>
      <c r="E1314" s="162" t="s">
        <v>4896</v>
      </c>
      <c r="F1314" s="162">
        <v>6360</v>
      </c>
      <c r="G1314" s="162">
        <v>1</v>
      </c>
    </row>
    <row r="1315" spans="2:7">
      <c r="B1315" s="162" t="s">
        <v>675</v>
      </c>
      <c r="C1315" s="162" t="s">
        <v>4897</v>
      </c>
      <c r="D1315" s="162" t="s">
        <v>4898</v>
      </c>
      <c r="E1315" s="162" t="s">
        <v>4896</v>
      </c>
      <c r="F1315" s="162">
        <v>6360</v>
      </c>
      <c r="G1315" s="162">
        <v>1</v>
      </c>
    </row>
    <row r="1316" spans="2:7" ht="28.8">
      <c r="B1316" s="162" t="s">
        <v>675</v>
      </c>
      <c r="C1316" s="162" t="s">
        <v>4899</v>
      </c>
      <c r="D1316" s="162" t="s">
        <v>4900</v>
      </c>
      <c r="E1316" s="162" t="s">
        <v>4901</v>
      </c>
      <c r="F1316" s="162">
        <v>3970</v>
      </c>
      <c r="G1316" s="162">
        <v>1</v>
      </c>
    </row>
    <row r="1317" spans="2:7" ht="28.8">
      <c r="B1317" s="162" t="s">
        <v>675</v>
      </c>
      <c r="C1317" s="162" t="s">
        <v>4902</v>
      </c>
      <c r="D1317" s="162" t="s">
        <v>4903</v>
      </c>
      <c r="E1317" s="162" t="s">
        <v>4904</v>
      </c>
      <c r="F1317" s="162">
        <v>3970</v>
      </c>
      <c r="G1317" s="162">
        <v>1</v>
      </c>
    </row>
    <row r="1318" spans="2:7">
      <c r="B1318" s="162" t="s">
        <v>675</v>
      </c>
      <c r="C1318" s="162" t="s">
        <v>4905</v>
      </c>
      <c r="D1318" s="162" t="s">
        <v>4906</v>
      </c>
      <c r="E1318" s="162" t="s">
        <v>4907</v>
      </c>
      <c r="F1318" s="162">
        <v>7420</v>
      </c>
      <c r="G1318" s="162">
        <v>1</v>
      </c>
    </row>
    <row r="1319" spans="2:7" ht="28.8">
      <c r="B1319" s="162" t="s">
        <v>675</v>
      </c>
      <c r="C1319" s="162" t="s">
        <v>4908</v>
      </c>
      <c r="D1319" s="162" t="s">
        <v>4909</v>
      </c>
      <c r="E1319" s="162" t="s">
        <v>4910</v>
      </c>
      <c r="F1319" s="162">
        <v>2890</v>
      </c>
      <c r="G1319" s="162">
        <v>1</v>
      </c>
    </row>
    <row r="1320" spans="2:7">
      <c r="B1320" s="162" t="s">
        <v>675</v>
      </c>
      <c r="C1320" s="162" t="s">
        <v>4911</v>
      </c>
      <c r="D1320" s="162" t="s">
        <v>4912</v>
      </c>
      <c r="E1320" s="162" t="s">
        <v>4913</v>
      </c>
      <c r="F1320" s="162">
        <v>44300</v>
      </c>
      <c r="G1320" s="162">
        <v>1</v>
      </c>
    </row>
    <row r="1321" spans="2:7" ht="57.6">
      <c r="B1321" s="162" t="s">
        <v>675</v>
      </c>
      <c r="C1321" s="162" t="s">
        <v>4914</v>
      </c>
      <c r="D1321" s="162" t="s">
        <v>4915</v>
      </c>
      <c r="E1321" s="162" t="s">
        <v>4916</v>
      </c>
      <c r="F1321" s="162">
        <v>21600</v>
      </c>
      <c r="G1321" s="162">
        <v>1</v>
      </c>
    </row>
    <row r="1322" spans="2:7" ht="28.8">
      <c r="B1322" s="162" t="s">
        <v>675</v>
      </c>
      <c r="C1322" s="162" t="s">
        <v>4917</v>
      </c>
      <c r="D1322" s="162" t="s">
        <v>4918</v>
      </c>
      <c r="E1322" s="162" t="s">
        <v>4919</v>
      </c>
      <c r="F1322" s="162">
        <v>12600</v>
      </c>
      <c r="G1322" s="162">
        <v>1</v>
      </c>
    </row>
    <row r="1323" spans="2:7">
      <c r="B1323" s="162" t="s">
        <v>675</v>
      </c>
      <c r="C1323" s="162" t="s">
        <v>4920</v>
      </c>
      <c r="D1323" s="162" t="s">
        <v>4921</v>
      </c>
      <c r="F1323" s="162">
        <v>3480</v>
      </c>
      <c r="G1323" s="162">
        <v>1</v>
      </c>
    </row>
    <row r="1324" spans="2:7">
      <c r="B1324" s="162" t="s">
        <v>675</v>
      </c>
      <c r="C1324" s="162" t="s">
        <v>4922</v>
      </c>
      <c r="D1324" s="162" t="s">
        <v>4923</v>
      </c>
      <c r="F1324" s="162">
        <v>110</v>
      </c>
      <c r="G1324" s="162">
        <v>1</v>
      </c>
    </row>
    <row r="1325" spans="2:7">
      <c r="B1325" s="162" t="s">
        <v>675</v>
      </c>
      <c r="C1325" s="162" t="s">
        <v>4924</v>
      </c>
      <c r="D1325" s="162" t="s">
        <v>4925</v>
      </c>
      <c r="F1325" s="162">
        <v>2400</v>
      </c>
      <c r="G1325" s="162">
        <v>1</v>
      </c>
    </row>
    <row r="1326" spans="2:7">
      <c r="B1326" s="162" t="s">
        <v>675</v>
      </c>
      <c r="C1326" s="162" t="s">
        <v>4926</v>
      </c>
      <c r="D1326" s="162" t="s">
        <v>4927</v>
      </c>
      <c r="F1326" s="162">
        <v>90</v>
      </c>
      <c r="G1326" s="162">
        <v>1</v>
      </c>
    </row>
    <row r="1327" spans="2:7">
      <c r="B1327" s="162" t="s">
        <v>675</v>
      </c>
      <c r="C1327" s="162" t="s">
        <v>4928</v>
      </c>
      <c r="D1327" s="162" t="s">
        <v>4929</v>
      </c>
      <c r="F1327" s="162">
        <v>80</v>
      </c>
      <c r="G1327" s="162">
        <v>1</v>
      </c>
    </row>
    <row r="1328" spans="2:7" ht="43.2">
      <c r="B1328" s="162" t="s">
        <v>675</v>
      </c>
      <c r="C1328" s="162" t="s">
        <v>4930</v>
      </c>
      <c r="D1328" s="162" t="s">
        <v>4931</v>
      </c>
      <c r="E1328" s="162" t="s">
        <v>4932</v>
      </c>
      <c r="F1328" s="162">
        <v>2560</v>
      </c>
      <c r="G1328" s="162">
        <v>1</v>
      </c>
    </row>
    <row r="1329" spans="2:7" ht="28.8">
      <c r="B1329" s="162" t="s">
        <v>675</v>
      </c>
      <c r="C1329" s="162" t="s">
        <v>4933</v>
      </c>
      <c r="D1329" s="162" t="s">
        <v>4934</v>
      </c>
      <c r="E1329" s="162" t="s">
        <v>4935</v>
      </c>
      <c r="F1329" s="162">
        <v>890</v>
      </c>
      <c r="G1329" s="162">
        <v>1</v>
      </c>
    </row>
    <row r="1330" spans="2:7" ht="28.8">
      <c r="B1330" s="162" t="s">
        <v>675</v>
      </c>
      <c r="C1330" s="162" t="s">
        <v>4936</v>
      </c>
      <c r="D1330" s="162" t="s">
        <v>4937</v>
      </c>
      <c r="E1330" s="162" t="s">
        <v>4938</v>
      </c>
      <c r="F1330" s="162">
        <v>1350</v>
      </c>
      <c r="G1330" s="162">
        <v>1</v>
      </c>
    </row>
    <row r="1331" spans="2:7" ht="43.2">
      <c r="B1331" s="162" t="s">
        <v>675</v>
      </c>
      <c r="C1331" s="162" t="s">
        <v>4446</v>
      </c>
      <c r="D1331" s="162" t="s">
        <v>4447</v>
      </c>
      <c r="E1331" s="162" t="s">
        <v>4939</v>
      </c>
      <c r="F1331" s="162">
        <v>590</v>
      </c>
      <c r="G1331" s="162">
        <v>1</v>
      </c>
    </row>
    <row r="1332" spans="2:7">
      <c r="B1332" s="162" t="s">
        <v>675</v>
      </c>
      <c r="C1332" s="162" t="s">
        <v>4940</v>
      </c>
      <c r="D1332" s="162" t="s">
        <v>4941</v>
      </c>
      <c r="F1332" s="162">
        <v>1810</v>
      </c>
      <c r="G1332" s="162">
        <v>1</v>
      </c>
    </row>
    <row r="1333" spans="2:7">
      <c r="B1333" s="162" t="s">
        <v>675</v>
      </c>
      <c r="C1333" s="162" t="s">
        <v>4942</v>
      </c>
      <c r="D1333" s="162" t="s">
        <v>4943</v>
      </c>
      <c r="F1333" s="162">
        <v>1810</v>
      </c>
      <c r="G1333" s="162">
        <v>1</v>
      </c>
    </row>
    <row r="1334" spans="2:7" ht="28.8">
      <c r="B1334" s="162" t="s">
        <v>675</v>
      </c>
      <c r="C1334" s="162" t="s">
        <v>4944</v>
      </c>
      <c r="D1334" s="162" t="s">
        <v>4945</v>
      </c>
      <c r="E1334" s="162" t="s">
        <v>4946</v>
      </c>
      <c r="F1334" s="162">
        <v>320</v>
      </c>
      <c r="G1334" s="162">
        <v>1</v>
      </c>
    </row>
    <row r="1335" spans="2:7" ht="57.6">
      <c r="B1335" s="162" t="s">
        <v>675</v>
      </c>
      <c r="C1335" s="162" t="s">
        <v>4947</v>
      </c>
      <c r="D1335" s="162" t="s">
        <v>4948</v>
      </c>
      <c r="E1335" s="162" t="s">
        <v>4949</v>
      </c>
      <c r="F1335" s="162">
        <v>15600</v>
      </c>
      <c r="G1335" s="162">
        <v>1</v>
      </c>
    </row>
    <row r="1336" spans="2:7" ht="57.6">
      <c r="B1336" s="162" t="s">
        <v>675</v>
      </c>
      <c r="C1336" s="162" t="s">
        <v>4950</v>
      </c>
      <c r="D1336" s="162" t="s">
        <v>4951</v>
      </c>
      <c r="E1336" s="162" t="s">
        <v>4952</v>
      </c>
      <c r="F1336" s="162">
        <v>23400</v>
      </c>
      <c r="G1336" s="162">
        <v>1</v>
      </c>
    </row>
    <row r="1337" spans="2:7" ht="28.8">
      <c r="B1337" s="162" t="s">
        <v>675</v>
      </c>
      <c r="C1337" s="162" t="s">
        <v>4953</v>
      </c>
      <c r="D1337" s="162" t="s">
        <v>4954</v>
      </c>
      <c r="E1337" s="162" t="s">
        <v>4955</v>
      </c>
      <c r="F1337" s="162">
        <v>7190</v>
      </c>
      <c r="G1337" s="162">
        <v>1</v>
      </c>
    </row>
    <row r="1338" spans="2:7" ht="28.8">
      <c r="B1338" s="162" t="s">
        <v>675</v>
      </c>
      <c r="C1338" s="162" t="s">
        <v>4956</v>
      </c>
      <c r="D1338" s="162" t="s">
        <v>4957</v>
      </c>
      <c r="E1338" s="162" t="s">
        <v>4958</v>
      </c>
      <c r="F1338" s="162">
        <v>13800</v>
      </c>
      <c r="G1338" s="162">
        <v>1</v>
      </c>
    </row>
    <row r="1339" spans="2:7" ht="28.8">
      <c r="B1339" s="162" t="s">
        <v>675</v>
      </c>
      <c r="C1339" s="162" t="s">
        <v>4959</v>
      </c>
      <c r="D1339" s="162" t="s">
        <v>4960</v>
      </c>
      <c r="E1339" s="162" t="s">
        <v>4961</v>
      </c>
      <c r="F1339" s="162">
        <v>4550</v>
      </c>
      <c r="G1339" s="162">
        <v>1</v>
      </c>
    </row>
    <row r="1340" spans="2:7" ht="28.8">
      <c r="B1340" s="162" t="s">
        <v>675</v>
      </c>
      <c r="C1340" s="162" t="s">
        <v>4962</v>
      </c>
      <c r="D1340" s="162" t="s">
        <v>4963</v>
      </c>
      <c r="E1340" s="162" t="s">
        <v>4964</v>
      </c>
      <c r="F1340" s="162">
        <v>5990</v>
      </c>
      <c r="G1340" s="162">
        <v>1</v>
      </c>
    </row>
    <row r="1341" spans="2:7">
      <c r="B1341" s="162" t="s">
        <v>675</v>
      </c>
      <c r="C1341" s="162" t="s">
        <v>4965</v>
      </c>
      <c r="D1341" s="162" t="s">
        <v>4966</v>
      </c>
      <c r="F1341" s="162">
        <v>21600</v>
      </c>
      <c r="G1341" s="162">
        <v>1</v>
      </c>
    </row>
    <row r="1342" spans="2:7">
      <c r="B1342" s="162" t="s">
        <v>675</v>
      </c>
      <c r="C1342" s="162" t="s">
        <v>4967</v>
      </c>
      <c r="D1342" s="162" t="s">
        <v>4968</v>
      </c>
      <c r="E1342" s="162" t="s">
        <v>4969</v>
      </c>
      <c r="F1342" s="162">
        <v>500</v>
      </c>
      <c r="G1342" s="162">
        <v>1</v>
      </c>
    </row>
    <row r="1343" spans="2:7">
      <c r="B1343" s="162" t="s">
        <v>675</v>
      </c>
      <c r="C1343" s="162" t="s">
        <v>4970</v>
      </c>
      <c r="D1343" s="162" t="s">
        <v>4971</v>
      </c>
      <c r="E1343" s="162" t="s">
        <v>4969</v>
      </c>
      <c r="F1343" s="162">
        <v>2040</v>
      </c>
      <c r="G1343" s="162">
        <v>1</v>
      </c>
    </row>
    <row r="1344" spans="2:7" ht="43.2">
      <c r="B1344" s="162" t="s">
        <v>675</v>
      </c>
      <c r="C1344" s="162" t="s">
        <v>4972</v>
      </c>
      <c r="D1344" s="162" t="s">
        <v>4973</v>
      </c>
      <c r="E1344" s="162" t="s">
        <v>4974</v>
      </c>
      <c r="F1344" s="162">
        <v>3600</v>
      </c>
      <c r="G1344" s="162">
        <v>1</v>
      </c>
    </row>
    <row r="1345" spans="2:7" ht="72">
      <c r="B1345" s="162" t="s">
        <v>675</v>
      </c>
      <c r="C1345" s="162" t="s">
        <v>4975</v>
      </c>
      <c r="D1345" s="162" t="s">
        <v>4976</v>
      </c>
      <c r="E1345" s="162" t="s">
        <v>4977</v>
      </c>
      <c r="F1345" s="162">
        <v>10180</v>
      </c>
      <c r="G1345" s="162">
        <v>1</v>
      </c>
    </row>
    <row r="1346" spans="2:7" ht="28.8">
      <c r="B1346" s="162" t="s">
        <v>675</v>
      </c>
      <c r="C1346" s="162" t="s">
        <v>4978</v>
      </c>
      <c r="D1346" s="162" t="s">
        <v>4979</v>
      </c>
      <c r="E1346" s="162" t="s">
        <v>4980</v>
      </c>
      <c r="F1346" s="162">
        <v>1440</v>
      </c>
      <c r="G1346" s="162">
        <v>1</v>
      </c>
    </row>
    <row r="1347" spans="2:7" ht="43.2">
      <c r="B1347" s="162" t="s">
        <v>675</v>
      </c>
      <c r="C1347" s="162" t="s">
        <v>4981</v>
      </c>
      <c r="D1347" s="162" t="s">
        <v>4982</v>
      </c>
      <c r="E1347" s="162" t="s">
        <v>4983</v>
      </c>
      <c r="F1347" s="162">
        <v>2930</v>
      </c>
      <c r="G1347" s="162">
        <v>1</v>
      </c>
    </row>
    <row r="1348" spans="2:7" ht="28.8">
      <c r="B1348" s="162" t="s">
        <v>675</v>
      </c>
      <c r="C1348" s="162" t="s">
        <v>4984</v>
      </c>
      <c r="D1348" s="162" t="s">
        <v>4985</v>
      </c>
      <c r="E1348" s="162" t="s">
        <v>4069</v>
      </c>
      <c r="F1348" s="162">
        <v>2310</v>
      </c>
      <c r="G1348" s="162">
        <v>1</v>
      </c>
    </row>
    <row r="1349" spans="2:7" ht="28.8">
      <c r="B1349" s="162" t="s">
        <v>675</v>
      </c>
      <c r="C1349" s="162" t="s">
        <v>4986</v>
      </c>
      <c r="D1349" s="162" t="s">
        <v>4987</v>
      </c>
      <c r="E1349" s="162" t="s">
        <v>4072</v>
      </c>
      <c r="F1349" s="162">
        <v>4190</v>
      </c>
      <c r="G1349" s="162">
        <v>1</v>
      </c>
    </row>
    <row r="1350" spans="2:7" ht="28.8">
      <c r="B1350" s="162" t="s">
        <v>675</v>
      </c>
      <c r="C1350" s="162" t="s">
        <v>4988</v>
      </c>
      <c r="D1350" s="162" t="s">
        <v>4989</v>
      </c>
      <c r="E1350" s="162" t="s">
        <v>4069</v>
      </c>
      <c r="F1350" s="162">
        <v>2310</v>
      </c>
      <c r="G1350" s="162">
        <v>1</v>
      </c>
    </row>
    <row r="1351" spans="2:7" ht="28.8">
      <c r="B1351" s="162" t="s">
        <v>675</v>
      </c>
      <c r="C1351" s="162" t="s">
        <v>4990</v>
      </c>
      <c r="D1351" s="162" t="s">
        <v>4991</v>
      </c>
      <c r="E1351" s="162" t="s">
        <v>4072</v>
      </c>
      <c r="F1351" s="162">
        <v>4190</v>
      </c>
      <c r="G1351" s="162">
        <v>1</v>
      </c>
    </row>
    <row r="1352" spans="2:7">
      <c r="B1352" s="162" t="s">
        <v>675</v>
      </c>
      <c r="C1352" s="162" t="s">
        <v>4992</v>
      </c>
      <c r="D1352" s="162" t="s">
        <v>4993</v>
      </c>
      <c r="E1352" s="162" t="s">
        <v>4069</v>
      </c>
      <c r="F1352" s="162">
        <v>1450</v>
      </c>
      <c r="G1352" s="162">
        <v>1</v>
      </c>
    </row>
    <row r="1353" spans="2:7">
      <c r="B1353" s="162" t="s">
        <v>675</v>
      </c>
      <c r="C1353" s="162" t="s">
        <v>4994</v>
      </c>
      <c r="D1353" s="162" t="s">
        <v>4995</v>
      </c>
      <c r="E1353" s="162" t="s">
        <v>4072</v>
      </c>
      <c r="F1353" s="162">
        <v>2640</v>
      </c>
      <c r="G1353" s="162">
        <v>1</v>
      </c>
    </row>
    <row r="1354" spans="2:7">
      <c r="B1354" s="162" t="s">
        <v>675</v>
      </c>
      <c r="C1354" s="162" t="s">
        <v>4996</v>
      </c>
      <c r="D1354" s="162" t="s">
        <v>4997</v>
      </c>
      <c r="E1354" s="162" t="s">
        <v>4069</v>
      </c>
      <c r="F1354" s="162">
        <v>1060</v>
      </c>
      <c r="G1354" s="162">
        <v>1</v>
      </c>
    </row>
    <row r="1355" spans="2:7">
      <c r="B1355" s="162" t="s">
        <v>675</v>
      </c>
      <c r="C1355" s="162" t="s">
        <v>4998</v>
      </c>
      <c r="D1355" s="162" t="s">
        <v>4999</v>
      </c>
      <c r="E1355" s="162" t="s">
        <v>4072</v>
      </c>
      <c r="F1355" s="162">
        <v>1920</v>
      </c>
      <c r="G1355" s="162">
        <v>1</v>
      </c>
    </row>
    <row r="1356" spans="2:7">
      <c r="B1356" s="162" t="s">
        <v>675</v>
      </c>
      <c r="C1356" s="162" t="s">
        <v>5000</v>
      </c>
      <c r="D1356" s="162" t="s">
        <v>5001</v>
      </c>
      <c r="E1356" s="162" t="s">
        <v>4069</v>
      </c>
      <c r="F1356" s="162">
        <v>730</v>
      </c>
      <c r="G1356" s="162">
        <v>1</v>
      </c>
    </row>
    <row r="1357" spans="2:7">
      <c r="B1357" s="162" t="s">
        <v>675</v>
      </c>
      <c r="C1357" s="162" t="s">
        <v>5002</v>
      </c>
      <c r="D1357" s="162" t="s">
        <v>5003</v>
      </c>
      <c r="E1357" s="162" t="s">
        <v>4072</v>
      </c>
      <c r="F1357" s="162">
        <v>1320</v>
      </c>
      <c r="G1357" s="162">
        <v>1</v>
      </c>
    </row>
    <row r="1358" spans="2:7" ht="28.8">
      <c r="B1358" s="162" t="s">
        <v>675</v>
      </c>
      <c r="C1358" s="162" t="s">
        <v>5004</v>
      </c>
      <c r="D1358" s="162" t="s">
        <v>5005</v>
      </c>
      <c r="E1358" s="162" t="s">
        <v>4069</v>
      </c>
      <c r="F1358" s="162">
        <v>1060</v>
      </c>
      <c r="G1358" s="162">
        <v>1</v>
      </c>
    </row>
    <row r="1359" spans="2:7" ht="28.8">
      <c r="B1359" s="162" t="s">
        <v>675</v>
      </c>
      <c r="C1359" s="162" t="s">
        <v>5006</v>
      </c>
      <c r="D1359" s="162" t="s">
        <v>5007</v>
      </c>
      <c r="E1359" s="162" t="s">
        <v>4072</v>
      </c>
      <c r="F1359" s="162">
        <v>1920</v>
      </c>
      <c r="G1359" s="162">
        <v>1</v>
      </c>
    </row>
    <row r="1360" spans="2:7" ht="28.8">
      <c r="B1360" s="162" t="s">
        <v>675</v>
      </c>
      <c r="C1360" s="162" t="s">
        <v>5008</v>
      </c>
      <c r="D1360" s="162" t="s">
        <v>5009</v>
      </c>
      <c r="E1360" s="162" t="s">
        <v>4069</v>
      </c>
      <c r="F1360" s="162">
        <v>1060</v>
      </c>
      <c r="G1360" s="162">
        <v>1</v>
      </c>
    </row>
    <row r="1361" spans="2:7" ht="28.8">
      <c r="B1361" s="162" t="s">
        <v>675</v>
      </c>
      <c r="C1361" s="162" t="s">
        <v>5010</v>
      </c>
      <c r="D1361" s="162" t="s">
        <v>5011</v>
      </c>
      <c r="E1361" s="162" t="s">
        <v>4072</v>
      </c>
      <c r="F1361" s="162">
        <v>1920</v>
      </c>
      <c r="G1361" s="162">
        <v>1</v>
      </c>
    </row>
    <row r="1362" spans="2:7" ht="28.8">
      <c r="B1362" s="162" t="s">
        <v>675</v>
      </c>
      <c r="C1362" s="162" t="s">
        <v>5012</v>
      </c>
      <c r="D1362" s="162" t="s">
        <v>5013</v>
      </c>
      <c r="E1362" s="162" t="s">
        <v>4069</v>
      </c>
      <c r="F1362" s="162">
        <v>730</v>
      </c>
      <c r="G1362" s="162">
        <v>1</v>
      </c>
    </row>
    <row r="1363" spans="2:7" ht="28.8">
      <c r="B1363" s="162" t="s">
        <v>675</v>
      </c>
      <c r="C1363" s="162" t="s">
        <v>5014</v>
      </c>
      <c r="D1363" s="162" t="s">
        <v>5015</v>
      </c>
      <c r="E1363" s="162" t="s">
        <v>4072</v>
      </c>
      <c r="F1363" s="162">
        <v>1320</v>
      </c>
      <c r="G1363" s="162">
        <v>1</v>
      </c>
    </row>
    <row r="1364" spans="2:7">
      <c r="B1364" s="162" t="s">
        <v>675</v>
      </c>
      <c r="C1364" s="162" t="s">
        <v>5016</v>
      </c>
      <c r="D1364" s="162" t="s">
        <v>5017</v>
      </c>
      <c r="E1364" s="162" t="s">
        <v>4069</v>
      </c>
      <c r="F1364" s="162">
        <v>910</v>
      </c>
      <c r="G1364" s="162">
        <v>1</v>
      </c>
    </row>
    <row r="1365" spans="2:7">
      <c r="B1365" s="162" t="s">
        <v>675</v>
      </c>
      <c r="C1365" s="162" t="s">
        <v>5018</v>
      </c>
      <c r="D1365" s="162" t="s">
        <v>5019</v>
      </c>
      <c r="E1365" s="162" t="s">
        <v>4072</v>
      </c>
      <c r="F1365" s="162">
        <v>1640</v>
      </c>
      <c r="G1365" s="162">
        <v>1</v>
      </c>
    </row>
    <row r="1366" spans="2:7">
      <c r="B1366" s="162" t="s">
        <v>675</v>
      </c>
      <c r="C1366" s="162" t="s">
        <v>5020</v>
      </c>
      <c r="D1366" s="162" t="s">
        <v>5021</v>
      </c>
      <c r="E1366" s="162" t="s">
        <v>4069</v>
      </c>
      <c r="F1366" s="162">
        <v>1420</v>
      </c>
      <c r="G1366" s="162">
        <v>1</v>
      </c>
    </row>
    <row r="1367" spans="2:7">
      <c r="B1367" s="162" t="s">
        <v>675</v>
      </c>
      <c r="C1367" s="162" t="s">
        <v>5022</v>
      </c>
      <c r="D1367" s="162" t="s">
        <v>5023</v>
      </c>
      <c r="E1367" s="162" t="s">
        <v>4072</v>
      </c>
      <c r="F1367" s="162">
        <v>2540</v>
      </c>
      <c r="G1367" s="162">
        <v>1</v>
      </c>
    </row>
    <row r="1368" spans="2:7">
      <c r="B1368" s="162" t="s">
        <v>675</v>
      </c>
      <c r="C1368" s="162" t="s">
        <v>5024</v>
      </c>
      <c r="D1368" s="162" t="s">
        <v>5025</v>
      </c>
      <c r="E1368" s="162" t="s">
        <v>4880</v>
      </c>
      <c r="F1368" s="162">
        <v>22500</v>
      </c>
      <c r="G1368" s="162">
        <v>1</v>
      </c>
    </row>
    <row r="1369" spans="2:7" ht="43.2">
      <c r="B1369" s="162" t="s">
        <v>675</v>
      </c>
      <c r="C1369" s="162" t="s">
        <v>5026</v>
      </c>
      <c r="D1369" s="162" t="s">
        <v>5027</v>
      </c>
      <c r="E1369" s="162" t="s">
        <v>5028</v>
      </c>
      <c r="F1369" s="162">
        <v>16800</v>
      </c>
      <c r="G1369" s="162">
        <v>1</v>
      </c>
    </row>
    <row r="1370" spans="2:7" ht="28.8">
      <c r="B1370" s="162" t="s">
        <v>675</v>
      </c>
      <c r="C1370" s="162" t="s">
        <v>5029</v>
      </c>
      <c r="D1370" s="162" t="s">
        <v>4885</v>
      </c>
      <c r="E1370" s="162" t="s">
        <v>4886</v>
      </c>
      <c r="F1370" s="162">
        <v>5780</v>
      </c>
      <c r="G1370" s="162">
        <v>1</v>
      </c>
    </row>
    <row r="1371" spans="2:7" ht="28.8">
      <c r="B1371" s="162" t="s">
        <v>675</v>
      </c>
      <c r="C1371" s="162" t="s">
        <v>5030</v>
      </c>
      <c r="D1371" s="162" t="s">
        <v>4888</v>
      </c>
      <c r="E1371" s="162" t="s">
        <v>4886</v>
      </c>
      <c r="F1371" s="162">
        <v>5780</v>
      </c>
      <c r="G1371" s="162">
        <v>1</v>
      </c>
    </row>
    <row r="1372" spans="2:7">
      <c r="B1372" s="162" t="s">
        <v>675</v>
      </c>
      <c r="C1372" s="162" t="s">
        <v>5031</v>
      </c>
      <c r="D1372" s="162" t="s">
        <v>4890</v>
      </c>
      <c r="E1372" s="162" t="s">
        <v>4891</v>
      </c>
      <c r="F1372" s="162">
        <v>5780</v>
      </c>
      <c r="G1372" s="162">
        <v>1</v>
      </c>
    </row>
    <row r="1373" spans="2:7">
      <c r="B1373" s="162" t="s">
        <v>675</v>
      </c>
      <c r="C1373" s="162" t="s">
        <v>5032</v>
      </c>
      <c r="D1373" s="162" t="s">
        <v>4893</v>
      </c>
      <c r="E1373" s="162" t="s">
        <v>4891</v>
      </c>
      <c r="F1373" s="162">
        <v>5780</v>
      </c>
      <c r="G1373" s="162">
        <v>1</v>
      </c>
    </row>
    <row r="1374" spans="2:7">
      <c r="B1374" s="162" t="s">
        <v>675</v>
      </c>
      <c r="C1374" s="162" t="s">
        <v>5033</v>
      </c>
      <c r="D1374" s="162" t="s">
        <v>4895</v>
      </c>
      <c r="E1374" s="162" t="s">
        <v>4896</v>
      </c>
      <c r="F1374" s="162">
        <v>5780</v>
      </c>
      <c r="G1374" s="162">
        <v>1</v>
      </c>
    </row>
    <row r="1375" spans="2:7">
      <c r="B1375" s="162" t="s">
        <v>675</v>
      </c>
      <c r="C1375" s="162" t="s">
        <v>5034</v>
      </c>
      <c r="D1375" s="162" t="s">
        <v>4898</v>
      </c>
      <c r="E1375" s="162" t="s">
        <v>4896</v>
      </c>
      <c r="F1375" s="162">
        <v>5780</v>
      </c>
      <c r="G1375" s="162">
        <v>1</v>
      </c>
    </row>
    <row r="1376" spans="2:7" ht="28.8">
      <c r="B1376" s="162" t="s">
        <v>675</v>
      </c>
      <c r="C1376" s="162" t="s">
        <v>5035</v>
      </c>
      <c r="D1376" s="162" t="s">
        <v>4900</v>
      </c>
      <c r="E1376" s="162" t="s">
        <v>4901</v>
      </c>
      <c r="F1376" s="162">
        <v>3610</v>
      </c>
      <c r="G1376" s="162">
        <v>1</v>
      </c>
    </row>
    <row r="1377" spans="2:7" ht="28.8">
      <c r="B1377" s="162" t="s">
        <v>675</v>
      </c>
      <c r="C1377" s="162" t="s">
        <v>5036</v>
      </c>
      <c r="D1377" s="162" t="s">
        <v>4903</v>
      </c>
      <c r="E1377" s="162" t="s">
        <v>4904</v>
      </c>
      <c r="F1377" s="162">
        <v>3610</v>
      </c>
      <c r="G1377" s="162">
        <v>1</v>
      </c>
    </row>
    <row r="1378" spans="2:7">
      <c r="B1378" s="162" t="s">
        <v>675</v>
      </c>
      <c r="C1378" s="162" t="s">
        <v>5037</v>
      </c>
      <c r="D1378" s="162" t="s">
        <v>4906</v>
      </c>
      <c r="E1378" s="162" t="s">
        <v>4907</v>
      </c>
      <c r="F1378" s="162">
        <v>6750</v>
      </c>
      <c r="G1378" s="162">
        <v>1</v>
      </c>
    </row>
    <row r="1379" spans="2:7">
      <c r="B1379" s="162" t="s">
        <v>675</v>
      </c>
      <c r="C1379" s="162" t="s">
        <v>5038</v>
      </c>
      <c r="D1379" s="162" t="s">
        <v>4968</v>
      </c>
      <c r="E1379" s="162" t="s">
        <v>4969</v>
      </c>
      <c r="F1379" s="162">
        <v>450</v>
      </c>
      <c r="G1379" s="162">
        <v>1</v>
      </c>
    </row>
    <row r="1380" spans="2:7" ht="28.8">
      <c r="B1380" s="162" t="s">
        <v>675</v>
      </c>
      <c r="C1380" s="162" t="s">
        <v>5039</v>
      </c>
      <c r="D1380" s="162" t="s">
        <v>4934</v>
      </c>
      <c r="E1380" s="162" t="s">
        <v>4935</v>
      </c>
      <c r="F1380" s="162">
        <v>810</v>
      </c>
      <c r="G1380" s="162">
        <v>1</v>
      </c>
    </row>
    <row r="1381" spans="2:7">
      <c r="B1381" s="162" t="s">
        <v>675</v>
      </c>
      <c r="C1381" s="162" t="s">
        <v>5040</v>
      </c>
      <c r="D1381" s="162" t="s">
        <v>5041</v>
      </c>
      <c r="F1381" s="162">
        <v>6760</v>
      </c>
      <c r="G1381" s="162">
        <v>1</v>
      </c>
    </row>
    <row r="1382" spans="2:7">
      <c r="B1382" s="162" t="s">
        <v>675</v>
      </c>
      <c r="C1382" s="162" t="s">
        <v>5042</v>
      </c>
      <c r="D1382" s="162" t="s">
        <v>5043</v>
      </c>
      <c r="F1382" s="162">
        <v>13600</v>
      </c>
      <c r="G1382" s="162">
        <v>1</v>
      </c>
    </row>
    <row r="1383" spans="2:7">
      <c r="B1383" s="162" t="s">
        <v>675</v>
      </c>
      <c r="C1383" s="162" t="s">
        <v>5044</v>
      </c>
      <c r="D1383" s="162" t="s">
        <v>5045</v>
      </c>
      <c r="F1383" s="162">
        <v>31900</v>
      </c>
      <c r="G1383" s="162">
        <v>1</v>
      </c>
    </row>
    <row r="1384" spans="2:7">
      <c r="B1384" s="162" t="s">
        <v>675</v>
      </c>
      <c r="C1384" s="162" t="s">
        <v>5046</v>
      </c>
      <c r="D1384" s="162" t="s">
        <v>5047</v>
      </c>
      <c r="F1384" s="162">
        <v>26400</v>
      </c>
      <c r="G1384" s="162">
        <v>1</v>
      </c>
    </row>
    <row r="1385" spans="2:7">
      <c r="B1385" s="162" t="s">
        <v>675</v>
      </c>
      <c r="C1385" s="162" t="s">
        <v>5048</v>
      </c>
      <c r="D1385" s="162" t="s">
        <v>5049</v>
      </c>
      <c r="F1385" s="162">
        <v>38800</v>
      </c>
      <c r="G1385" s="162">
        <v>1</v>
      </c>
    </row>
    <row r="1386" spans="2:7">
      <c r="B1386" s="162" t="s">
        <v>675</v>
      </c>
      <c r="C1386" s="162" t="s">
        <v>5050</v>
      </c>
      <c r="D1386" s="162" t="s">
        <v>5051</v>
      </c>
      <c r="F1386" s="162">
        <v>31900</v>
      </c>
      <c r="G1386" s="162">
        <v>1</v>
      </c>
    </row>
    <row r="1387" spans="2:7" ht="57.6">
      <c r="B1387" s="162" t="s">
        <v>675</v>
      </c>
      <c r="C1387" s="162" t="s">
        <v>5052</v>
      </c>
      <c r="D1387" s="162" t="s">
        <v>5053</v>
      </c>
      <c r="E1387" s="162" t="s">
        <v>5054</v>
      </c>
      <c r="F1387" s="162">
        <v>42300</v>
      </c>
      <c r="G1387" s="162">
        <v>1</v>
      </c>
    </row>
    <row r="1388" spans="2:7" ht="57.6">
      <c r="B1388" s="162" t="s">
        <v>675</v>
      </c>
      <c r="C1388" s="162" t="s">
        <v>5055</v>
      </c>
      <c r="D1388" s="162" t="s">
        <v>5056</v>
      </c>
      <c r="E1388" s="162" t="s">
        <v>5057</v>
      </c>
      <c r="F1388" s="162">
        <v>42300</v>
      </c>
      <c r="G1388" s="162">
        <v>1</v>
      </c>
    </row>
    <row r="1389" spans="2:7" ht="43.2">
      <c r="B1389" s="162" t="s">
        <v>675</v>
      </c>
      <c r="C1389" s="162" t="s">
        <v>5058</v>
      </c>
      <c r="D1389" s="162" t="s">
        <v>5059</v>
      </c>
      <c r="E1389" s="162" t="s">
        <v>5060</v>
      </c>
      <c r="F1389" s="162">
        <v>37000</v>
      </c>
      <c r="G1389" s="162">
        <v>1</v>
      </c>
    </row>
    <row r="1390" spans="2:7" ht="43.2">
      <c r="B1390" s="162" t="s">
        <v>675</v>
      </c>
      <c r="C1390" s="162" t="s">
        <v>5061</v>
      </c>
      <c r="D1390" s="162" t="s">
        <v>5062</v>
      </c>
      <c r="E1390" s="162" t="s">
        <v>5063</v>
      </c>
      <c r="F1390" s="162">
        <v>33000</v>
      </c>
      <c r="G1390" s="162">
        <v>1</v>
      </c>
    </row>
    <row r="1391" spans="2:7" ht="28.8">
      <c r="B1391" s="162" t="s">
        <v>675</v>
      </c>
      <c r="C1391" s="162" t="s">
        <v>5064</v>
      </c>
      <c r="D1391" s="162" t="s">
        <v>5065</v>
      </c>
      <c r="E1391" s="162" t="s">
        <v>5066</v>
      </c>
      <c r="F1391" s="162">
        <v>33000</v>
      </c>
      <c r="G1391" s="162">
        <v>1</v>
      </c>
    </row>
    <row r="1392" spans="2:7" ht="43.2">
      <c r="B1392" s="162" t="s">
        <v>675</v>
      </c>
      <c r="C1392" s="162" t="s">
        <v>5067</v>
      </c>
      <c r="D1392" s="162" t="s">
        <v>5068</v>
      </c>
      <c r="E1392" s="162" t="s">
        <v>5069</v>
      </c>
      <c r="F1392" s="162">
        <v>37000</v>
      </c>
      <c r="G1392" s="162">
        <v>1</v>
      </c>
    </row>
    <row r="1393" spans="2:7" ht="43.2">
      <c r="B1393" s="162" t="s">
        <v>675</v>
      </c>
      <c r="C1393" s="162" t="s">
        <v>5070</v>
      </c>
      <c r="D1393" s="162" t="s">
        <v>5071</v>
      </c>
      <c r="E1393" s="162" t="s">
        <v>5072</v>
      </c>
      <c r="F1393" s="162">
        <v>33000</v>
      </c>
      <c r="G1393" s="162">
        <v>1</v>
      </c>
    </row>
    <row r="1394" spans="2:7" ht="28.8">
      <c r="B1394" s="162" t="s">
        <v>675</v>
      </c>
      <c r="C1394" s="162" t="s">
        <v>5073</v>
      </c>
      <c r="D1394" s="162" t="s">
        <v>5074</v>
      </c>
      <c r="E1394" s="162" t="s">
        <v>5066</v>
      </c>
      <c r="F1394" s="162">
        <v>27800</v>
      </c>
      <c r="G1394" s="162">
        <v>1</v>
      </c>
    </row>
    <row r="1395" spans="2:7" ht="43.2">
      <c r="B1395" s="162" t="s">
        <v>675</v>
      </c>
      <c r="C1395" s="162" t="s">
        <v>5075</v>
      </c>
      <c r="D1395" s="162" t="s">
        <v>5076</v>
      </c>
      <c r="E1395" s="162" t="s">
        <v>5069</v>
      </c>
      <c r="F1395" s="162">
        <v>30400</v>
      </c>
      <c r="G1395" s="162">
        <v>1</v>
      </c>
    </row>
    <row r="1396" spans="2:7" ht="43.2">
      <c r="B1396" s="162" t="s">
        <v>675</v>
      </c>
      <c r="C1396" s="162" t="s">
        <v>5077</v>
      </c>
      <c r="D1396" s="162" t="s">
        <v>5078</v>
      </c>
      <c r="E1396" s="162" t="s">
        <v>5072</v>
      </c>
      <c r="F1396" s="162">
        <v>27800</v>
      </c>
      <c r="G1396" s="162">
        <v>1</v>
      </c>
    </row>
    <row r="1397" spans="2:7">
      <c r="B1397" s="162" t="s">
        <v>675</v>
      </c>
      <c r="C1397" s="162" t="s">
        <v>5079</v>
      </c>
      <c r="D1397" s="162" t="s">
        <v>5080</v>
      </c>
      <c r="E1397" s="162" t="s">
        <v>5081</v>
      </c>
      <c r="F1397" s="162">
        <v>43650</v>
      </c>
      <c r="G1397" s="162">
        <v>1</v>
      </c>
    </row>
    <row r="1398" spans="2:7">
      <c r="B1398" s="162" t="s">
        <v>675</v>
      </c>
      <c r="C1398" s="162" t="s">
        <v>5082</v>
      </c>
      <c r="D1398" s="162" t="s">
        <v>5083</v>
      </c>
      <c r="E1398" s="162" t="s">
        <v>5084</v>
      </c>
      <c r="F1398" s="162">
        <v>49850</v>
      </c>
      <c r="G1398" s="162">
        <v>1</v>
      </c>
    </row>
    <row r="1399" spans="2:7">
      <c r="B1399" s="162" t="s">
        <v>675</v>
      </c>
      <c r="C1399" s="162" t="s">
        <v>5085</v>
      </c>
      <c r="D1399" s="162" t="s">
        <v>5086</v>
      </c>
      <c r="E1399" s="162" t="s">
        <v>5087</v>
      </c>
      <c r="F1399" s="162">
        <v>49200</v>
      </c>
      <c r="G1399" s="162">
        <v>1</v>
      </c>
    </row>
    <row r="1400" spans="2:7" ht="28.8">
      <c r="B1400" s="162" t="s">
        <v>675</v>
      </c>
      <c r="C1400" s="162" t="s">
        <v>5088</v>
      </c>
      <c r="D1400" s="162" t="s">
        <v>5089</v>
      </c>
      <c r="E1400" s="162" t="s">
        <v>5090</v>
      </c>
      <c r="F1400" s="162">
        <v>55000</v>
      </c>
      <c r="G1400" s="162">
        <v>1</v>
      </c>
    </row>
    <row r="1401" spans="2:7">
      <c r="B1401" s="162" t="s">
        <v>675</v>
      </c>
      <c r="C1401" s="162" t="s">
        <v>5091</v>
      </c>
      <c r="D1401" s="162" t="s">
        <v>5092</v>
      </c>
      <c r="E1401" s="162" t="s">
        <v>5093</v>
      </c>
      <c r="F1401" s="162">
        <v>15100</v>
      </c>
      <c r="G1401" s="162">
        <v>1</v>
      </c>
    </row>
    <row r="1402" spans="2:7" ht="28.8">
      <c r="B1402" s="162" t="s">
        <v>675</v>
      </c>
      <c r="C1402" s="162" t="s">
        <v>5094</v>
      </c>
      <c r="D1402" s="162" t="s">
        <v>5095</v>
      </c>
      <c r="E1402" s="162" t="s">
        <v>5096</v>
      </c>
      <c r="F1402" s="162">
        <v>340</v>
      </c>
      <c r="G1402" s="162">
        <v>1</v>
      </c>
    </row>
    <row r="1403" spans="2:7">
      <c r="B1403" s="162" t="s">
        <v>675</v>
      </c>
      <c r="C1403" s="162" t="s">
        <v>5097</v>
      </c>
      <c r="D1403" s="162" t="s">
        <v>5098</v>
      </c>
      <c r="E1403" s="162" t="s">
        <v>5099</v>
      </c>
      <c r="F1403" s="162">
        <v>1390</v>
      </c>
      <c r="G1403" s="162">
        <v>1</v>
      </c>
    </row>
    <row r="1404" spans="2:7">
      <c r="B1404" s="162" t="s">
        <v>675</v>
      </c>
      <c r="C1404" s="162" t="s">
        <v>5100</v>
      </c>
      <c r="D1404" s="162" t="s">
        <v>5101</v>
      </c>
      <c r="E1404" s="162" t="s">
        <v>5099</v>
      </c>
      <c r="F1404" s="162">
        <v>1390</v>
      </c>
      <c r="G1404" s="162">
        <v>1</v>
      </c>
    </row>
    <row r="1405" spans="2:7">
      <c r="B1405" s="162" t="s">
        <v>675</v>
      </c>
      <c r="C1405" s="162" t="s">
        <v>5102</v>
      </c>
      <c r="D1405" s="162" t="s">
        <v>5103</v>
      </c>
      <c r="E1405" s="162" t="s">
        <v>5099</v>
      </c>
      <c r="F1405" s="162">
        <v>1390</v>
      </c>
      <c r="G1405" s="162">
        <v>1</v>
      </c>
    </row>
    <row r="1406" spans="2:7">
      <c r="B1406" s="162" t="s">
        <v>675</v>
      </c>
      <c r="C1406" s="162" t="s">
        <v>5104</v>
      </c>
      <c r="D1406" s="162" t="s">
        <v>5105</v>
      </c>
      <c r="E1406" s="162" t="s">
        <v>5099</v>
      </c>
      <c r="F1406" s="162">
        <v>1390</v>
      </c>
      <c r="G1406" s="162">
        <v>1</v>
      </c>
    </row>
    <row r="1407" spans="2:7">
      <c r="B1407" s="162" t="s">
        <v>675</v>
      </c>
      <c r="C1407" s="162" t="s">
        <v>5106</v>
      </c>
      <c r="D1407" s="162" t="s">
        <v>5107</v>
      </c>
      <c r="E1407" s="162" t="s">
        <v>5099</v>
      </c>
      <c r="F1407" s="162">
        <v>1390</v>
      </c>
      <c r="G1407" s="162">
        <v>1</v>
      </c>
    </row>
    <row r="1408" spans="2:7" ht="28.8">
      <c r="B1408" s="162" t="s">
        <v>675</v>
      </c>
      <c r="C1408" s="162" t="s">
        <v>3996</v>
      </c>
      <c r="D1408" s="162" t="s">
        <v>3997</v>
      </c>
      <c r="E1408" s="162" t="s">
        <v>5108</v>
      </c>
      <c r="F1408" s="162">
        <v>20800</v>
      </c>
      <c r="G1408" s="162">
        <v>1</v>
      </c>
    </row>
    <row r="1409" spans="2:7" ht="28.8">
      <c r="B1409" s="162" t="s">
        <v>675</v>
      </c>
      <c r="C1409" s="162" t="s">
        <v>4051</v>
      </c>
      <c r="D1409" s="162" t="s">
        <v>5109</v>
      </c>
      <c r="F1409" s="162">
        <v>710</v>
      </c>
      <c r="G1409" s="162">
        <v>1</v>
      </c>
    </row>
    <row r="1410" spans="2:7">
      <c r="B1410" s="162" t="s">
        <v>675</v>
      </c>
      <c r="C1410" s="162" t="s">
        <v>3999</v>
      </c>
      <c r="D1410" s="162" t="s">
        <v>5110</v>
      </c>
      <c r="E1410" s="162" t="s">
        <v>4000</v>
      </c>
      <c r="F1410" s="162">
        <v>21500</v>
      </c>
      <c r="G1410" s="162">
        <v>1</v>
      </c>
    </row>
    <row r="1411" spans="2:7" ht="43.2">
      <c r="B1411" s="162" t="s">
        <v>675</v>
      </c>
      <c r="C1411" s="162" t="s">
        <v>5111</v>
      </c>
      <c r="D1411" s="162" t="s">
        <v>5112</v>
      </c>
      <c r="E1411" s="162" t="s">
        <v>5113</v>
      </c>
      <c r="F1411" s="162">
        <v>12600</v>
      </c>
      <c r="G1411" s="162">
        <v>1</v>
      </c>
    </row>
    <row r="1412" spans="2:7" ht="43.2">
      <c r="B1412" s="162" t="s">
        <v>675</v>
      </c>
      <c r="C1412" s="162" t="s">
        <v>5114</v>
      </c>
      <c r="D1412" s="162" t="s">
        <v>5115</v>
      </c>
      <c r="E1412" s="162" t="s">
        <v>5116</v>
      </c>
      <c r="F1412" s="162">
        <v>8590</v>
      </c>
      <c r="G1412" s="162">
        <v>1</v>
      </c>
    </row>
    <row r="1413" spans="2:7" ht="43.2">
      <c r="B1413" s="162" t="s">
        <v>675</v>
      </c>
      <c r="C1413" s="162" t="s">
        <v>5117</v>
      </c>
      <c r="D1413" s="162" t="s">
        <v>5118</v>
      </c>
      <c r="E1413" s="162" t="s">
        <v>5119</v>
      </c>
      <c r="F1413" s="162">
        <v>7530</v>
      </c>
      <c r="G1413" s="162">
        <v>1</v>
      </c>
    </row>
    <row r="1414" spans="2:7" ht="43.2">
      <c r="B1414" s="162" t="s">
        <v>675</v>
      </c>
      <c r="C1414" s="162" t="s">
        <v>5120</v>
      </c>
      <c r="D1414" s="162" t="s">
        <v>5121</v>
      </c>
      <c r="E1414" s="162" t="s">
        <v>5122</v>
      </c>
      <c r="F1414" s="162">
        <v>9970</v>
      </c>
      <c r="G1414" s="162">
        <v>1</v>
      </c>
    </row>
    <row r="1415" spans="2:7" ht="43.2">
      <c r="B1415" s="162" t="s">
        <v>675</v>
      </c>
      <c r="C1415" s="162" t="s">
        <v>5123</v>
      </c>
      <c r="D1415" s="162" t="s">
        <v>5124</v>
      </c>
      <c r="E1415" s="162" t="s">
        <v>5125</v>
      </c>
      <c r="F1415" s="162">
        <v>8050</v>
      </c>
      <c r="G1415" s="162">
        <v>1</v>
      </c>
    </row>
    <row r="1416" spans="2:7" ht="43.2">
      <c r="B1416" s="162" t="s">
        <v>675</v>
      </c>
      <c r="C1416" s="162" t="s">
        <v>5126</v>
      </c>
      <c r="D1416" s="162" t="s">
        <v>5127</v>
      </c>
      <c r="E1416" s="162" t="s">
        <v>5128</v>
      </c>
      <c r="F1416" s="162">
        <v>10690</v>
      </c>
      <c r="G1416" s="162">
        <v>1</v>
      </c>
    </row>
    <row r="1417" spans="2:7" ht="57.6">
      <c r="B1417" s="162" t="s">
        <v>675</v>
      </c>
      <c r="C1417" s="162" t="s">
        <v>5129</v>
      </c>
      <c r="D1417" s="162" t="s">
        <v>5130</v>
      </c>
      <c r="E1417" s="162" t="s">
        <v>5131</v>
      </c>
      <c r="F1417" s="162">
        <v>10690</v>
      </c>
      <c r="G1417" s="162">
        <v>1</v>
      </c>
    </row>
    <row r="1418" spans="2:7" ht="57.6">
      <c r="B1418" s="162" t="s">
        <v>675</v>
      </c>
      <c r="C1418" s="162" t="s">
        <v>5132</v>
      </c>
      <c r="D1418" s="162" t="s">
        <v>5133</v>
      </c>
      <c r="E1418" s="162" t="s">
        <v>5134</v>
      </c>
      <c r="F1418" s="162">
        <v>7590</v>
      </c>
      <c r="G1418" s="162">
        <v>1</v>
      </c>
    </row>
    <row r="1419" spans="2:7" ht="57.6">
      <c r="B1419" s="162" t="s">
        <v>675</v>
      </c>
      <c r="C1419" s="162" t="s">
        <v>4005</v>
      </c>
      <c r="D1419" s="162" t="s">
        <v>5135</v>
      </c>
      <c r="E1419" s="162" t="s">
        <v>5136</v>
      </c>
      <c r="F1419" s="162">
        <v>4830</v>
      </c>
      <c r="G1419" s="162">
        <v>1</v>
      </c>
    </row>
    <row r="1420" spans="2:7" ht="43.2">
      <c r="B1420" s="162" t="s">
        <v>675</v>
      </c>
      <c r="C1420" s="162" t="s">
        <v>4008</v>
      </c>
      <c r="D1420" s="162" t="s">
        <v>4009</v>
      </c>
      <c r="E1420" s="162" t="s">
        <v>4010</v>
      </c>
      <c r="F1420" s="162">
        <v>8080</v>
      </c>
      <c r="G1420" s="162">
        <v>1</v>
      </c>
    </row>
    <row r="1421" spans="2:7">
      <c r="B1421" s="162" t="s">
        <v>675</v>
      </c>
      <c r="C1421" s="162" t="s">
        <v>5137</v>
      </c>
      <c r="D1421" s="162" t="s">
        <v>5138</v>
      </c>
      <c r="F1421" s="162">
        <v>170</v>
      </c>
      <c r="G1421" s="162">
        <v>1</v>
      </c>
    </row>
    <row r="1422" spans="2:7">
      <c r="B1422" s="162" t="s">
        <v>675</v>
      </c>
      <c r="C1422" s="162" t="s">
        <v>5139</v>
      </c>
      <c r="D1422" s="162" t="s">
        <v>5140</v>
      </c>
      <c r="F1422" s="162">
        <v>230</v>
      </c>
      <c r="G1422" s="162">
        <v>1</v>
      </c>
    </row>
    <row r="1423" spans="2:7">
      <c r="B1423" s="162" t="s">
        <v>675</v>
      </c>
      <c r="C1423" s="162" t="s">
        <v>5141</v>
      </c>
      <c r="D1423" s="162" t="s">
        <v>5142</v>
      </c>
      <c r="F1423" s="162">
        <v>230</v>
      </c>
      <c r="G1423" s="162">
        <v>1</v>
      </c>
    </row>
    <row r="1424" spans="2:7">
      <c r="B1424" s="162" t="s">
        <v>675</v>
      </c>
      <c r="C1424" s="162" t="s">
        <v>5143</v>
      </c>
      <c r="D1424" s="162" t="s">
        <v>5144</v>
      </c>
      <c r="F1424" s="162">
        <v>480</v>
      </c>
      <c r="G1424" s="162">
        <v>1</v>
      </c>
    </row>
    <row r="1425" spans="2:7" ht="28.8">
      <c r="B1425" s="162" t="s">
        <v>675</v>
      </c>
      <c r="C1425" s="162" t="s">
        <v>5145</v>
      </c>
      <c r="D1425" s="162" t="s">
        <v>5146</v>
      </c>
      <c r="E1425" s="162" t="s">
        <v>5147</v>
      </c>
      <c r="F1425" s="162">
        <v>880</v>
      </c>
      <c r="G1425" s="162">
        <v>1</v>
      </c>
    </row>
    <row r="1426" spans="2:7">
      <c r="B1426" s="162" t="s">
        <v>675</v>
      </c>
      <c r="C1426" s="162" t="s">
        <v>5148</v>
      </c>
      <c r="D1426" s="162" t="s">
        <v>5149</v>
      </c>
      <c r="F1426" s="162">
        <v>880</v>
      </c>
      <c r="G1426" s="162">
        <v>1</v>
      </c>
    </row>
    <row r="1427" spans="2:7" ht="28.8">
      <c r="B1427" s="162" t="s">
        <v>675</v>
      </c>
      <c r="C1427" s="162" t="s">
        <v>5150</v>
      </c>
      <c r="D1427" s="162" t="s">
        <v>5151</v>
      </c>
      <c r="E1427" s="162" t="s">
        <v>5152</v>
      </c>
      <c r="F1427" s="162">
        <v>2380</v>
      </c>
      <c r="G1427" s="162">
        <v>1</v>
      </c>
    </row>
    <row r="1428" spans="2:7">
      <c r="B1428" s="162" t="s">
        <v>675</v>
      </c>
      <c r="C1428" s="162" t="s">
        <v>5153</v>
      </c>
      <c r="D1428" s="162" t="s">
        <v>4045</v>
      </c>
      <c r="F1428" s="162">
        <v>3220</v>
      </c>
      <c r="G1428" s="162">
        <v>1</v>
      </c>
    </row>
    <row r="1429" spans="2:7">
      <c r="B1429" s="162" t="s">
        <v>675</v>
      </c>
      <c r="C1429" s="162" t="s">
        <v>4059</v>
      </c>
      <c r="D1429" s="162" t="s">
        <v>4060</v>
      </c>
      <c r="E1429" s="162" t="s">
        <v>4061</v>
      </c>
      <c r="F1429" s="162">
        <v>70</v>
      </c>
      <c r="G1429" s="162">
        <v>1</v>
      </c>
    </row>
    <row r="1430" spans="2:7" ht="28.8">
      <c r="B1430" s="162" t="s">
        <v>675</v>
      </c>
      <c r="C1430" s="162" t="s">
        <v>4062</v>
      </c>
      <c r="D1430" s="162" t="s">
        <v>4063</v>
      </c>
      <c r="E1430" s="162" t="s">
        <v>4064</v>
      </c>
      <c r="F1430" s="162">
        <v>40</v>
      </c>
      <c r="G1430" s="162">
        <v>1</v>
      </c>
    </row>
    <row r="1431" spans="2:7" ht="28.8">
      <c r="B1431" s="162" t="s">
        <v>675</v>
      </c>
      <c r="C1431" s="162" t="s">
        <v>4065</v>
      </c>
      <c r="D1431" s="162" t="s">
        <v>4066</v>
      </c>
      <c r="F1431" s="162">
        <v>130</v>
      </c>
      <c r="G1431" s="162">
        <v>1</v>
      </c>
    </row>
    <row r="1432" spans="2:7">
      <c r="B1432" s="162" t="s">
        <v>675</v>
      </c>
      <c r="C1432" s="162" t="s">
        <v>5154</v>
      </c>
      <c r="D1432" s="162" t="s">
        <v>5155</v>
      </c>
      <c r="F1432" s="162">
        <v>360</v>
      </c>
      <c r="G1432" s="162">
        <v>1</v>
      </c>
    </row>
    <row r="1433" spans="2:7" ht="43.2">
      <c r="B1433" s="162" t="s">
        <v>675</v>
      </c>
      <c r="C1433" s="162" t="s">
        <v>5156</v>
      </c>
      <c r="D1433" s="162" t="s">
        <v>5157</v>
      </c>
      <c r="E1433" s="162" t="s">
        <v>5158</v>
      </c>
      <c r="F1433" s="162">
        <v>5740</v>
      </c>
      <c r="G1433" s="162">
        <v>1</v>
      </c>
    </row>
    <row r="1434" spans="2:7" ht="43.2">
      <c r="B1434" s="162" t="s">
        <v>675</v>
      </c>
      <c r="C1434" s="162" t="s">
        <v>5159</v>
      </c>
      <c r="D1434" s="162" t="s">
        <v>5160</v>
      </c>
      <c r="E1434" s="162" t="s">
        <v>5161</v>
      </c>
      <c r="F1434" s="162">
        <v>7130</v>
      </c>
      <c r="G1434" s="162">
        <v>1</v>
      </c>
    </row>
    <row r="1435" spans="2:7" ht="28.8">
      <c r="B1435" s="162" t="s">
        <v>675</v>
      </c>
      <c r="C1435" s="162" t="s">
        <v>5162</v>
      </c>
      <c r="D1435" s="162" t="s">
        <v>5163</v>
      </c>
      <c r="E1435" s="162" t="s">
        <v>5164</v>
      </c>
      <c r="F1435" s="162">
        <v>15100</v>
      </c>
      <c r="G1435" s="162">
        <v>1</v>
      </c>
    </row>
    <row r="1436" spans="2:7" ht="28.8">
      <c r="B1436" s="162" t="s">
        <v>675</v>
      </c>
      <c r="C1436" s="162" t="s">
        <v>5165</v>
      </c>
      <c r="D1436" s="162" t="s">
        <v>5166</v>
      </c>
      <c r="E1436" s="162" t="s">
        <v>5167</v>
      </c>
      <c r="F1436" s="162">
        <v>16200</v>
      </c>
      <c r="G1436" s="162">
        <v>1</v>
      </c>
    </row>
    <row r="1437" spans="2:7">
      <c r="B1437" s="162" t="s">
        <v>675</v>
      </c>
      <c r="C1437" s="162" t="s">
        <v>5168</v>
      </c>
      <c r="D1437" s="162" t="s">
        <v>5169</v>
      </c>
      <c r="F1437" s="162">
        <v>660</v>
      </c>
      <c r="G1437" s="162">
        <v>1</v>
      </c>
    </row>
    <row r="1438" spans="2:7">
      <c r="B1438" s="162" t="s">
        <v>675</v>
      </c>
      <c r="C1438" s="162" t="s">
        <v>5170</v>
      </c>
      <c r="D1438" s="162" t="s">
        <v>5171</v>
      </c>
      <c r="F1438" s="162">
        <v>940</v>
      </c>
      <c r="G1438" s="162">
        <v>1</v>
      </c>
    </row>
    <row r="1439" spans="2:7" ht="28.8">
      <c r="B1439" s="162" t="s">
        <v>27</v>
      </c>
      <c r="C1439" s="162" t="s">
        <v>462</v>
      </c>
      <c r="D1439" s="162" t="s">
        <v>463</v>
      </c>
      <c r="F1439" s="162">
        <v>4072</v>
      </c>
      <c r="G1439" s="162">
        <v>1</v>
      </c>
    </row>
    <row r="1440" spans="2:7" ht="28.8">
      <c r="B1440" s="162" t="s">
        <v>27</v>
      </c>
      <c r="C1440" s="162" t="s">
        <v>464</v>
      </c>
      <c r="D1440" s="162" t="s">
        <v>465</v>
      </c>
      <c r="F1440" s="162">
        <v>5060</v>
      </c>
      <c r="G1440" s="162">
        <v>1</v>
      </c>
    </row>
    <row r="1441" spans="2:7" ht="28.8">
      <c r="B1441" s="162" t="s">
        <v>27</v>
      </c>
      <c r="C1441" s="162" t="s">
        <v>466</v>
      </c>
      <c r="D1441" s="162" t="s">
        <v>467</v>
      </c>
      <c r="F1441" s="162">
        <v>5060</v>
      </c>
      <c r="G1441" s="162">
        <v>1</v>
      </c>
    </row>
    <row r="1442" spans="2:7" ht="28.8">
      <c r="B1442" s="162" t="s">
        <v>27</v>
      </c>
      <c r="C1442" s="162" t="s">
        <v>30</v>
      </c>
      <c r="D1442" s="162" t="s">
        <v>468</v>
      </c>
      <c r="F1442" s="162">
        <v>970</v>
      </c>
      <c r="G1442" s="162">
        <v>1</v>
      </c>
    </row>
    <row r="1443" spans="2:7">
      <c r="B1443" s="162" t="s">
        <v>27</v>
      </c>
      <c r="C1443" s="162" t="s">
        <v>31</v>
      </c>
      <c r="D1443" s="162" t="s">
        <v>469</v>
      </c>
      <c r="F1443" s="162">
        <v>970</v>
      </c>
      <c r="G1443" s="162">
        <v>1</v>
      </c>
    </row>
    <row r="1444" spans="2:7" ht="28.8">
      <c r="B1444" s="162" t="s">
        <v>27</v>
      </c>
      <c r="C1444" s="162" t="s">
        <v>470</v>
      </c>
      <c r="D1444" s="162" t="s">
        <v>471</v>
      </c>
      <c r="F1444" s="162">
        <v>5280</v>
      </c>
      <c r="G1444" s="162">
        <v>1</v>
      </c>
    </row>
    <row r="1445" spans="2:7" ht="28.8">
      <c r="B1445" s="162" t="s">
        <v>27</v>
      </c>
      <c r="C1445" s="162" t="s">
        <v>472</v>
      </c>
      <c r="D1445" s="162" t="s">
        <v>473</v>
      </c>
      <c r="F1445" s="162">
        <v>1816</v>
      </c>
      <c r="G1445" s="162">
        <v>1</v>
      </c>
    </row>
    <row r="1446" spans="2:7" ht="28.8">
      <c r="B1446" s="162" t="s">
        <v>27</v>
      </c>
      <c r="C1446" s="162" t="s">
        <v>474</v>
      </c>
      <c r="D1446" s="162" t="s">
        <v>475</v>
      </c>
      <c r="F1446" s="162">
        <v>1816</v>
      </c>
      <c r="G1446" s="162">
        <v>1</v>
      </c>
    </row>
    <row r="1447" spans="2:7" ht="43.2">
      <c r="B1447" s="162" t="s">
        <v>27</v>
      </c>
      <c r="C1447" s="162" t="s">
        <v>5172</v>
      </c>
      <c r="D1447" s="162" t="s">
        <v>5173</v>
      </c>
      <c r="F1447" s="162">
        <v>260</v>
      </c>
      <c r="G1447" s="162">
        <v>1</v>
      </c>
    </row>
    <row r="1448" spans="2:7" ht="43.2">
      <c r="B1448" s="162" t="s">
        <v>27</v>
      </c>
      <c r="C1448" s="162" t="s">
        <v>28</v>
      </c>
      <c r="D1448" s="162" t="s">
        <v>476</v>
      </c>
      <c r="F1448" s="162">
        <v>3742</v>
      </c>
      <c r="G1448" s="162">
        <v>1</v>
      </c>
    </row>
    <row r="1449" spans="2:7">
      <c r="B1449" s="162" t="s">
        <v>27</v>
      </c>
      <c r="C1449" s="162" t="s">
        <v>477</v>
      </c>
      <c r="D1449" s="162" t="s">
        <v>478</v>
      </c>
      <c r="F1449" s="162">
        <v>1034</v>
      </c>
      <c r="G1449" s="162">
        <v>1</v>
      </c>
    </row>
    <row r="1450" spans="2:7">
      <c r="B1450" s="162" t="s">
        <v>27</v>
      </c>
      <c r="C1450" s="162" t="s">
        <v>479</v>
      </c>
      <c r="D1450" s="162" t="s">
        <v>480</v>
      </c>
      <c r="F1450" s="162">
        <v>1034</v>
      </c>
      <c r="G1450" s="162">
        <v>1</v>
      </c>
    </row>
    <row r="1451" spans="2:7" ht="28.8">
      <c r="B1451" s="162" t="s">
        <v>27</v>
      </c>
      <c r="C1451" s="162" t="s">
        <v>481</v>
      </c>
      <c r="D1451" s="162" t="s">
        <v>482</v>
      </c>
      <c r="F1451" s="162">
        <v>848</v>
      </c>
      <c r="G1451" s="162">
        <v>1</v>
      </c>
    </row>
    <row r="1452" spans="2:7" ht="43.2">
      <c r="B1452" s="162" t="s">
        <v>27</v>
      </c>
      <c r="C1452" s="162" t="s">
        <v>483</v>
      </c>
      <c r="D1452" s="162" t="s">
        <v>484</v>
      </c>
      <c r="F1452" s="162">
        <v>904</v>
      </c>
      <c r="G1452" s="162">
        <v>1</v>
      </c>
    </row>
    <row r="1453" spans="2:7" ht="28.8">
      <c r="B1453" s="162" t="s">
        <v>27</v>
      </c>
      <c r="C1453" s="162" t="s">
        <v>5174</v>
      </c>
      <c r="D1453" s="162" t="s">
        <v>5175</v>
      </c>
      <c r="F1453" s="162">
        <v>904</v>
      </c>
      <c r="G1453" s="162">
        <v>1</v>
      </c>
    </row>
    <row r="1454" spans="2:7" ht="57.6">
      <c r="B1454" s="162" t="s">
        <v>27</v>
      </c>
      <c r="C1454" s="162" t="s">
        <v>485</v>
      </c>
      <c r="D1454" s="162" t="s">
        <v>486</v>
      </c>
      <c r="F1454" s="162">
        <v>8910</v>
      </c>
      <c r="G1454" s="162">
        <v>1</v>
      </c>
    </row>
    <row r="1455" spans="2:7">
      <c r="B1455" s="162" t="s">
        <v>27</v>
      </c>
      <c r="C1455" s="162" t="s">
        <v>487</v>
      </c>
      <c r="D1455" s="162" t="s">
        <v>488</v>
      </c>
      <c r="F1455" s="162">
        <v>452</v>
      </c>
      <c r="G1455" s="162">
        <v>1</v>
      </c>
    </row>
    <row r="1456" spans="2:7" ht="28.8">
      <c r="B1456" s="162" t="s">
        <v>27</v>
      </c>
      <c r="C1456" s="162" t="s">
        <v>489</v>
      </c>
      <c r="D1456" s="162" t="s">
        <v>490</v>
      </c>
      <c r="F1456" s="162">
        <v>452</v>
      </c>
      <c r="G1456" s="162">
        <v>1</v>
      </c>
    </row>
    <row r="1457" spans="2:7">
      <c r="B1457" s="162" t="s">
        <v>27</v>
      </c>
      <c r="C1457" s="162" t="s">
        <v>491</v>
      </c>
      <c r="D1457" s="162" t="s">
        <v>492</v>
      </c>
      <c r="F1457" s="162">
        <v>398</v>
      </c>
      <c r="G1457" s="162">
        <v>1</v>
      </c>
    </row>
    <row r="1458" spans="2:7" ht="28.8">
      <c r="B1458" s="162" t="s">
        <v>27</v>
      </c>
      <c r="C1458" s="162" t="s">
        <v>493</v>
      </c>
      <c r="D1458" s="162" t="s">
        <v>494</v>
      </c>
      <c r="F1458" s="162">
        <v>398</v>
      </c>
      <c r="G1458" s="162">
        <v>1</v>
      </c>
    </row>
    <row r="1459" spans="2:7" ht="28.8">
      <c r="B1459" s="162" t="s">
        <v>27</v>
      </c>
      <c r="C1459" s="162" t="s">
        <v>495</v>
      </c>
      <c r="D1459" s="162" t="s">
        <v>29</v>
      </c>
      <c r="F1459" s="162">
        <v>2420</v>
      </c>
      <c r="G1459" s="162">
        <v>1</v>
      </c>
    </row>
    <row r="1460" spans="2:7" ht="28.8">
      <c r="B1460" s="162" t="s">
        <v>27</v>
      </c>
      <c r="C1460" s="162" t="s">
        <v>496</v>
      </c>
      <c r="D1460" s="162" t="s">
        <v>497</v>
      </c>
      <c r="F1460" s="162">
        <v>1542</v>
      </c>
      <c r="G1460" s="162">
        <v>1</v>
      </c>
    </row>
    <row r="1461" spans="2:7">
      <c r="B1461" s="162" t="s">
        <v>27</v>
      </c>
      <c r="C1461" s="162" t="s">
        <v>31</v>
      </c>
      <c r="D1461" s="162" t="s">
        <v>469</v>
      </c>
      <c r="F1461" s="162">
        <v>970</v>
      </c>
      <c r="G1461" s="162">
        <v>1</v>
      </c>
    </row>
    <row r="1462" spans="2:7">
      <c r="B1462" s="162" t="s">
        <v>27</v>
      </c>
      <c r="C1462" s="162" t="s">
        <v>498</v>
      </c>
      <c r="D1462" s="162" t="s">
        <v>499</v>
      </c>
      <c r="F1462" s="162">
        <v>1486</v>
      </c>
      <c r="G1462" s="162">
        <v>1</v>
      </c>
    </row>
    <row r="1463" spans="2:7" ht="28.8">
      <c r="B1463" s="162" t="s">
        <v>27</v>
      </c>
      <c r="C1463" s="162" t="s">
        <v>500</v>
      </c>
      <c r="D1463" s="162" t="s">
        <v>501</v>
      </c>
      <c r="F1463" s="162">
        <v>1982</v>
      </c>
      <c r="G1463" s="162">
        <v>1</v>
      </c>
    </row>
    <row r="1464" spans="2:7" ht="57.6">
      <c r="B1464" s="162" t="s">
        <v>27</v>
      </c>
      <c r="C1464" s="162" t="s">
        <v>32</v>
      </c>
      <c r="D1464" s="162" t="s">
        <v>502</v>
      </c>
      <c r="F1464" s="162">
        <v>4510</v>
      </c>
      <c r="G1464" s="162">
        <v>1</v>
      </c>
    </row>
    <row r="1465" spans="2:7" ht="43.2">
      <c r="B1465" s="162" t="s">
        <v>27</v>
      </c>
      <c r="C1465" s="162" t="s">
        <v>5176</v>
      </c>
      <c r="D1465" s="162" t="s">
        <v>5177</v>
      </c>
      <c r="F1465" s="162">
        <v>3632</v>
      </c>
      <c r="G1465" s="162">
        <v>1</v>
      </c>
    </row>
    <row r="1466" spans="2:7" ht="72">
      <c r="B1466" s="162" t="s">
        <v>27</v>
      </c>
      <c r="C1466" s="162" t="s">
        <v>5178</v>
      </c>
      <c r="D1466" s="162" t="s">
        <v>5179</v>
      </c>
      <c r="F1466" s="162">
        <v>4840</v>
      </c>
      <c r="G1466" s="162">
        <v>1</v>
      </c>
    </row>
    <row r="1467" spans="2:7">
      <c r="B1467" s="162" t="s">
        <v>27</v>
      </c>
      <c r="C1467" s="162" t="s">
        <v>503</v>
      </c>
      <c r="D1467" s="162" t="s">
        <v>33</v>
      </c>
      <c r="F1467" s="162">
        <v>1982</v>
      </c>
      <c r="G1467" s="162">
        <v>1</v>
      </c>
    </row>
    <row r="1468" spans="2:7" ht="28.8">
      <c r="B1468" s="162" t="s">
        <v>27</v>
      </c>
      <c r="C1468" s="162" t="s">
        <v>504</v>
      </c>
      <c r="D1468" s="162" t="s">
        <v>505</v>
      </c>
      <c r="F1468" s="162">
        <v>1034</v>
      </c>
      <c r="G1468" s="162">
        <v>1</v>
      </c>
    </row>
    <row r="1469" spans="2:7" ht="28.8">
      <c r="B1469" s="162" t="s">
        <v>27</v>
      </c>
      <c r="C1469" s="162" t="s">
        <v>5180</v>
      </c>
      <c r="D1469" s="162" t="s">
        <v>5181</v>
      </c>
      <c r="F1469" s="162">
        <v>2972</v>
      </c>
      <c r="G1469" s="162">
        <v>1</v>
      </c>
    </row>
    <row r="1470" spans="2:7" ht="28.8">
      <c r="B1470" s="162" t="s">
        <v>27</v>
      </c>
      <c r="C1470" s="162" t="s">
        <v>5182</v>
      </c>
      <c r="D1470" s="162" t="s">
        <v>5183</v>
      </c>
      <c r="F1470" s="162">
        <v>2750</v>
      </c>
      <c r="G1470" s="162">
        <v>1</v>
      </c>
    </row>
    <row r="1471" spans="2:7" ht="28.8">
      <c r="B1471" s="162" t="s">
        <v>27</v>
      </c>
      <c r="C1471" s="162" t="s">
        <v>5184</v>
      </c>
      <c r="D1471" s="162" t="s">
        <v>5185</v>
      </c>
      <c r="F1471" s="162">
        <v>2200</v>
      </c>
      <c r="G1471" s="162">
        <v>1</v>
      </c>
    </row>
    <row r="1472" spans="2:7" ht="28.8">
      <c r="B1472" s="162" t="s">
        <v>27</v>
      </c>
      <c r="C1472" s="162" t="s">
        <v>5186</v>
      </c>
      <c r="D1472" s="162" t="s">
        <v>5187</v>
      </c>
      <c r="F1472" s="162">
        <v>1000</v>
      </c>
      <c r="G1472" s="162">
        <v>1</v>
      </c>
    </row>
    <row r="1473" spans="2:7" ht="28.8">
      <c r="B1473" s="162" t="s">
        <v>27</v>
      </c>
      <c r="C1473" s="162" t="s">
        <v>5188</v>
      </c>
      <c r="D1473" s="162" t="s">
        <v>5189</v>
      </c>
      <c r="F1473" s="162">
        <v>1300</v>
      </c>
      <c r="G1473" s="162">
        <v>1</v>
      </c>
    </row>
    <row r="1474" spans="2:7" ht="28.8">
      <c r="B1474" s="162" t="s">
        <v>27</v>
      </c>
      <c r="C1474" s="162" t="s">
        <v>5190</v>
      </c>
      <c r="D1474" s="162" t="s">
        <v>5191</v>
      </c>
      <c r="F1474" s="162">
        <v>1300</v>
      </c>
      <c r="G1474" s="162">
        <v>1</v>
      </c>
    </row>
    <row r="1475" spans="2:7" ht="28.8">
      <c r="B1475" s="162" t="s">
        <v>27</v>
      </c>
      <c r="C1475" s="162" t="s">
        <v>5192</v>
      </c>
      <c r="D1475" s="162" t="s">
        <v>5193</v>
      </c>
      <c r="F1475" s="162">
        <v>1700</v>
      </c>
      <c r="G1475" s="162">
        <v>1</v>
      </c>
    </row>
    <row r="1476" spans="2:7" ht="28.8">
      <c r="B1476" s="162" t="s">
        <v>27</v>
      </c>
      <c r="C1476" s="162" t="s">
        <v>5194</v>
      </c>
      <c r="D1476" s="162" t="s">
        <v>5195</v>
      </c>
      <c r="F1476" s="162">
        <v>2420</v>
      </c>
      <c r="G1476" s="162">
        <v>1</v>
      </c>
    </row>
    <row r="1477" spans="2:7">
      <c r="B1477" s="162" t="s">
        <v>27</v>
      </c>
      <c r="C1477" s="162" t="s">
        <v>5196</v>
      </c>
      <c r="D1477" s="162" t="s">
        <v>5197</v>
      </c>
      <c r="F1477" s="162">
        <v>1376</v>
      </c>
      <c r="G1477" s="162">
        <v>1</v>
      </c>
    </row>
    <row r="1478" spans="2:7">
      <c r="B1478" s="162" t="s">
        <v>27</v>
      </c>
      <c r="C1478" s="162" t="s">
        <v>5198</v>
      </c>
      <c r="D1478" s="162" t="s">
        <v>5199</v>
      </c>
      <c r="F1478" s="162">
        <v>992</v>
      </c>
      <c r="G1478" s="162">
        <v>1</v>
      </c>
    </row>
    <row r="1479" spans="2:7">
      <c r="B1479" s="162" t="s">
        <v>27</v>
      </c>
      <c r="C1479" s="162" t="s">
        <v>5200</v>
      </c>
      <c r="D1479" s="162" t="s">
        <v>5201</v>
      </c>
      <c r="F1479" s="162">
        <v>1380</v>
      </c>
      <c r="G1479" s="162">
        <v>1</v>
      </c>
    </row>
    <row r="1480" spans="2:7">
      <c r="B1480" s="162" t="s">
        <v>27</v>
      </c>
      <c r="C1480" s="162" t="s">
        <v>5202</v>
      </c>
      <c r="D1480" s="162" t="s">
        <v>5203</v>
      </c>
      <c r="F1480" s="162">
        <v>1930</v>
      </c>
      <c r="G1480" s="162">
        <v>1</v>
      </c>
    </row>
    <row r="1481" spans="2:7">
      <c r="B1481" s="162" t="s">
        <v>27</v>
      </c>
      <c r="C1481" s="162" t="s">
        <v>5204</v>
      </c>
      <c r="D1481" s="162" t="s">
        <v>5205</v>
      </c>
      <c r="F1481" s="162">
        <v>1982</v>
      </c>
      <c r="G1481" s="162">
        <v>1</v>
      </c>
    </row>
    <row r="1482" spans="2:7" ht="28.8">
      <c r="B1482" s="162" t="s">
        <v>27</v>
      </c>
      <c r="C1482" s="162" t="s">
        <v>5206</v>
      </c>
      <c r="D1482" s="162" t="s">
        <v>5207</v>
      </c>
      <c r="F1482" s="162">
        <v>2310</v>
      </c>
      <c r="G1482" s="162">
        <v>1</v>
      </c>
    </row>
    <row r="1483" spans="2:7" ht="28.8">
      <c r="B1483" s="162" t="s">
        <v>27</v>
      </c>
      <c r="C1483" s="162" t="s">
        <v>5208</v>
      </c>
      <c r="D1483" s="162" t="s">
        <v>5209</v>
      </c>
      <c r="F1483" s="162">
        <v>2972</v>
      </c>
      <c r="G1483" s="162">
        <v>1</v>
      </c>
    </row>
    <row r="1484" spans="2:7" ht="43.2">
      <c r="B1484" s="162" t="s">
        <v>27</v>
      </c>
      <c r="C1484" s="162" t="s">
        <v>5210</v>
      </c>
      <c r="D1484" s="162" t="s">
        <v>5211</v>
      </c>
      <c r="F1484" s="162">
        <v>290</v>
      </c>
      <c r="G1484" s="162">
        <v>1</v>
      </c>
    </row>
    <row r="1485" spans="2:7" ht="43.2">
      <c r="B1485" s="162" t="s">
        <v>27</v>
      </c>
      <c r="C1485" s="162" t="s">
        <v>5212</v>
      </c>
      <c r="D1485" s="162" t="s">
        <v>5213</v>
      </c>
      <c r="F1485" s="162">
        <v>220</v>
      </c>
      <c r="G1485" s="162">
        <v>1</v>
      </c>
    </row>
    <row r="1486" spans="2:7" ht="28.8">
      <c r="B1486" s="162" t="s">
        <v>27</v>
      </c>
      <c r="C1486" s="162" t="s">
        <v>5214</v>
      </c>
      <c r="D1486" s="162" t="s">
        <v>5215</v>
      </c>
      <c r="F1486" s="162">
        <v>220</v>
      </c>
      <c r="G1486" s="162">
        <v>1</v>
      </c>
    </row>
    <row r="1487" spans="2:7">
      <c r="B1487" s="162" t="s">
        <v>27</v>
      </c>
      <c r="C1487" s="162" t="s">
        <v>5216</v>
      </c>
      <c r="D1487" s="162" t="s">
        <v>5217</v>
      </c>
      <c r="F1487" s="162">
        <v>4290</v>
      </c>
      <c r="G1487" s="162">
        <v>1</v>
      </c>
    </row>
    <row r="1488" spans="2:7" ht="43.2">
      <c r="B1488" s="162" t="s">
        <v>27</v>
      </c>
      <c r="C1488" s="162" t="s">
        <v>5218</v>
      </c>
      <c r="D1488" s="162" t="s">
        <v>5219</v>
      </c>
      <c r="F1488" s="162">
        <v>400</v>
      </c>
      <c r="G1488" s="162">
        <v>1</v>
      </c>
    </row>
    <row r="1489" spans="2:7" ht="43.2">
      <c r="B1489" s="162" t="s">
        <v>27</v>
      </c>
      <c r="C1489" s="162" t="s">
        <v>5220</v>
      </c>
      <c r="D1489" s="162" t="s">
        <v>5221</v>
      </c>
      <c r="F1489" s="162">
        <v>606</v>
      </c>
      <c r="G1489" s="162">
        <v>1</v>
      </c>
    </row>
    <row r="1490" spans="2:7" ht="43.2">
      <c r="B1490" s="162" t="s">
        <v>27</v>
      </c>
      <c r="C1490" s="162" t="s">
        <v>5222</v>
      </c>
      <c r="D1490" s="162" t="s">
        <v>5223</v>
      </c>
      <c r="F1490" s="162">
        <v>496</v>
      </c>
      <c r="G1490" s="162">
        <v>1</v>
      </c>
    </row>
    <row r="1491" spans="2:7" ht="57.6">
      <c r="B1491" s="162" t="s">
        <v>27</v>
      </c>
      <c r="C1491" s="162" t="s">
        <v>5224</v>
      </c>
      <c r="D1491" s="162" t="s">
        <v>5225</v>
      </c>
      <c r="F1491" s="162">
        <v>660</v>
      </c>
      <c r="G1491" s="162">
        <v>1</v>
      </c>
    </row>
    <row r="1492" spans="2:7">
      <c r="B1492" s="162" t="s">
        <v>27</v>
      </c>
      <c r="C1492" s="162" t="s">
        <v>5226</v>
      </c>
      <c r="D1492" s="162" t="s">
        <v>5227</v>
      </c>
      <c r="F1492" s="162">
        <v>56</v>
      </c>
      <c r="G1492" s="162">
        <v>1</v>
      </c>
    </row>
    <row r="1493" spans="2:7">
      <c r="B1493" s="162" t="s">
        <v>27</v>
      </c>
      <c r="C1493" s="162" t="s">
        <v>5228</v>
      </c>
      <c r="D1493" s="162" t="s">
        <v>5229</v>
      </c>
      <c r="F1493" s="162">
        <v>672</v>
      </c>
      <c r="G1493" s="162">
        <v>1</v>
      </c>
    </row>
    <row r="1494" spans="2:7">
      <c r="B1494" s="162" t="s">
        <v>27</v>
      </c>
      <c r="C1494" s="162" t="s">
        <v>5230</v>
      </c>
      <c r="D1494" s="162" t="s">
        <v>5231</v>
      </c>
      <c r="F1494" s="162">
        <v>606</v>
      </c>
      <c r="G1494" s="162">
        <v>1</v>
      </c>
    </row>
    <row r="1495" spans="2:7" ht="28.8">
      <c r="B1495" s="162" t="s">
        <v>5232</v>
      </c>
      <c r="C1495" s="162" t="s">
        <v>5233</v>
      </c>
      <c r="D1495" s="162" t="s">
        <v>5234</v>
      </c>
      <c r="F1495" s="162">
        <v>8395</v>
      </c>
      <c r="G1495" s="162">
        <v>1</v>
      </c>
    </row>
    <row r="1496" spans="2:7" ht="28.8">
      <c r="B1496" s="162" t="s">
        <v>5232</v>
      </c>
      <c r="C1496" s="162" t="s">
        <v>5235</v>
      </c>
      <c r="D1496" s="162" t="s">
        <v>5236</v>
      </c>
      <c r="F1496" s="162">
        <v>8395</v>
      </c>
      <c r="G1496" s="162">
        <v>1</v>
      </c>
    </row>
    <row r="1497" spans="2:7" ht="28.8">
      <c r="B1497" s="162" t="s">
        <v>5232</v>
      </c>
      <c r="C1497" s="162" t="s">
        <v>5237</v>
      </c>
      <c r="D1497" s="162" t="s">
        <v>5238</v>
      </c>
      <c r="F1497" s="162">
        <v>4195</v>
      </c>
      <c r="G1497" s="162">
        <v>1</v>
      </c>
    </row>
    <row r="1498" spans="2:7" ht="28.8">
      <c r="B1498" s="162" t="s">
        <v>5232</v>
      </c>
      <c r="C1498" s="162" t="s">
        <v>5239</v>
      </c>
      <c r="D1498" s="162" t="s">
        <v>5240</v>
      </c>
      <c r="F1498" s="162">
        <v>4195</v>
      </c>
      <c r="G1498" s="162">
        <v>1</v>
      </c>
    </row>
    <row r="1499" spans="2:7" ht="28.8">
      <c r="B1499" s="162" t="s">
        <v>5232</v>
      </c>
      <c r="C1499" s="162" t="s">
        <v>5241</v>
      </c>
      <c r="D1499" s="162" t="s">
        <v>5242</v>
      </c>
      <c r="F1499" s="162">
        <v>1295</v>
      </c>
      <c r="G1499" s="162">
        <v>1</v>
      </c>
    </row>
    <row r="1500" spans="2:7" ht="129.6">
      <c r="B1500" s="162" t="s">
        <v>5232</v>
      </c>
      <c r="C1500" s="162" t="s">
        <v>5243</v>
      </c>
      <c r="D1500" s="162" t="s">
        <v>5244</v>
      </c>
      <c r="F1500" s="162">
        <v>1795</v>
      </c>
      <c r="G1500" s="162">
        <v>1</v>
      </c>
    </row>
    <row r="1501" spans="2:7" ht="129.6">
      <c r="B1501" s="162" t="s">
        <v>5232</v>
      </c>
      <c r="C1501" s="162" t="s">
        <v>5245</v>
      </c>
      <c r="D1501" s="162" t="s">
        <v>5244</v>
      </c>
      <c r="F1501" s="162">
        <v>1795</v>
      </c>
      <c r="G1501" s="162">
        <v>1</v>
      </c>
    </row>
    <row r="1502" spans="2:7" ht="129.6">
      <c r="B1502" s="162" t="s">
        <v>5232</v>
      </c>
      <c r="C1502" s="162" t="s">
        <v>5246</v>
      </c>
      <c r="D1502" s="162" t="s">
        <v>5247</v>
      </c>
      <c r="F1502" s="162">
        <v>1895</v>
      </c>
      <c r="G1502" s="162">
        <v>1</v>
      </c>
    </row>
    <row r="1503" spans="2:7" ht="129.6">
      <c r="B1503" s="162" t="s">
        <v>5232</v>
      </c>
      <c r="C1503" s="162" t="s">
        <v>5248</v>
      </c>
      <c r="D1503" s="162" t="s">
        <v>5247</v>
      </c>
      <c r="F1503" s="162">
        <v>1895</v>
      </c>
      <c r="G1503" s="162">
        <v>1</v>
      </c>
    </row>
    <row r="1504" spans="2:7" ht="43.2">
      <c r="B1504" s="162" t="s">
        <v>5232</v>
      </c>
      <c r="C1504" s="162" t="s">
        <v>5249</v>
      </c>
      <c r="D1504" s="162" t="s">
        <v>5250</v>
      </c>
      <c r="F1504" s="162">
        <v>1995</v>
      </c>
      <c r="G1504" s="162">
        <v>1</v>
      </c>
    </row>
    <row r="1505" spans="2:7" ht="43.2">
      <c r="B1505" s="162" t="s">
        <v>5232</v>
      </c>
      <c r="C1505" s="162" t="s">
        <v>5251</v>
      </c>
      <c r="D1505" s="162" t="s">
        <v>5252</v>
      </c>
      <c r="F1505" s="162">
        <v>1995</v>
      </c>
      <c r="G1505" s="162">
        <v>1</v>
      </c>
    </row>
    <row r="1506" spans="2:7" ht="57.6">
      <c r="B1506" s="162" t="s">
        <v>5232</v>
      </c>
      <c r="C1506" s="162" t="s">
        <v>5253</v>
      </c>
      <c r="D1506" s="162" t="s">
        <v>5254</v>
      </c>
      <c r="F1506" s="162">
        <v>2999</v>
      </c>
      <c r="G1506" s="162">
        <v>1</v>
      </c>
    </row>
    <row r="1507" spans="2:7" ht="57.6">
      <c r="B1507" s="162" t="s">
        <v>5232</v>
      </c>
      <c r="C1507" s="162" t="s">
        <v>5255</v>
      </c>
      <c r="D1507" s="162" t="s">
        <v>5256</v>
      </c>
      <c r="F1507" s="162">
        <v>2999</v>
      </c>
      <c r="G1507" s="162">
        <v>1</v>
      </c>
    </row>
    <row r="1508" spans="2:7" ht="158.4">
      <c r="B1508" s="162" t="s">
        <v>5232</v>
      </c>
      <c r="C1508" s="162" t="s">
        <v>5257</v>
      </c>
      <c r="D1508" s="162" t="s">
        <v>5258</v>
      </c>
      <c r="F1508" s="162">
        <v>5599</v>
      </c>
      <c r="G1508" s="162">
        <v>1</v>
      </c>
    </row>
    <row r="1509" spans="2:7" ht="158.4">
      <c r="B1509" s="162" t="s">
        <v>5232</v>
      </c>
      <c r="C1509" s="162" t="s">
        <v>5259</v>
      </c>
      <c r="D1509" s="162" t="s">
        <v>5260</v>
      </c>
      <c r="F1509" s="162">
        <v>7999</v>
      </c>
      <c r="G1509" s="162">
        <v>1</v>
      </c>
    </row>
    <row r="1510" spans="2:7" ht="43.2">
      <c r="B1510" s="162" t="s">
        <v>5232</v>
      </c>
      <c r="C1510" s="162" t="s">
        <v>5261</v>
      </c>
      <c r="D1510" s="162" t="s">
        <v>5262</v>
      </c>
      <c r="F1510" s="162">
        <v>1699</v>
      </c>
      <c r="G1510" s="162">
        <v>1</v>
      </c>
    </row>
    <row r="1511" spans="2:7" ht="72">
      <c r="B1511" s="162" t="s">
        <v>5232</v>
      </c>
      <c r="C1511" s="162" t="s">
        <v>5263</v>
      </c>
      <c r="D1511" s="162" t="s">
        <v>5264</v>
      </c>
      <c r="F1511" s="162">
        <v>149.5</v>
      </c>
      <c r="G1511" s="162">
        <v>1</v>
      </c>
    </row>
    <row r="1512" spans="2:7" ht="72">
      <c r="B1512" s="162" t="s">
        <v>5232</v>
      </c>
      <c r="C1512" s="162" t="s">
        <v>5265</v>
      </c>
      <c r="D1512" s="162" t="s">
        <v>5266</v>
      </c>
      <c r="F1512" s="162">
        <v>299</v>
      </c>
      <c r="G1512" s="162">
        <v>1</v>
      </c>
    </row>
    <row r="1513" spans="2:7" ht="86.4">
      <c r="B1513" s="162" t="s">
        <v>5232</v>
      </c>
      <c r="C1513" s="162" t="s">
        <v>5267</v>
      </c>
      <c r="D1513" s="162" t="s">
        <v>5268</v>
      </c>
      <c r="F1513" s="162">
        <v>899.7</v>
      </c>
      <c r="G1513" s="162">
        <v>1</v>
      </c>
    </row>
    <row r="1514" spans="2:7" ht="86.4">
      <c r="B1514" s="162" t="s">
        <v>5232</v>
      </c>
      <c r="C1514" s="162" t="s">
        <v>5269</v>
      </c>
      <c r="D1514" s="162" t="s">
        <v>5270</v>
      </c>
      <c r="F1514" s="162">
        <v>1799.4</v>
      </c>
      <c r="G1514" s="162">
        <v>1</v>
      </c>
    </row>
    <row r="1515" spans="2:7" ht="28.8">
      <c r="B1515" s="162" t="s">
        <v>5232</v>
      </c>
      <c r="C1515" s="162" t="s">
        <v>5233</v>
      </c>
      <c r="D1515" s="162" t="s">
        <v>5234</v>
      </c>
      <c r="F1515" s="162">
        <v>8395</v>
      </c>
      <c r="G1515" s="162">
        <v>1</v>
      </c>
    </row>
    <row r="1516" spans="2:7" ht="28.8">
      <c r="B1516" s="162" t="s">
        <v>5232</v>
      </c>
      <c r="C1516" s="162" t="s">
        <v>5235</v>
      </c>
      <c r="D1516" s="162" t="s">
        <v>5236</v>
      </c>
      <c r="F1516" s="162">
        <v>8395</v>
      </c>
      <c r="G1516" s="162">
        <v>1</v>
      </c>
    </row>
    <row r="1517" spans="2:7" ht="28.8">
      <c r="B1517" s="162" t="s">
        <v>5232</v>
      </c>
      <c r="C1517" s="162" t="s">
        <v>5237</v>
      </c>
      <c r="D1517" s="162" t="s">
        <v>5238</v>
      </c>
      <c r="F1517" s="162">
        <v>4195</v>
      </c>
      <c r="G1517" s="162">
        <v>1</v>
      </c>
    </row>
    <row r="1518" spans="2:7" ht="28.8">
      <c r="B1518" s="162" t="s">
        <v>5232</v>
      </c>
      <c r="C1518" s="162" t="s">
        <v>5239</v>
      </c>
      <c r="D1518" s="162" t="s">
        <v>5240</v>
      </c>
      <c r="F1518" s="162">
        <v>4195</v>
      </c>
      <c r="G1518" s="162">
        <v>1</v>
      </c>
    </row>
    <row r="1519" spans="2:7" ht="28.8">
      <c r="B1519" s="162" t="s">
        <v>5232</v>
      </c>
      <c r="C1519" s="162" t="s">
        <v>5241</v>
      </c>
      <c r="D1519" s="162" t="s">
        <v>5242</v>
      </c>
      <c r="F1519" s="162">
        <v>1295</v>
      </c>
      <c r="G1519" s="162">
        <v>1</v>
      </c>
    </row>
    <row r="1520" spans="2:7" ht="129.6">
      <c r="B1520" s="162" t="s">
        <v>5232</v>
      </c>
      <c r="C1520" s="162" t="s">
        <v>5243</v>
      </c>
      <c r="D1520" s="162" t="s">
        <v>5244</v>
      </c>
      <c r="F1520" s="162">
        <v>1795</v>
      </c>
      <c r="G1520" s="162">
        <v>1</v>
      </c>
    </row>
    <row r="1521" spans="2:7" ht="129.6">
      <c r="B1521" s="162" t="s">
        <v>5232</v>
      </c>
      <c r="C1521" s="162" t="s">
        <v>5245</v>
      </c>
      <c r="D1521" s="162" t="s">
        <v>5244</v>
      </c>
      <c r="F1521" s="162">
        <v>1795</v>
      </c>
      <c r="G1521" s="162">
        <v>1</v>
      </c>
    </row>
    <row r="1522" spans="2:7" ht="129.6">
      <c r="B1522" s="162" t="s">
        <v>5232</v>
      </c>
      <c r="C1522" s="162" t="s">
        <v>5246</v>
      </c>
      <c r="D1522" s="162" t="s">
        <v>5271</v>
      </c>
      <c r="F1522" s="162">
        <v>1895</v>
      </c>
      <c r="G1522" s="162">
        <v>1</v>
      </c>
    </row>
    <row r="1523" spans="2:7" ht="129.6">
      <c r="B1523" s="162" t="s">
        <v>5232</v>
      </c>
      <c r="C1523" s="162" t="s">
        <v>5248</v>
      </c>
      <c r="D1523" s="162" t="s">
        <v>5271</v>
      </c>
      <c r="F1523" s="162">
        <v>1895</v>
      </c>
      <c r="G1523" s="162">
        <v>1</v>
      </c>
    </row>
    <row r="1524" spans="2:7" ht="57.6">
      <c r="B1524" s="162" t="s">
        <v>5232</v>
      </c>
      <c r="C1524" s="162" t="s">
        <v>5253</v>
      </c>
      <c r="D1524" s="162" t="s">
        <v>5254</v>
      </c>
      <c r="F1524" s="162">
        <v>2999</v>
      </c>
      <c r="G1524" s="162">
        <v>1</v>
      </c>
    </row>
    <row r="1525" spans="2:7" ht="57.6">
      <c r="B1525" s="162" t="s">
        <v>5232</v>
      </c>
      <c r="C1525" s="162" t="s">
        <v>5255</v>
      </c>
      <c r="D1525" s="162" t="s">
        <v>5256</v>
      </c>
      <c r="F1525" s="162">
        <v>2999</v>
      </c>
      <c r="G1525" s="162">
        <v>1</v>
      </c>
    </row>
    <row r="1526" spans="2:7" ht="43.2">
      <c r="B1526" s="162" t="s">
        <v>5232</v>
      </c>
      <c r="C1526" s="162" t="s">
        <v>5272</v>
      </c>
      <c r="D1526" s="162" t="s">
        <v>5273</v>
      </c>
      <c r="F1526" s="162">
        <v>5599</v>
      </c>
      <c r="G1526" s="162">
        <v>1</v>
      </c>
    </row>
    <row r="1527" spans="2:7" ht="43.2">
      <c r="B1527" s="162" t="s">
        <v>5232</v>
      </c>
      <c r="C1527" s="162" t="s">
        <v>5274</v>
      </c>
      <c r="D1527" s="162" t="s">
        <v>5275</v>
      </c>
      <c r="F1527" s="162">
        <v>7999</v>
      </c>
      <c r="G1527" s="162">
        <v>1</v>
      </c>
    </row>
    <row r="1528" spans="2:7" ht="43.2">
      <c r="B1528" s="162" t="s">
        <v>5232</v>
      </c>
      <c r="C1528" s="162" t="s">
        <v>5261</v>
      </c>
      <c r="D1528" s="162" t="s">
        <v>5262</v>
      </c>
      <c r="F1528" s="162">
        <v>1699</v>
      </c>
      <c r="G1528" s="162">
        <v>1</v>
      </c>
    </row>
    <row r="1529" spans="2:7">
      <c r="B1529" s="162" t="s">
        <v>5232</v>
      </c>
      <c r="C1529" s="162" t="s">
        <v>5276</v>
      </c>
      <c r="D1529" s="162" t="s">
        <v>5277</v>
      </c>
      <c r="F1529" s="162">
        <v>99.95</v>
      </c>
      <c r="G1529" s="162">
        <v>1</v>
      </c>
    </row>
    <row r="1530" spans="2:7">
      <c r="B1530" s="162" t="s">
        <v>5232</v>
      </c>
      <c r="C1530" s="162" t="s">
        <v>5278</v>
      </c>
      <c r="D1530" s="162" t="s">
        <v>5279</v>
      </c>
      <c r="F1530" s="162">
        <v>99.95</v>
      </c>
      <c r="G1530" s="162">
        <v>1</v>
      </c>
    </row>
    <row r="1531" spans="2:7" ht="28.8">
      <c r="B1531" s="162" t="s">
        <v>5232</v>
      </c>
      <c r="C1531" s="162" t="s">
        <v>5280</v>
      </c>
      <c r="D1531" s="162" t="s">
        <v>5281</v>
      </c>
      <c r="F1531" s="162">
        <v>64.95</v>
      </c>
      <c r="G1531" s="162">
        <v>1</v>
      </c>
    </row>
    <row r="1532" spans="2:7" ht="28.8">
      <c r="B1532" s="162" t="s">
        <v>5232</v>
      </c>
      <c r="C1532" s="162" t="s">
        <v>5282</v>
      </c>
      <c r="D1532" s="162" t="s">
        <v>5283</v>
      </c>
      <c r="F1532" s="162">
        <v>64.95</v>
      </c>
      <c r="G1532" s="162">
        <v>1</v>
      </c>
    </row>
    <row r="1533" spans="2:7" ht="28.8">
      <c r="B1533" s="162" t="s">
        <v>5232</v>
      </c>
      <c r="C1533" s="162" t="s">
        <v>5284</v>
      </c>
      <c r="D1533" s="162" t="s">
        <v>5285</v>
      </c>
      <c r="F1533" s="162">
        <v>64.95</v>
      </c>
      <c r="G1533" s="162">
        <v>1</v>
      </c>
    </row>
    <row r="1534" spans="2:7" ht="28.8">
      <c r="B1534" s="162" t="s">
        <v>5232</v>
      </c>
      <c r="C1534" s="162" t="s">
        <v>5286</v>
      </c>
      <c r="D1534" s="162" t="s">
        <v>5287</v>
      </c>
      <c r="F1534" s="162">
        <v>64.95</v>
      </c>
      <c r="G1534" s="162">
        <v>1</v>
      </c>
    </row>
    <row r="1535" spans="2:7" ht="43.2">
      <c r="B1535" s="162" t="s">
        <v>5232</v>
      </c>
      <c r="C1535" s="162" t="s">
        <v>5288</v>
      </c>
      <c r="D1535" s="162" t="s">
        <v>5289</v>
      </c>
      <c r="F1535" s="162">
        <v>54.95</v>
      </c>
      <c r="G1535" s="162">
        <v>1</v>
      </c>
    </row>
    <row r="1536" spans="2:7" ht="28.8">
      <c r="B1536" s="162" t="s">
        <v>5232</v>
      </c>
      <c r="C1536" s="162" t="s">
        <v>5290</v>
      </c>
      <c r="D1536" s="162" t="s">
        <v>5291</v>
      </c>
      <c r="F1536" s="162">
        <v>54.95</v>
      </c>
      <c r="G1536" s="162">
        <v>1</v>
      </c>
    </row>
    <row r="1537" spans="2:7" ht="28.8">
      <c r="B1537" s="162" t="s">
        <v>5232</v>
      </c>
      <c r="C1537" s="162" t="s">
        <v>5292</v>
      </c>
      <c r="D1537" s="162" t="s">
        <v>5293</v>
      </c>
      <c r="F1537" s="162">
        <v>54.95</v>
      </c>
      <c r="G1537" s="162">
        <v>1</v>
      </c>
    </row>
    <row r="1538" spans="2:7" ht="28.8">
      <c r="B1538" s="162" t="s">
        <v>5232</v>
      </c>
      <c r="C1538" s="162" t="s">
        <v>5294</v>
      </c>
      <c r="D1538" s="162" t="s">
        <v>5295</v>
      </c>
      <c r="F1538" s="162">
        <v>64.95</v>
      </c>
      <c r="G1538" s="162">
        <v>1</v>
      </c>
    </row>
    <row r="1539" spans="2:7" ht="28.8">
      <c r="B1539" s="162" t="s">
        <v>5232</v>
      </c>
      <c r="C1539" s="162" t="s">
        <v>5296</v>
      </c>
      <c r="D1539" s="162" t="s">
        <v>5297</v>
      </c>
      <c r="F1539" s="162">
        <v>59.95</v>
      </c>
      <c r="G1539" s="162">
        <v>1</v>
      </c>
    </row>
    <row r="1540" spans="2:7" ht="28.8">
      <c r="B1540" s="162" t="s">
        <v>5232</v>
      </c>
      <c r="C1540" s="162" t="s">
        <v>5298</v>
      </c>
      <c r="D1540" s="162" t="s">
        <v>5299</v>
      </c>
      <c r="F1540" s="162">
        <v>64.95</v>
      </c>
      <c r="G1540" s="162">
        <v>1</v>
      </c>
    </row>
    <row r="1541" spans="2:7" ht="43.2">
      <c r="B1541" s="162" t="s">
        <v>5232</v>
      </c>
      <c r="C1541" s="162" t="s">
        <v>5300</v>
      </c>
      <c r="D1541" s="162" t="s">
        <v>5301</v>
      </c>
      <c r="F1541" s="162">
        <v>19.95</v>
      </c>
      <c r="G1541" s="162">
        <v>1</v>
      </c>
    </row>
    <row r="1542" spans="2:7" ht="43.2">
      <c r="B1542" s="162" t="s">
        <v>5232</v>
      </c>
      <c r="C1542" s="162" t="s">
        <v>5302</v>
      </c>
      <c r="D1542" s="162" t="s">
        <v>5303</v>
      </c>
      <c r="F1542" s="162">
        <v>19.95</v>
      </c>
      <c r="G1542" s="162">
        <v>1</v>
      </c>
    </row>
    <row r="1543" spans="2:7" ht="43.2">
      <c r="B1543" s="162" t="s">
        <v>5232</v>
      </c>
      <c r="C1543" s="162" t="s">
        <v>5304</v>
      </c>
      <c r="D1543" s="162" t="s">
        <v>5305</v>
      </c>
      <c r="F1543" s="162">
        <v>179.95</v>
      </c>
      <c r="G1543" s="162">
        <v>1</v>
      </c>
    </row>
    <row r="1544" spans="2:7" ht="28.8">
      <c r="B1544" s="162" t="s">
        <v>5232</v>
      </c>
      <c r="C1544" s="162" t="s">
        <v>5306</v>
      </c>
      <c r="D1544" s="162" t="s">
        <v>5307</v>
      </c>
      <c r="F1544" s="162">
        <v>19.95</v>
      </c>
      <c r="G1544" s="162">
        <v>1</v>
      </c>
    </row>
    <row r="1545" spans="2:7" ht="43.2">
      <c r="B1545" s="162" t="s">
        <v>5232</v>
      </c>
      <c r="C1545" s="162" t="s">
        <v>5308</v>
      </c>
      <c r="D1545" s="162" t="s">
        <v>5309</v>
      </c>
      <c r="F1545" s="162">
        <v>54.95</v>
      </c>
      <c r="G1545" s="162">
        <v>1</v>
      </c>
    </row>
    <row r="1546" spans="2:7" ht="28.8">
      <c r="B1546" s="162" t="s">
        <v>5232</v>
      </c>
      <c r="C1546" s="162" t="s">
        <v>5310</v>
      </c>
      <c r="D1546" s="162" t="s">
        <v>5311</v>
      </c>
      <c r="F1546" s="162">
        <v>19.95</v>
      </c>
      <c r="G1546" s="162">
        <v>1</v>
      </c>
    </row>
    <row r="1547" spans="2:7" ht="28.8">
      <c r="B1547" s="162" t="s">
        <v>5232</v>
      </c>
      <c r="C1547" s="162" t="s">
        <v>5312</v>
      </c>
      <c r="D1547" s="162" t="s">
        <v>5313</v>
      </c>
      <c r="F1547" s="162">
        <v>79.95</v>
      </c>
      <c r="G1547" s="162">
        <v>1</v>
      </c>
    </row>
    <row r="1548" spans="2:7">
      <c r="B1548" s="162" t="s">
        <v>5232</v>
      </c>
      <c r="C1548" s="162" t="s">
        <v>5314</v>
      </c>
      <c r="D1548" s="162" t="s">
        <v>5315</v>
      </c>
      <c r="F1548" s="162">
        <v>529.95000000000005</v>
      </c>
      <c r="G1548" s="162">
        <v>1</v>
      </c>
    </row>
    <row r="1549" spans="2:7">
      <c r="B1549" s="162" t="s">
        <v>5232</v>
      </c>
      <c r="C1549" s="162" t="s">
        <v>5316</v>
      </c>
      <c r="D1549" s="162" t="s">
        <v>5317</v>
      </c>
      <c r="F1549" s="162">
        <v>529.95000000000005</v>
      </c>
      <c r="G1549" s="162">
        <v>1</v>
      </c>
    </row>
    <row r="1550" spans="2:7" ht="28.8">
      <c r="B1550" s="162" t="s">
        <v>5232</v>
      </c>
      <c r="C1550" s="162" t="s">
        <v>5318</v>
      </c>
      <c r="D1550" s="162" t="s">
        <v>5319</v>
      </c>
      <c r="F1550" s="162">
        <v>279.95</v>
      </c>
      <c r="G1550" s="162">
        <v>1</v>
      </c>
    </row>
    <row r="1551" spans="2:7">
      <c r="B1551" s="162" t="s">
        <v>5232</v>
      </c>
      <c r="C1551" s="162" t="s">
        <v>5320</v>
      </c>
      <c r="D1551" s="162" t="s">
        <v>5321</v>
      </c>
      <c r="F1551" s="162">
        <v>99.95</v>
      </c>
      <c r="G1551" s="162">
        <v>1</v>
      </c>
    </row>
    <row r="1552" spans="2:7">
      <c r="B1552" s="162" t="s">
        <v>5232</v>
      </c>
      <c r="C1552" s="162" t="s">
        <v>5322</v>
      </c>
      <c r="D1552" s="162" t="s">
        <v>5323</v>
      </c>
      <c r="F1552" s="162">
        <v>159.94999999999999</v>
      </c>
      <c r="G1552" s="162">
        <v>1</v>
      </c>
    </row>
    <row r="1553" spans="2:7" ht="28.8">
      <c r="B1553" s="162" t="s">
        <v>5232</v>
      </c>
      <c r="C1553" s="162" t="s">
        <v>5324</v>
      </c>
      <c r="D1553" s="162" t="s">
        <v>5325</v>
      </c>
      <c r="F1553" s="162">
        <v>159.94999999999999</v>
      </c>
      <c r="G1553" s="162">
        <v>1</v>
      </c>
    </row>
    <row r="1554" spans="2:7" ht="28.8">
      <c r="B1554" s="162" t="s">
        <v>5232</v>
      </c>
      <c r="C1554" s="162" t="s">
        <v>5326</v>
      </c>
      <c r="D1554" s="162" t="s">
        <v>5327</v>
      </c>
      <c r="F1554" s="162">
        <v>159.94999999999999</v>
      </c>
      <c r="G1554" s="162">
        <v>1</v>
      </c>
    </row>
    <row r="1555" spans="2:7" ht="28.8">
      <c r="B1555" s="162" t="s">
        <v>5232</v>
      </c>
      <c r="C1555" s="162" t="s">
        <v>5328</v>
      </c>
      <c r="D1555" s="162" t="s">
        <v>5329</v>
      </c>
      <c r="F1555" s="162">
        <v>495</v>
      </c>
      <c r="G1555" s="162">
        <v>1</v>
      </c>
    </row>
    <row r="1556" spans="2:7" ht="28.8">
      <c r="B1556" s="162" t="s">
        <v>5232</v>
      </c>
      <c r="C1556" s="162" t="s">
        <v>5330</v>
      </c>
      <c r="D1556" s="162" t="s">
        <v>5331</v>
      </c>
      <c r="F1556" s="162">
        <v>199.95</v>
      </c>
      <c r="G1556" s="162">
        <v>1</v>
      </c>
    </row>
    <row r="1557" spans="2:7">
      <c r="B1557" s="162" t="s">
        <v>5232</v>
      </c>
      <c r="C1557" s="162" t="s">
        <v>5332</v>
      </c>
      <c r="D1557" s="162" t="s">
        <v>5333</v>
      </c>
      <c r="F1557" s="162">
        <v>8997</v>
      </c>
      <c r="G1557" s="162">
        <v>1</v>
      </c>
    </row>
    <row r="1558" spans="2:7" ht="28.8">
      <c r="B1558" s="162" t="s">
        <v>5232</v>
      </c>
      <c r="C1558" s="162" t="s">
        <v>5334</v>
      </c>
      <c r="D1558" s="162" t="s">
        <v>5335</v>
      </c>
      <c r="F1558" s="162">
        <v>8997</v>
      </c>
      <c r="G1558" s="162">
        <v>1</v>
      </c>
    </row>
    <row r="1559" spans="2:7" ht="43.2">
      <c r="B1559" s="162" t="s">
        <v>5232</v>
      </c>
      <c r="C1559" s="162" t="s">
        <v>5336</v>
      </c>
      <c r="D1559" s="162" t="s">
        <v>5337</v>
      </c>
      <c r="F1559" s="162">
        <v>995</v>
      </c>
      <c r="G1559" s="162">
        <v>1</v>
      </c>
    </row>
    <row r="1560" spans="2:7" ht="43.2">
      <c r="B1560" s="162" t="s">
        <v>5232</v>
      </c>
      <c r="C1560" s="162" t="s">
        <v>5338</v>
      </c>
      <c r="D1560" s="162" t="s">
        <v>5339</v>
      </c>
      <c r="F1560" s="162">
        <v>1695</v>
      </c>
      <c r="G1560" s="162">
        <v>1</v>
      </c>
    </row>
    <row r="1561" spans="2:7" ht="72">
      <c r="B1561" s="162" t="s">
        <v>5232</v>
      </c>
      <c r="C1561" s="162" t="s">
        <v>5340</v>
      </c>
      <c r="D1561" s="162" t="s">
        <v>5341</v>
      </c>
      <c r="F1561" s="162">
        <v>1295</v>
      </c>
      <c r="G1561" s="162">
        <v>1</v>
      </c>
    </row>
    <row r="1562" spans="2:7" ht="72">
      <c r="B1562" s="162" t="s">
        <v>5232</v>
      </c>
      <c r="C1562" s="162" t="s">
        <v>5342</v>
      </c>
      <c r="D1562" s="162" t="s">
        <v>5343</v>
      </c>
      <c r="F1562" s="162">
        <v>1295</v>
      </c>
      <c r="G1562" s="162">
        <v>1</v>
      </c>
    </row>
    <row r="1563" spans="2:7" ht="72">
      <c r="B1563" s="162" t="s">
        <v>5232</v>
      </c>
      <c r="C1563" s="162" t="s">
        <v>5344</v>
      </c>
      <c r="D1563" s="162" t="s">
        <v>5345</v>
      </c>
      <c r="F1563" s="162">
        <v>1295</v>
      </c>
      <c r="G1563" s="162">
        <v>1</v>
      </c>
    </row>
    <row r="1564" spans="2:7" ht="28.8">
      <c r="B1564" s="162" t="s">
        <v>5232</v>
      </c>
      <c r="C1564" s="162" t="s">
        <v>5346</v>
      </c>
      <c r="D1564" s="162" t="s">
        <v>5347</v>
      </c>
      <c r="F1564" s="162">
        <v>495</v>
      </c>
      <c r="G1564" s="162">
        <v>1</v>
      </c>
    </row>
    <row r="1565" spans="2:7" ht="72">
      <c r="B1565" s="162" t="s">
        <v>5232</v>
      </c>
      <c r="C1565" s="162" t="s">
        <v>5348</v>
      </c>
      <c r="D1565" s="162" t="s">
        <v>5349</v>
      </c>
      <c r="F1565" s="162">
        <v>30</v>
      </c>
      <c r="G1565" s="162">
        <v>1</v>
      </c>
    </row>
    <row r="1566" spans="2:7" ht="72">
      <c r="B1566" s="162" t="s">
        <v>5232</v>
      </c>
      <c r="C1566" s="162" t="s">
        <v>5350</v>
      </c>
      <c r="D1566" s="162" t="s">
        <v>5351</v>
      </c>
      <c r="F1566" s="162">
        <v>300</v>
      </c>
      <c r="G1566" s="162">
        <v>1</v>
      </c>
    </row>
    <row r="1567" spans="2:7" ht="72">
      <c r="B1567" s="162" t="s">
        <v>5232</v>
      </c>
      <c r="C1567" s="162" t="s">
        <v>5352</v>
      </c>
      <c r="D1567" s="162" t="s">
        <v>5353</v>
      </c>
      <c r="F1567" s="162">
        <v>100</v>
      </c>
      <c r="G1567" s="162">
        <v>1</v>
      </c>
    </row>
    <row r="1568" spans="2:7" ht="72">
      <c r="B1568" s="162" t="s">
        <v>5232</v>
      </c>
      <c r="C1568" s="162" t="s">
        <v>5354</v>
      </c>
      <c r="D1568" s="162" t="s">
        <v>5355</v>
      </c>
      <c r="F1568" s="162">
        <v>1020</v>
      </c>
      <c r="G1568" s="162">
        <v>1</v>
      </c>
    </row>
    <row r="1569" spans="2:7" ht="72">
      <c r="B1569" s="162" t="s">
        <v>5232</v>
      </c>
      <c r="C1569" s="162" t="s">
        <v>5356</v>
      </c>
      <c r="D1569" s="162" t="s">
        <v>5357</v>
      </c>
      <c r="F1569" s="162">
        <v>15</v>
      </c>
      <c r="G1569" s="162">
        <v>1</v>
      </c>
    </row>
    <row r="1570" spans="2:7" ht="72">
      <c r="B1570" s="162" t="s">
        <v>5232</v>
      </c>
      <c r="C1570" s="162" t="s">
        <v>5358</v>
      </c>
      <c r="D1570" s="162" t="s">
        <v>5357</v>
      </c>
      <c r="F1570" s="162">
        <v>153</v>
      </c>
      <c r="G1570" s="162">
        <v>1</v>
      </c>
    </row>
    <row r="1571" spans="2:7" ht="57.6">
      <c r="B1571" s="162" t="s">
        <v>5232</v>
      </c>
      <c r="C1571" s="162" t="s">
        <v>5359</v>
      </c>
      <c r="D1571" s="162" t="s">
        <v>5360</v>
      </c>
      <c r="F1571" s="162">
        <v>25</v>
      </c>
      <c r="G1571" s="162">
        <v>1</v>
      </c>
    </row>
    <row r="1572" spans="2:7" ht="57.6">
      <c r="B1572" s="162" t="s">
        <v>5232</v>
      </c>
      <c r="C1572" s="162" t="s">
        <v>5361</v>
      </c>
      <c r="D1572" s="162" t="s">
        <v>5360</v>
      </c>
      <c r="F1572" s="162">
        <v>255</v>
      </c>
      <c r="G1572" s="162">
        <v>1</v>
      </c>
    </row>
    <row r="1573" spans="2:7">
      <c r="B1573" s="162" t="s">
        <v>5232</v>
      </c>
      <c r="C1573" s="162" t="s">
        <v>5362</v>
      </c>
      <c r="D1573" s="162" t="s">
        <v>5363</v>
      </c>
      <c r="F1573" s="162">
        <v>30</v>
      </c>
      <c r="G1573" s="162">
        <v>1</v>
      </c>
    </row>
    <row r="1574" spans="2:7">
      <c r="B1574" s="162" t="s">
        <v>5232</v>
      </c>
      <c r="C1574" s="162" t="s">
        <v>5364</v>
      </c>
      <c r="D1574" s="162" t="s">
        <v>5365</v>
      </c>
      <c r="F1574" s="162">
        <v>80</v>
      </c>
      <c r="G1574" s="162">
        <v>1</v>
      </c>
    </row>
    <row r="1575" spans="2:7">
      <c r="B1575" s="162" t="s">
        <v>5232</v>
      </c>
      <c r="C1575" s="162" t="s">
        <v>5366</v>
      </c>
      <c r="D1575" s="162" t="s">
        <v>5367</v>
      </c>
      <c r="F1575" s="162">
        <v>200</v>
      </c>
      <c r="G1575" s="162">
        <v>1</v>
      </c>
    </row>
    <row r="1576" spans="2:7" ht="28.8">
      <c r="B1576" s="162" t="s">
        <v>5232</v>
      </c>
      <c r="C1576" s="162" t="s">
        <v>5368</v>
      </c>
      <c r="D1576" s="162" t="s">
        <v>5369</v>
      </c>
      <c r="F1576" s="162">
        <v>20</v>
      </c>
      <c r="G1576" s="162">
        <v>1</v>
      </c>
    </row>
    <row r="1577" spans="2:7" ht="28.8">
      <c r="B1577" s="162" t="s">
        <v>5232</v>
      </c>
      <c r="C1577" s="162" t="s">
        <v>5370</v>
      </c>
      <c r="D1577" s="162" t="s">
        <v>5371</v>
      </c>
      <c r="F1577" s="162">
        <v>200</v>
      </c>
      <c r="G1577" s="162">
        <v>1</v>
      </c>
    </row>
    <row r="1578" spans="2:7" ht="100.8">
      <c r="B1578" s="162" t="s">
        <v>5232</v>
      </c>
      <c r="C1578" s="162" t="s">
        <v>5372</v>
      </c>
      <c r="D1578" s="162" t="s">
        <v>5373</v>
      </c>
      <c r="F1578" s="162">
        <v>3000</v>
      </c>
      <c r="G1578" s="162">
        <v>1</v>
      </c>
    </row>
    <row r="1579" spans="2:7" ht="86.4">
      <c r="B1579" s="162" t="s">
        <v>5232</v>
      </c>
      <c r="C1579" s="162" t="s">
        <v>5374</v>
      </c>
      <c r="D1579" s="162" t="s">
        <v>5375</v>
      </c>
      <c r="F1579" s="162">
        <v>3000</v>
      </c>
      <c r="G1579" s="162">
        <v>1</v>
      </c>
    </row>
    <row r="1580" spans="2:7" ht="86.4">
      <c r="B1580" s="162" t="s">
        <v>5232</v>
      </c>
      <c r="C1580" s="162" t="s">
        <v>5376</v>
      </c>
      <c r="D1580" s="162" t="s">
        <v>5377</v>
      </c>
      <c r="F1580" s="162">
        <v>75</v>
      </c>
      <c r="G1580" s="162">
        <v>1</v>
      </c>
    </row>
    <row r="1581" spans="2:7" ht="86.4">
      <c r="B1581" s="162" t="s">
        <v>5232</v>
      </c>
      <c r="C1581" s="162" t="s">
        <v>5378</v>
      </c>
      <c r="D1581" s="162" t="s">
        <v>5379</v>
      </c>
      <c r="F1581" s="162">
        <v>750</v>
      </c>
      <c r="G1581" s="162">
        <v>1</v>
      </c>
    </row>
    <row r="1582" spans="2:7">
      <c r="B1582" s="162" t="s">
        <v>5232</v>
      </c>
      <c r="C1582" s="162" t="s">
        <v>5380</v>
      </c>
      <c r="D1582" s="162" t="s">
        <v>5381</v>
      </c>
      <c r="F1582" s="162">
        <v>299</v>
      </c>
      <c r="G1582" s="162">
        <v>1</v>
      </c>
    </row>
    <row r="1583" spans="2:7" ht="28.8">
      <c r="B1583" s="162" t="s">
        <v>5232</v>
      </c>
      <c r="C1583" s="162" t="s">
        <v>5382</v>
      </c>
      <c r="D1583" s="162" t="s">
        <v>5383</v>
      </c>
      <c r="F1583" s="162">
        <v>299</v>
      </c>
      <c r="G1583" s="162">
        <v>1</v>
      </c>
    </row>
    <row r="1584" spans="2:7" ht="72">
      <c r="B1584" s="162" t="s">
        <v>5232</v>
      </c>
      <c r="C1584" s="162" t="s">
        <v>5384</v>
      </c>
      <c r="D1584" s="162" t="s">
        <v>5385</v>
      </c>
      <c r="F1584" s="162">
        <v>1995</v>
      </c>
      <c r="G1584" s="162">
        <v>1</v>
      </c>
    </row>
    <row r="1585" spans="2:7" ht="28.8">
      <c r="B1585" s="162" t="s">
        <v>5232</v>
      </c>
      <c r="C1585" s="162" t="s">
        <v>5386</v>
      </c>
      <c r="D1585" s="162" t="s">
        <v>5387</v>
      </c>
      <c r="F1585" s="162">
        <v>99</v>
      </c>
      <c r="G1585" s="162">
        <v>1</v>
      </c>
    </row>
    <row r="1586" spans="2:7" ht="28.8">
      <c r="B1586" s="162" t="s">
        <v>5232</v>
      </c>
      <c r="C1586" s="162" t="s">
        <v>5388</v>
      </c>
      <c r="D1586" s="162" t="s">
        <v>5389</v>
      </c>
      <c r="F1586" s="162">
        <v>299</v>
      </c>
      <c r="G1586" s="162">
        <v>1</v>
      </c>
    </row>
    <row r="1587" spans="2:7" ht="28.8">
      <c r="B1587" s="162" t="s">
        <v>5232</v>
      </c>
      <c r="C1587" s="162" t="s">
        <v>5390</v>
      </c>
      <c r="D1587" s="162" t="s">
        <v>5391</v>
      </c>
      <c r="F1587" s="162">
        <v>299</v>
      </c>
      <c r="G1587" s="162">
        <v>1</v>
      </c>
    </row>
    <row r="1588" spans="2:7" ht="57.6">
      <c r="B1588" s="162" t="s">
        <v>5232</v>
      </c>
      <c r="C1588" s="162" t="s">
        <v>5392</v>
      </c>
      <c r="D1588" s="162" t="s">
        <v>5393</v>
      </c>
      <c r="F1588" s="162">
        <v>995</v>
      </c>
      <c r="G1588" s="162">
        <v>1</v>
      </c>
    </row>
    <row r="1589" spans="2:7" ht="43.2">
      <c r="B1589" s="162" t="s">
        <v>5232</v>
      </c>
      <c r="C1589" s="162" t="s">
        <v>5394</v>
      </c>
      <c r="D1589" s="162" t="s">
        <v>5395</v>
      </c>
      <c r="F1589" s="162">
        <v>2995</v>
      </c>
      <c r="G1589" s="162">
        <v>1</v>
      </c>
    </row>
    <row r="1590" spans="2:7">
      <c r="B1590" s="162" t="s">
        <v>5232</v>
      </c>
      <c r="C1590" s="162" t="s">
        <v>5396</v>
      </c>
      <c r="D1590" s="162" t="s">
        <v>5397</v>
      </c>
      <c r="F1590" s="162">
        <v>129</v>
      </c>
      <c r="G1590" s="162">
        <v>1</v>
      </c>
    </row>
    <row r="1591" spans="2:7" ht="57.6">
      <c r="B1591" s="162" t="s">
        <v>5398</v>
      </c>
      <c r="C1591" s="162" t="s">
        <v>5399</v>
      </c>
      <c r="D1591" s="162" t="s">
        <v>5400</v>
      </c>
      <c r="F1591" s="162">
        <v>165</v>
      </c>
      <c r="G1591" s="162">
        <v>1</v>
      </c>
    </row>
    <row r="1592" spans="2:7" ht="57.6">
      <c r="B1592" s="162" t="s">
        <v>5398</v>
      </c>
      <c r="C1592" s="162" t="s">
        <v>5401</v>
      </c>
      <c r="D1592" s="162" t="s">
        <v>5402</v>
      </c>
      <c r="F1592" s="162">
        <v>300</v>
      </c>
      <c r="G1592" s="162">
        <v>1</v>
      </c>
    </row>
    <row r="1593" spans="2:7" ht="72">
      <c r="B1593" s="162" t="s">
        <v>5398</v>
      </c>
      <c r="C1593" s="162" t="s">
        <v>5403</v>
      </c>
      <c r="D1593" s="162" t="s">
        <v>5404</v>
      </c>
      <c r="F1593" s="162">
        <v>400</v>
      </c>
      <c r="G1593" s="162">
        <v>1</v>
      </c>
    </row>
    <row r="1594" spans="2:7" ht="43.2">
      <c r="B1594" s="162" t="s">
        <v>5398</v>
      </c>
      <c r="C1594" s="162" t="s">
        <v>5405</v>
      </c>
      <c r="D1594" s="162" t="s">
        <v>5406</v>
      </c>
      <c r="F1594" s="162">
        <v>500</v>
      </c>
      <c r="G1594" s="162">
        <v>1</v>
      </c>
    </row>
    <row r="1595" spans="2:7" ht="43.2">
      <c r="B1595" s="162" t="s">
        <v>5398</v>
      </c>
      <c r="C1595" s="162" t="s">
        <v>5407</v>
      </c>
      <c r="D1595" s="162" t="s">
        <v>5408</v>
      </c>
      <c r="F1595" s="162">
        <v>600</v>
      </c>
      <c r="G1595" s="162">
        <v>1</v>
      </c>
    </row>
    <row r="1596" spans="2:7" ht="72">
      <c r="B1596" s="162" t="s">
        <v>5398</v>
      </c>
      <c r="C1596" s="162" t="s">
        <v>5409</v>
      </c>
      <c r="D1596" s="162" t="s">
        <v>5410</v>
      </c>
      <c r="F1596" s="162">
        <v>600</v>
      </c>
      <c r="G1596" s="162">
        <v>1</v>
      </c>
    </row>
    <row r="1597" spans="2:7" ht="72">
      <c r="B1597" s="162" t="s">
        <v>5398</v>
      </c>
      <c r="C1597" s="162" t="s">
        <v>5411</v>
      </c>
      <c r="D1597" s="162" t="s">
        <v>5412</v>
      </c>
      <c r="F1597" s="162">
        <v>700</v>
      </c>
      <c r="G1597" s="162">
        <v>1</v>
      </c>
    </row>
    <row r="1598" spans="2:7" ht="57.6">
      <c r="B1598" s="162" t="s">
        <v>5398</v>
      </c>
      <c r="C1598" s="162" t="s">
        <v>923</v>
      </c>
      <c r="D1598" s="162" t="s">
        <v>5413</v>
      </c>
      <c r="F1598" s="162">
        <v>730</v>
      </c>
      <c r="G1598" s="162">
        <v>1</v>
      </c>
    </row>
    <row r="1599" spans="2:7" ht="28.8">
      <c r="B1599" s="162" t="s">
        <v>5398</v>
      </c>
      <c r="C1599" s="162" t="s">
        <v>5414</v>
      </c>
      <c r="D1599" s="162" t="s">
        <v>5415</v>
      </c>
      <c r="F1599" s="162">
        <v>945</v>
      </c>
      <c r="G1599" s="162">
        <v>1</v>
      </c>
    </row>
    <row r="1600" spans="2:7" ht="86.4">
      <c r="B1600" s="162" t="s">
        <v>5398</v>
      </c>
      <c r="C1600" s="162" t="s">
        <v>5416</v>
      </c>
      <c r="D1600" s="162" t="s">
        <v>5417</v>
      </c>
      <c r="F1600" s="162">
        <v>800</v>
      </c>
      <c r="G1600" s="162">
        <v>1</v>
      </c>
    </row>
    <row r="1601" spans="2:7" ht="100.8">
      <c r="B1601" s="162" t="s">
        <v>5398</v>
      </c>
      <c r="C1601" s="162" t="s">
        <v>5418</v>
      </c>
      <c r="D1601" s="162" t="s">
        <v>5419</v>
      </c>
      <c r="F1601" s="162">
        <v>900</v>
      </c>
      <c r="G1601" s="162">
        <v>1</v>
      </c>
    </row>
    <row r="1602" spans="2:7" ht="100.8">
      <c r="B1602" s="162" t="s">
        <v>5398</v>
      </c>
      <c r="C1602" s="162" t="s">
        <v>5420</v>
      </c>
      <c r="D1602" s="162" t="s">
        <v>5421</v>
      </c>
      <c r="F1602" s="162">
        <v>1100</v>
      </c>
      <c r="G1602" s="162">
        <v>1</v>
      </c>
    </row>
    <row r="1603" spans="2:7" ht="72">
      <c r="B1603" s="162" t="s">
        <v>5398</v>
      </c>
      <c r="C1603" s="162" t="s">
        <v>5422</v>
      </c>
      <c r="D1603" s="162" t="s">
        <v>5423</v>
      </c>
      <c r="F1603" s="162">
        <v>1200</v>
      </c>
      <c r="G1603" s="162">
        <v>1</v>
      </c>
    </row>
    <row r="1604" spans="2:7" ht="72">
      <c r="B1604" s="162" t="s">
        <v>5398</v>
      </c>
      <c r="C1604" s="162" t="s">
        <v>5424</v>
      </c>
      <c r="D1604" s="162" t="s">
        <v>5425</v>
      </c>
      <c r="F1604" s="162">
        <v>1700</v>
      </c>
      <c r="G1604" s="162">
        <v>1</v>
      </c>
    </row>
    <row r="1605" spans="2:7">
      <c r="B1605" s="162" t="s">
        <v>676</v>
      </c>
      <c r="C1605" s="162" t="s">
        <v>924</v>
      </c>
      <c r="D1605" s="162" t="s">
        <v>925</v>
      </c>
      <c r="F1605" s="162">
        <v>451</v>
      </c>
      <c r="G1605" s="162">
        <v>1</v>
      </c>
    </row>
    <row r="1606" spans="2:7">
      <c r="B1606" s="162" t="s">
        <v>676</v>
      </c>
      <c r="C1606" s="162" t="s">
        <v>926</v>
      </c>
      <c r="D1606" s="162" t="s">
        <v>927</v>
      </c>
      <c r="F1606" s="162">
        <v>16.5</v>
      </c>
      <c r="G1606" s="162">
        <v>1</v>
      </c>
    </row>
    <row r="1607" spans="2:7">
      <c r="B1607" s="162" t="s">
        <v>676</v>
      </c>
      <c r="C1607" s="162" t="s">
        <v>928</v>
      </c>
      <c r="D1607" s="162" t="s">
        <v>929</v>
      </c>
      <c r="F1607" s="162">
        <v>459</v>
      </c>
      <c r="G1607" s="162">
        <v>1</v>
      </c>
    </row>
    <row r="1608" spans="2:7">
      <c r="B1608" s="162" t="s">
        <v>676</v>
      </c>
      <c r="C1608" s="162" t="s">
        <v>930</v>
      </c>
      <c r="D1608" s="162" t="s">
        <v>931</v>
      </c>
      <c r="F1608" s="162">
        <v>384</v>
      </c>
      <c r="G1608" s="162">
        <v>1</v>
      </c>
    </row>
    <row r="1609" spans="2:7">
      <c r="B1609" s="162" t="s">
        <v>676</v>
      </c>
      <c r="C1609" s="162" t="s">
        <v>932</v>
      </c>
      <c r="D1609" s="162" t="s">
        <v>933</v>
      </c>
      <c r="F1609" s="162">
        <v>245</v>
      </c>
      <c r="G1609" s="162">
        <v>1</v>
      </c>
    </row>
    <row r="1610" spans="2:7">
      <c r="B1610" s="162" t="s">
        <v>676</v>
      </c>
      <c r="C1610" s="162" t="s">
        <v>934</v>
      </c>
      <c r="D1610" s="162" t="s">
        <v>935</v>
      </c>
      <c r="F1610" s="162">
        <v>128</v>
      </c>
      <c r="G1610" s="162">
        <v>1</v>
      </c>
    </row>
    <row r="1611" spans="2:7">
      <c r="B1611" s="162" t="s">
        <v>676</v>
      </c>
      <c r="C1611" s="162" t="s">
        <v>936</v>
      </c>
      <c r="D1611" s="162" t="s">
        <v>937</v>
      </c>
      <c r="F1611" s="162">
        <v>1118</v>
      </c>
      <c r="G1611" s="162">
        <v>1</v>
      </c>
    </row>
    <row r="1612" spans="2:7">
      <c r="B1612" s="162" t="s">
        <v>676</v>
      </c>
      <c r="C1612" s="162" t="s">
        <v>938</v>
      </c>
      <c r="D1612" s="162" t="s">
        <v>939</v>
      </c>
      <c r="F1612" s="162">
        <v>195</v>
      </c>
      <c r="G1612" s="162">
        <v>1</v>
      </c>
    </row>
    <row r="1613" spans="2:7">
      <c r="B1613" s="162" t="s">
        <v>676</v>
      </c>
      <c r="C1613" s="162" t="s">
        <v>940</v>
      </c>
      <c r="D1613" s="162" t="s">
        <v>941</v>
      </c>
      <c r="F1613" s="162">
        <v>324</v>
      </c>
      <c r="G1613" s="162">
        <v>1</v>
      </c>
    </row>
    <row r="1614" spans="2:7">
      <c r="B1614" s="162" t="s">
        <v>676</v>
      </c>
      <c r="C1614" s="162" t="s">
        <v>942</v>
      </c>
      <c r="D1614" s="162" t="s">
        <v>943</v>
      </c>
      <c r="F1614" s="162">
        <v>324</v>
      </c>
      <c r="G1614" s="162">
        <v>1</v>
      </c>
    </row>
    <row r="1615" spans="2:7">
      <c r="B1615" s="162" t="s">
        <v>676</v>
      </c>
      <c r="C1615" s="162" t="s">
        <v>944</v>
      </c>
      <c r="D1615" s="162" t="s">
        <v>945</v>
      </c>
      <c r="F1615" s="162">
        <v>213</v>
      </c>
      <c r="G1615" s="162">
        <v>1</v>
      </c>
    </row>
    <row r="1616" spans="2:7">
      <c r="B1616" s="162" t="s">
        <v>676</v>
      </c>
      <c r="C1616" s="162" t="s">
        <v>946</v>
      </c>
      <c r="D1616" s="162" t="s">
        <v>947</v>
      </c>
      <c r="F1616" s="162">
        <v>326</v>
      </c>
      <c r="G1616" s="162">
        <v>1</v>
      </c>
    </row>
    <row r="1617" spans="2:7">
      <c r="B1617" s="162" t="s">
        <v>676</v>
      </c>
      <c r="C1617" s="162" t="s">
        <v>948</v>
      </c>
      <c r="D1617" s="162" t="s">
        <v>949</v>
      </c>
      <c r="F1617" s="162">
        <v>711</v>
      </c>
      <c r="G1617" s="162">
        <v>1</v>
      </c>
    </row>
    <row r="1618" spans="2:7">
      <c r="B1618" s="162" t="s">
        <v>676</v>
      </c>
      <c r="C1618" s="162" t="s">
        <v>950</v>
      </c>
      <c r="D1618" s="162" t="s">
        <v>951</v>
      </c>
      <c r="F1618" s="162">
        <v>592</v>
      </c>
      <c r="G1618" s="162">
        <v>1</v>
      </c>
    </row>
    <row r="1619" spans="2:7">
      <c r="B1619" s="162" t="s">
        <v>676</v>
      </c>
      <c r="C1619" s="162" t="s">
        <v>952</v>
      </c>
      <c r="D1619" s="162" t="s">
        <v>953</v>
      </c>
      <c r="F1619" s="162">
        <v>455</v>
      </c>
      <c r="G1619" s="162">
        <v>1</v>
      </c>
    </row>
    <row r="1620" spans="2:7">
      <c r="B1620" s="162" t="s">
        <v>676</v>
      </c>
      <c r="C1620" s="162" t="s">
        <v>954</v>
      </c>
      <c r="D1620" s="162" t="s">
        <v>955</v>
      </c>
      <c r="F1620" s="162">
        <v>235</v>
      </c>
      <c r="G1620" s="162">
        <v>1</v>
      </c>
    </row>
    <row r="1621" spans="2:7" ht="28.8">
      <c r="B1621" s="162" t="s">
        <v>676</v>
      </c>
      <c r="C1621" s="162" t="s">
        <v>5426</v>
      </c>
      <c r="D1621" s="162" t="s">
        <v>5427</v>
      </c>
      <c r="E1621" s="162" t="s">
        <v>5428</v>
      </c>
      <c r="F1621" s="162">
        <v>3939</v>
      </c>
      <c r="G1621" s="162">
        <v>1</v>
      </c>
    </row>
    <row r="1622" spans="2:7" ht="28.8">
      <c r="B1622" s="162" t="s">
        <v>676</v>
      </c>
      <c r="C1622" s="162" t="s">
        <v>5429</v>
      </c>
      <c r="D1622" s="162" t="s">
        <v>5430</v>
      </c>
      <c r="E1622" s="162" t="s">
        <v>5428</v>
      </c>
      <c r="F1622" s="162">
        <v>3939</v>
      </c>
      <c r="G1622" s="162">
        <v>1</v>
      </c>
    </row>
    <row r="1623" spans="2:7">
      <c r="B1623" s="162" t="s">
        <v>676</v>
      </c>
      <c r="C1623" s="162" t="s">
        <v>5431</v>
      </c>
      <c r="D1623" s="162" t="s">
        <v>5432</v>
      </c>
      <c r="E1623" s="162" t="s">
        <v>5428</v>
      </c>
      <c r="F1623" s="162">
        <v>1492</v>
      </c>
      <c r="G1623" s="162">
        <v>1</v>
      </c>
    </row>
    <row r="1624" spans="2:7" ht="28.8">
      <c r="B1624" s="162" t="s">
        <v>676</v>
      </c>
      <c r="C1624" s="162" t="s">
        <v>5433</v>
      </c>
      <c r="D1624" s="162" t="s">
        <v>5434</v>
      </c>
      <c r="E1624" s="162" t="s">
        <v>5428</v>
      </c>
      <c r="F1624" s="162">
        <v>2388</v>
      </c>
      <c r="G1624" s="162">
        <v>1</v>
      </c>
    </row>
    <row r="1625" spans="2:7">
      <c r="B1625" s="162" t="s">
        <v>676</v>
      </c>
      <c r="C1625" s="162" t="s">
        <v>5435</v>
      </c>
      <c r="D1625" s="162" t="s">
        <v>5436</v>
      </c>
      <c r="E1625" s="162" t="s">
        <v>5428</v>
      </c>
      <c r="F1625" s="162">
        <v>842</v>
      </c>
      <c r="G1625" s="162">
        <v>1</v>
      </c>
    </row>
    <row r="1626" spans="2:7" ht="28.8">
      <c r="B1626" s="162" t="s">
        <v>676</v>
      </c>
      <c r="C1626" s="162" t="s">
        <v>5437</v>
      </c>
      <c r="D1626" s="162" t="s">
        <v>5438</v>
      </c>
      <c r="E1626" s="162" t="s">
        <v>5428</v>
      </c>
      <c r="F1626" s="162">
        <v>1354</v>
      </c>
      <c r="G1626" s="162">
        <v>1</v>
      </c>
    </row>
    <row r="1627" spans="2:7" ht="28.8">
      <c r="B1627" s="162" t="s">
        <v>676</v>
      </c>
      <c r="C1627" s="162" t="s">
        <v>5439</v>
      </c>
      <c r="D1627" s="162" t="s">
        <v>5440</v>
      </c>
      <c r="E1627" s="162" t="s">
        <v>5428</v>
      </c>
      <c r="F1627" s="162">
        <v>2596</v>
      </c>
      <c r="G1627" s="162">
        <v>1</v>
      </c>
    </row>
    <row r="1628" spans="2:7">
      <c r="B1628" s="162" t="s">
        <v>676</v>
      </c>
      <c r="C1628" s="162" t="s">
        <v>5441</v>
      </c>
      <c r="D1628" s="162" t="s">
        <v>5442</v>
      </c>
      <c r="E1628" s="162" t="s">
        <v>5428</v>
      </c>
      <c r="F1628" s="162">
        <v>3786</v>
      </c>
      <c r="G1628" s="162">
        <v>1</v>
      </c>
    </row>
    <row r="1629" spans="2:7" ht="28.8">
      <c r="B1629" s="162" t="s">
        <v>676</v>
      </c>
      <c r="C1629" s="162" t="s">
        <v>5443</v>
      </c>
      <c r="D1629" s="162" t="s">
        <v>5444</v>
      </c>
      <c r="E1629" s="162" t="s">
        <v>5428</v>
      </c>
      <c r="F1629" s="162">
        <v>2714</v>
      </c>
      <c r="G1629" s="162">
        <v>1</v>
      </c>
    </row>
    <row r="1630" spans="2:7" ht="28.8">
      <c r="B1630" s="162" t="s">
        <v>676</v>
      </c>
      <c r="C1630" s="162" t="s">
        <v>5445</v>
      </c>
      <c r="D1630" s="162" t="s">
        <v>5446</v>
      </c>
      <c r="E1630" s="162" t="s">
        <v>5428</v>
      </c>
      <c r="F1630" s="162">
        <v>2714</v>
      </c>
      <c r="G1630" s="162">
        <v>1</v>
      </c>
    </row>
    <row r="1631" spans="2:7">
      <c r="B1631" s="162" t="s">
        <v>676</v>
      </c>
      <c r="C1631" s="162" t="s">
        <v>5447</v>
      </c>
      <c r="D1631" s="162" t="s">
        <v>5448</v>
      </c>
      <c r="E1631" s="162" t="s">
        <v>5428</v>
      </c>
      <c r="F1631" s="162">
        <v>3914</v>
      </c>
      <c r="G1631" s="162">
        <v>1</v>
      </c>
    </row>
    <row r="1632" spans="2:7">
      <c r="B1632" s="162" t="s">
        <v>676</v>
      </c>
      <c r="C1632" s="162" t="s">
        <v>5449</v>
      </c>
      <c r="D1632" s="162" t="s">
        <v>5450</v>
      </c>
      <c r="E1632" s="162" t="s">
        <v>5428</v>
      </c>
      <c r="F1632" s="162">
        <v>2706</v>
      </c>
      <c r="G1632" s="162">
        <v>1</v>
      </c>
    </row>
    <row r="1633" spans="2:7">
      <c r="B1633" s="162" t="s">
        <v>676</v>
      </c>
      <c r="C1633" s="162" t="s">
        <v>5451</v>
      </c>
      <c r="D1633" s="162" t="s">
        <v>5452</v>
      </c>
      <c r="E1633" s="162" t="s">
        <v>5428</v>
      </c>
      <c r="F1633" s="162">
        <v>388</v>
      </c>
      <c r="G1633" s="162">
        <v>1</v>
      </c>
    </row>
    <row r="1634" spans="2:7">
      <c r="B1634" s="162" t="s">
        <v>676</v>
      </c>
      <c r="C1634" s="162" t="s">
        <v>952</v>
      </c>
      <c r="D1634" s="162" t="s">
        <v>5453</v>
      </c>
      <c r="E1634" s="162" t="s">
        <v>5428</v>
      </c>
      <c r="F1634" s="162">
        <v>494</v>
      </c>
      <c r="G1634" s="162">
        <v>1</v>
      </c>
    </row>
    <row r="1635" spans="2:7" ht="28.8">
      <c r="B1635" s="162" t="s">
        <v>676</v>
      </c>
      <c r="C1635" s="162" t="s">
        <v>5454</v>
      </c>
      <c r="D1635" s="162" t="s">
        <v>5455</v>
      </c>
      <c r="E1635" s="162" t="s">
        <v>5428</v>
      </c>
      <c r="F1635" s="162">
        <v>555</v>
      </c>
      <c r="G1635" s="162">
        <v>1</v>
      </c>
    </row>
    <row r="1636" spans="2:7">
      <c r="B1636" s="162" t="s">
        <v>676</v>
      </c>
      <c r="C1636" s="162" t="s">
        <v>5456</v>
      </c>
      <c r="D1636" s="162" t="s">
        <v>5457</v>
      </c>
      <c r="E1636" s="162" t="s">
        <v>5428</v>
      </c>
      <c r="F1636" s="162">
        <v>3730</v>
      </c>
      <c r="G1636" s="162">
        <v>1</v>
      </c>
    </row>
    <row r="1637" spans="2:7">
      <c r="B1637" s="162" t="s">
        <v>676</v>
      </c>
      <c r="C1637" s="162" t="s">
        <v>5458</v>
      </c>
      <c r="D1637" s="162" t="s">
        <v>5459</v>
      </c>
      <c r="E1637" s="162" t="s">
        <v>5428</v>
      </c>
      <c r="F1637" s="162">
        <v>4264</v>
      </c>
      <c r="G1637" s="162">
        <v>1</v>
      </c>
    </row>
    <row r="1638" spans="2:7">
      <c r="B1638" s="162" t="s">
        <v>676</v>
      </c>
      <c r="C1638" s="162" t="s">
        <v>5460</v>
      </c>
      <c r="D1638" s="162" t="s">
        <v>5461</v>
      </c>
      <c r="E1638" s="162" t="s">
        <v>5428</v>
      </c>
      <c r="F1638" s="162">
        <v>6632</v>
      </c>
      <c r="G1638" s="162">
        <v>1</v>
      </c>
    </row>
    <row r="1639" spans="2:7" ht="57.6">
      <c r="B1639" s="162" t="s">
        <v>678</v>
      </c>
      <c r="C1639" s="162" t="s">
        <v>5462</v>
      </c>
      <c r="D1639" s="162" t="s">
        <v>5463</v>
      </c>
      <c r="E1639" s="162" t="s">
        <v>5464</v>
      </c>
      <c r="F1639" s="162">
        <v>9925</v>
      </c>
      <c r="G1639" s="162">
        <v>1</v>
      </c>
    </row>
    <row r="1640" spans="2:7" ht="28.8">
      <c r="B1640" s="162" t="s">
        <v>678</v>
      </c>
      <c r="C1640" s="162" t="s">
        <v>5465</v>
      </c>
      <c r="D1640" s="162" t="s">
        <v>5466</v>
      </c>
      <c r="E1640" s="162" t="s">
        <v>5467</v>
      </c>
      <c r="F1640" s="162">
        <v>177.85</v>
      </c>
      <c r="G1640" s="162">
        <v>1</v>
      </c>
    </row>
    <row r="1641" spans="2:7" ht="57.6">
      <c r="B1641" s="162" t="s">
        <v>678</v>
      </c>
      <c r="C1641" s="162" t="s">
        <v>5468</v>
      </c>
      <c r="D1641" s="162" t="s">
        <v>5469</v>
      </c>
      <c r="E1641" s="162" t="s">
        <v>5470</v>
      </c>
      <c r="F1641" s="162">
        <v>140</v>
      </c>
      <c r="G1641" s="162">
        <v>1</v>
      </c>
    </row>
    <row r="1642" spans="2:7" ht="72">
      <c r="B1642" s="162" t="s">
        <v>678</v>
      </c>
      <c r="C1642" s="162" t="s">
        <v>5471</v>
      </c>
      <c r="D1642" s="162" t="s">
        <v>5472</v>
      </c>
      <c r="E1642" s="162" t="s">
        <v>5473</v>
      </c>
      <c r="F1642" s="162">
        <v>8225</v>
      </c>
      <c r="G1642" s="162">
        <v>1</v>
      </c>
    </row>
    <row r="1643" spans="2:7" ht="72">
      <c r="B1643" s="162" t="s">
        <v>678</v>
      </c>
      <c r="C1643" s="162" t="s">
        <v>5474</v>
      </c>
      <c r="D1643" s="162" t="s">
        <v>5472</v>
      </c>
      <c r="E1643" s="162" t="s">
        <v>5475</v>
      </c>
      <c r="F1643" s="162">
        <v>8225</v>
      </c>
      <c r="G1643" s="162">
        <v>1</v>
      </c>
    </row>
    <row r="1644" spans="2:7" ht="72">
      <c r="B1644" s="162" t="s">
        <v>678</v>
      </c>
      <c r="C1644" s="162" t="s">
        <v>5476</v>
      </c>
      <c r="D1644" s="162" t="s">
        <v>5477</v>
      </c>
      <c r="E1644" s="162" t="s">
        <v>5478</v>
      </c>
      <c r="F1644" s="162">
        <v>11910</v>
      </c>
      <c r="G1644" s="162">
        <v>1</v>
      </c>
    </row>
    <row r="1645" spans="2:7" ht="72">
      <c r="B1645" s="162" t="s">
        <v>678</v>
      </c>
      <c r="C1645" s="162" t="s">
        <v>5479</v>
      </c>
      <c r="D1645" s="162" t="s">
        <v>5477</v>
      </c>
      <c r="E1645" s="162" t="s">
        <v>5480</v>
      </c>
      <c r="F1645" s="162">
        <v>11910</v>
      </c>
      <c r="G1645" s="162">
        <v>1</v>
      </c>
    </row>
    <row r="1646" spans="2:7" ht="43.2">
      <c r="B1646" s="162" t="s">
        <v>678</v>
      </c>
      <c r="C1646" s="162" t="s">
        <v>5481</v>
      </c>
      <c r="D1646" s="162" t="s">
        <v>5482</v>
      </c>
      <c r="E1646" s="162" t="s">
        <v>5483</v>
      </c>
      <c r="F1646" s="162">
        <v>3635</v>
      </c>
      <c r="G1646" s="162">
        <v>1</v>
      </c>
    </row>
    <row r="1647" spans="2:7" ht="57.6">
      <c r="B1647" s="162" t="s">
        <v>678</v>
      </c>
      <c r="C1647" s="162" t="s">
        <v>5484</v>
      </c>
      <c r="D1647" s="162" t="s">
        <v>5485</v>
      </c>
      <c r="E1647" s="162" t="s">
        <v>5486</v>
      </c>
      <c r="F1647" s="162">
        <v>525</v>
      </c>
      <c r="G1647" s="162">
        <v>1</v>
      </c>
    </row>
    <row r="1648" spans="2:7" ht="57.6">
      <c r="B1648" s="162" t="s">
        <v>678</v>
      </c>
      <c r="C1648" s="162" t="s">
        <v>5487</v>
      </c>
      <c r="D1648" s="162" t="s">
        <v>5488</v>
      </c>
      <c r="E1648" s="162" t="s">
        <v>5489</v>
      </c>
      <c r="F1648" s="162">
        <v>2250</v>
      </c>
      <c r="G1648" s="162">
        <v>1</v>
      </c>
    </row>
    <row r="1649" spans="2:7" ht="57.6">
      <c r="B1649" s="162" t="s">
        <v>678</v>
      </c>
      <c r="C1649" s="162" t="s">
        <v>5490</v>
      </c>
      <c r="D1649" s="162" t="s">
        <v>5491</v>
      </c>
      <c r="E1649" s="162" t="s">
        <v>5492</v>
      </c>
      <c r="F1649" s="162">
        <v>2040</v>
      </c>
      <c r="G1649" s="162">
        <v>1</v>
      </c>
    </row>
    <row r="1650" spans="2:7" ht="57.6">
      <c r="B1650" s="162" t="s">
        <v>678</v>
      </c>
      <c r="C1650" s="162" t="s">
        <v>5493</v>
      </c>
      <c r="D1650" s="162" t="s">
        <v>5491</v>
      </c>
      <c r="E1650" s="162" t="s">
        <v>5494</v>
      </c>
      <c r="F1650" s="162">
        <v>2040</v>
      </c>
      <c r="G1650" s="162">
        <v>1</v>
      </c>
    </row>
    <row r="1651" spans="2:7" ht="57.6">
      <c r="B1651" s="162" t="s">
        <v>678</v>
      </c>
      <c r="C1651" s="162" t="s">
        <v>5495</v>
      </c>
      <c r="D1651" s="162" t="s">
        <v>5496</v>
      </c>
      <c r="E1651" s="162" t="s">
        <v>5497</v>
      </c>
      <c r="F1651" s="162">
        <v>2125</v>
      </c>
      <c r="G1651" s="162">
        <v>1</v>
      </c>
    </row>
    <row r="1652" spans="2:7" ht="43.2">
      <c r="B1652" s="162" t="s">
        <v>678</v>
      </c>
      <c r="C1652" s="162" t="s">
        <v>5498</v>
      </c>
      <c r="D1652" s="162" t="s">
        <v>5499</v>
      </c>
      <c r="E1652" s="162" t="s">
        <v>5500</v>
      </c>
      <c r="F1652" s="162">
        <v>3390</v>
      </c>
      <c r="G1652" s="162">
        <v>1</v>
      </c>
    </row>
    <row r="1653" spans="2:7" ht="43.2">
      <c r="B1653" s="162" t="s">
        <v>678</v>
      </c>
      <c r="C1653" s="162" t="s">
        <v>5501</v>
      </c>
      <c r="D1653" s="162" t="s">
        <v>5502</v>
      </c>
      <c r="E1653" s="162" t="s">
        <v>5503</v>
      </c>
      <c r="F1653" s="162">
        <v>1865</v>
      </c>
      <c r="G1653" s="162">
        <v>1</v>
      </c>
    </row>
    <row r="1654" spans="2:7" ht="57.6">
      <c r="B1654" s="162" t="s">
        <v>678</v>
      </c>
      <c r="C1654" s="162" t="s">
        <v>5504</v>
      </c>
      <c r="D1654" s="162" t="s">
        <v>5505</v>
      </c>
      <c r="E1654" s="162" t="s">
        <v>5506</v>
      </c>
      <c r="F1654" s="162">
        <v>1990</v>
      </c>
      <c r="G1654" s="162">
        <v>1</v>
      </c>
    </row>
    <row r="1655" spans="2:7" ht="57.6">
      <c r="B1655" s="162" t="s">
        <v>678</v>
      </c>
      <c r="C1655" s="162" t="s">
        <v>5507</v>
      </c>
      <c r="D1655" s="162" t="s">
        <v>5505</v>
      </c>
      <c r="E1655" s="162" t="s">
        <v>5508</v>
      </c>
      <c r="F1655" s="162">
        <v>1990</v>
      </c>
      <c r="G1655" s="162">
        <v>1</v>
      </c>
    </row>
    <row r="1656" spans="2:7" ht="57.6">
      <c r="B1656" s="162" t="s">
        <v>678</v>
      </c>
      <c r="C1656" s="162" t="s">
        <v>5509</v>
      </c>
      <c r="D1656" s="162" t="s">
        <v>5510</v>
      </c>
      <c r="E1656" s="162" t="s">
        <v>5511</v>
      </c>
      <c r="F1656" s="162">
        <v>2080</v>
      </c>
      <c r="G1656" s="162">
        <v>1</v>
      </c>
    </row>
    <row r="1657" spans="2:7" ht="43.2">
      <c r="B1657" s="162" t="s">
        <v>678</v>
      </c>
      <c r="C1657" s="162" t="s">
        <v>5512</v>
      </c>
      <c r="D1657" s="162" t="s">
        <v>5513</v>
      </c>
      <c r="E1657" s="162" t="s">
        <v>5514</v>
      </c>
      <c r="F1657" s="162">
        <v>1865</v>
      </c>
      <c r="G1657" s="162">
        <v>1</v>
      </c>
    </row>
    <row r="1658" spans="2:7" ht="43.2">
      <c r="B1658" s="162" t="s">
        <v>678</v>
      </c>
      <c r="C1658" s="162" t="s">
        <v>1113</v>
      </c>
      <c r="D1658" s="162" t="s">
        <v>5515</v>
      </c>
      <c r="E1658" s="162" t="s">
        <v>1114</v>
      </c>
      <c r="F1658" s="162">
        <v>1380</v>
      </c>
      <c r="G1658" s="162">
        <v>1</v>
      </c>
    </row>
    <row r="1659" spans="2:7" ht="43.2">
      <c r="B1659" s="162" t="s">
        <v>678</v>
      </c>
      <c r="C1659" s="162" t="s">
        <v>1115</v>
      </c>
      <c r="D1659" s="162" t="s">
        <v>5516</v>
      </c>
      <c r="E1659" s="162" t="s">
        <v>5517</v>
      </c>
      <c r="F1659" s="162">
        <v>1675</v>
      </c>
      <c r="G1659" s="162">
        <v>1</v>
      </c>
    </row>
    <row r="1660" spans="2:7" ht="72">
      <c r="B1660" s="162" t="s">
        <v>678</v>
      </c>
      <c r="C1660" s="162" t="s">
        <v>1121</v>
      </c>
      <c r="D1660" s="162" t="s">
        <v>5518</v>
      </c>
      <c r="E1660" s="162" t="s">
        <v>1122</v>
      </c>
      <c r="F1660" s="162">
        <v>2785</v>
      </c>
      <c r="G1660" s="162">
        <v>1</v>
      </c>
    </row>
    <row r="1661" spans="2:7" ht="28.8">
      <c r="B1661" s="162" t="s">
        <v>678</v>
      </c>
      <c r="C1661" s="162" t="s">
        <v>5519</v>
      </c>
      <c r="D1661" s="162" t="s">
        <v>5520</v>
      </c>
      <c r="E1661" s="162" t="s">
        <v>5521</v>
      </c>
      <c r="F1661" s="162">
        <v>115</v>
      </c>
      <c r="G1661" s="162">
        <v>1</v>
      </c>
    </row>
    <row r="1662" spans="2:7" ht="28.8">
      <c r="B1662" s="162" t="s">
        <v>678</v>
      </c>
      <c r="C1662" s="162" t="s">
        <v>5522</v>
      </c>
      <c r="D1662" s="162" t="s">
        <v>5523</v>
      </c>
      <c r="E1662" s="162" t="s">
        <v>5524</v>
      </c>
      <c r="F1662" s="162">
        <v>530</v>
      </c>
      <c r="G1662" s="162">
        <v>1</v>
      </c>
    </row>
    <row r="1663" spans="2:7" ht="43.2">
      <c r="B1663" s="162" t="s">
        <v>678</v>
      </c>
      <c r="C1663" s="162" t="s">
        <v>5525</v>
      </c>
      <c r="D1663" s="162" t="s">
        <v>5526</v>
      </c>
      <c r="E1663" s="162" t="s">
        <v>5527</v>
      </c>
      <c r="F1663" s="162">
        <v>265</v>
      </c>
      <c r="G1663" s="162">
        <v>1</v>
      </c>
    </row>
    <row r="1664" spans="2:7" ht="43.2">
      <c r="B1664" s="162" t="s">
        <v>678</v>
      </c>
      <c r="C1664" s="162" t="s">
        <v>5528</v>
      </c>
      <c r="D1664" s="162" t="s">
        <v>5529</v>
      </c>
      <c r="E1664" s="162" t="s">
        <v>5530</v>
      </c>
      <c r="F1664" s="162">
        <v>465</v>
      </c>
      <c r="G1664" s="162">
        <v>1</v>
      </c>
    </row>
    <row r="1665" spans="2:7" ht="57.6">
      <c r="B1665" s="162" t="s">
        <v>678</v>
      </c>
      <c r="C1665" s="162" t="s">
        <v>5531</v>
      </c>
      <c r="D1665" s="162" t="s">
        <v>5532</v>
      </c>
      <c r="E1665" s="162" t="s">
        <v>5533</v>
      </c>
      <c r="F1665" s="162">
        <v>4555</v>
      </c>
      <c r="G1665" s="162">
        <v>1</v>
      </c>
    </row>
    <row r="1666" spans="2:7" ht="28.8">
      <c r="B1666" s="162" t="s">
        <v>678</v>
      </c>
      <c r="C1666" s="162" t="s">
        <v>5534</v>
      </c>
      <c r="D1666" s="162" t="s">
        <v>5535</v>
      </c>
      <c r="E1666" s="162" t="s">
        <v>5536</v>
      </c>
      <c r="F1666" s="162">
        <v>54.6</v>
      </c>
      <c r="G1666" s="162">
        <v>1</v>
      </c>
    </row>
    <row r="1667" spans="2:7" ht="28.8">
      <c r="B1667" s="162" t="s">
        <v>678</v>
      </c>
      <c r="C1667" s="162" t="s">
        <v>1097</v>
      </c>
      <c r="D1667" s="162" t="s">
        <v>5537</v>
      </c>
      <c r="E1667" s="162" t="s">
        <v>1098</v>
      </c>
      <c r="F1667" s="162">
        <v>545</v>
      </c>
      <c r="G1667" s="162">
        <v>1</v>
      </c>
    </row>
    <row r="1668" spans="2:7" ht="28.8">
      <c r="B1668" s="162" t="s">
        <v>678</v>
      </c>
      <c r="C1668" s="162" t="s">
        <v>5534</v>
      </c>
      <c r="D1668" s="162" t="s">
        <v>5535</v>
      </c>
      <c r="E1668" s="162" t="s">
        <v>5536</v>
      </c>
      <c r="F1668" s="162">
        <v>54.6</v>
      </c>
      <c r="G1668" s="162">
        <v>1</v>
      </c>
    </row>
    <row r="1669" spans="2:7" ht="28.8">
      <c r="B1669" s="162" t="s">
        <v>678</v>
      </c>
      <c r="C1669" s="162" t="s">
        <v>5538</v>
      </c>
      <c r="D1669" s="162" t="s">
        <v>5539</v>
      </c>
      <c r="E1669" s="162" t="s">
        <v>5540</v>
      </c>
      <c r="F1669" s="162">
        <v>78.650000000000006</v>
      </c>
      <c r="G1669" s="162">
        <v>1</v>
      </c>
    </row>
    <row r="1670" spans="2:7">
      <c r="B1670" s="162" t="s">
        <v>677</v>
      </c>
      <c r="C1670" s="162" t="s">
        <v>956</v>
      </c>
      <c r="D1670" s="162" t="s">
        <v>957</v>
      </c>
      <c r="F1670" s="162">
        <v>150</v>
      </c>
      <c r="G1670" s="162">
        <v>1</v>
      </c>
    </row>
    <row r="1671" spans="2:7">
      <c r="B1671" s="162" t="s">
        <v>677</v>
      </c>
      <c r="C1671" s="162" t="s">
        <v>956</v>
      </c>
      <c r="D1671" s="162" t="s">
        <v>5541</v>
      </c>
      <c r="F1671" s="162">
        <v>165</v>
      </c>
      <c r="G1671" s="162">
        <v>1</v>
      </c>
    </row>
    <row r="1672" spans="2:7">
      <c r="B1672" s="162" t="s">
        <v>677</v>
      </c>
      <c r="C1672" s="162" t="s">
        <v>958</v>
      </c>
      <c r="D1672" s="162" t="s">
        <v>959</v>
      </c>
      <c r="F1672" s="162">
        <v>30</v>
      </c>
      <c r="G1672" s="162">
        <v>1</v>
      </c>
    </row>
    <row r="1673" spans="2:7" ht="28.8">
      <c r="B1673" s="162" t="s">
        <v>677</v>
      </c>
      <c r="C1673" s="162" t="s">
        <v>960</v>
      </c>
      <c r="D1673" s="162" t="s">
        <v>961</v>
      </c>
      <c r="F1673" s="162">
        <v>320</v>
      </c>
      <c r="G1673" s="162">
        <v>1</v>
      </c>
    </row>
    <row r="1674" spans="2:7" ht="28.8">
      <c r="B1674" s="162" t="s">
        <v>677</v>
      </c>
      <c r="C1674" s="162" t="s">
        <v>962</v>
      </c>
      <c r="D1674" s="162" t="s">
        <v>961</v>
      </c>
      <c r="F1674" s="162">
        <v>1071</v>
      </c>
      <c r="G1674" s="162">
        <v>1</v>
      </c>
    </row>
    <row r="1675" spans="2:7" ht="28.8">
      <c r="B1675" s="162" t="s">
        <v>677</v>
      </c>
      <c r="C1675" s="162" t="s">
        <v>963</v>
      </c>
      <c r="D1675" s="162" t="s">
        <v>961</v>
      </c>
      <c r="F1675" s="162">
        <v>891</v>
      </c>
      <c r="G1675" s="162">
        <v>1</v>
      </c>
    </row>
    <row r="1676" spans="2:7">
      <c r="B1676" s="162" t="s">
        <v>677</v>
      </c>
      <c r="C1676" s="162" t="s">
        <v>964</v>
      </c>
      <c r="D1676" s="162" t="s">
        <v>965</v>
      </c>
      <c r="F1676" s="162">
        <v>1500</v>
      </c>
      <c r="G1676" s="162">
        <v>1</v>
      </c>
    </row>
    <row r="1677" spans="2:7">
      <c r="B1677" s="162" t="s">
        <v>677</v>
      </c>
      <c r="C1677" s="162" t="s">
        <v>966</v>
      </c>
      <c r="D1677" s="162" t="s">
        <v>967</v>
      </c>
      <c r="F1677" s="162">
        <v>468</v>
      </c>
      <c r="G1677" s="162">
        <v>1</v>
      </c>
    </row>
    <row r="1678" spans="2:7">
      <c r="B1678" s="162" t="s">
        <v>677</v>
      </c>
      <c r="C1678" s="162" t="s">
        <v>968</v>
      </c>
      <c r="D1678" s="162" t="s">
        <v>969</v>
      </c>
      <c r="F1678" s="162">
        <v>3990</v>
      </c>
      <c r="G1678" s="162">
        <v>1</v>
      </c>
    </row>
    <row r="1679" spans="2:7">
      <c r="B1679" s="162" t="s">
        <v>677</v>
      </c>
      <c r="C1679" s="162" t="s">
        <v>970</v>
      </c>
      <c r="D1679" s="162" t="s">
        <v>971</v>
      </c>
      <c r="F1679" s="162">
        <v>11900</v>
      </c>
      <c r="G1679" s="162">
        <v>1</v>
      </c>
    </row>
    <row r="1680" spans="2:7">
      <c r="B1680" s="162" t="s">
        <v>677</v>
      </c>
      <c r="C1680" s="162" t="s">
        <v>972</v>
      </c>
      <c r="D1680" s="162" t="s">
        <v>973</v>
      </c>
      <c r="F1680" s="162">
        <v>9900</v>
      </c>
      <c r="G1680" s="162">
        <v>1</v>
      </c>
    </row>
    <row r="1681" spans="2:7">
      <c r="B1681" s="162" t="s">
        <v>677</v>
      </c>
      <c r="C1681" s="162" t="s">
        <v>974</v>
      </c>
      <c r="D1681" s="162" t="s">
        <v>975</v>
      </c>
      <c r="F1681" s="162">
        <v>499</v>
      </c>
      <c r="G1681" s="162">
        <v>1</v>
      </c>
    </row>
    <row r="1682" spans="2:7" ht="28.8">
      <c r="B1682" s="162" t="s">
        <v>677</v>
      </c>
      <c r="C1682" s="162" t="s">
        <v>976</v>
      </c>
      <c r="D1682" s="162" t="s">
        <v>977</v>
      </c>
      <c r="F1682" s="162">
        <v>21900</v>
      </c>
      <c r="G1682" s="162">
        <v>1</v>
      </c>
    </row>
    <row r="1683" spans="2:7" ht="28.8">
      <c r="B1683" s="162" t="s">
        <v>677</v>
      </c>
      <c r="C1683" s="162" t="s">
        <v>978</v>
      </c>
      <c r="D1683" s="162" t="s">
        <v>979</v>
      </c>
      <c r="F1683" s="162">
        <v>24900</v>
      </c>
      <c r="G1683" s="162">
        <v>1</v>
      </c>
    </row>
    <row r="1684" spans="2:7" ht="28.8">
      <c r="B1684" s="162" t="s">
        <v>677</v>
      </c>
      <c r="C1684" s="162" t="s">
        <v>980</v>
      </c>
      <c r="D1684" s="162" t="s">
        <v>981</v>
      </c>
      <c r="F1684" s="162">
        <v>30500</v>
      </c>
      <c r="G1684" s="162">
        <v>1</v>
      </c>
    </row>
    <row r="1685" spans="2:7">
      <c r="B1685" s="162" t="s">
        <v>677</v>
      </c>
      <c r="C1685" s="162" t="s">
        <v>982</v>
      </c>
      <c r="D1685" s="162" t="s">
        <v>983</v>
      </c>
      <c r="F1685" s="162">
        <v>17900</v>
      </c>
      <c r="G1685" s="162">
        <v>1</v>
      </c>
    </row>
    <row r="1686" spans="2:7">
      <c r="B1686" s="162" t="s">
        <v>677</v>
      </c>
      <c r="C1686" s="162" t="s">
        <v>984</v>
      </c>
      <c r="D1686" s="162" t="s">
        <v>967</v>
      </c>
      <c r="F1686" s="162">
        <v>468</v>
      </c>
      <c r="G1686" s="162">
        <v>1</v>
      </c>
    </row>
    <row r="1687" spans="2:7">
      <c r="B1687" s="162" t="s">
        <v>677</v>
      </c>
      <c r="C1687" s="162" t="s">
        <v>985</v>
      </c>
      <c r="D1687" s="162" t="s">
        <v>986</v>
      </c>
      <c r="F1687" s="162">
        <v>3300</v>
      </c>
      <c r="G1687" s="162">
        <v>1</v>
      </c>
    </row>
    <row r="1688" spans="2:7" ht="28.8">
      <c r="B1688" s="162" t="s">
        <v>677</v>
      </c>
      <c r="C1688" s="162" t="s">
        <v>987</v>
      </c>
      <c r="D1688" s="162" t="s">
        <v>988</v>
      </c>
      <c r="F1688" s="162">
        <v>4490</v>
      </c>
      <c r="G1688" s="162">
        <v>1</v>
      </c>
    </row>
    <row r="1689" spans="2:7">
      <c r="B1689" s="162" t="s">
        <v>677</v>
      </c>
      <c r="C1689" s="162" t="s">
        <v>989</v>
      </c>
      <c r="D1689" s="162" t="s">
        <v>990</v>
      </c>
      <c r="F1689" s="162">
        <v>8900</v>
      </c>
      <c r="G1689" s="162">
        <v>1</v>
      </c>
    </row>
    <row r="1690" spans="2:7" ht="28.8">
      <c r="B1690" s="162" t="s">
        <v>677</v>
      </c>
      <c r="C1690" s="162" t="s">
        <v>991</v>
      </c>
      <c r="D1690" s="162" t="s">
        <v>992</v>
      </c>
      <c r="F1690" s="162">
        <v>1790</v>
      </c>
      <c r="G1690" s="162">
        <v>1</v>
      </c>
    </row>
    <row r="1691" spans="2:7">
      <c r="B1691" s="162" t="s">
        <v>677</v>
      </c>
      <c r="C1691" s="162" t="s">
        <v>991</v>
      </c>
      <c r="D1691" s="162" t="s">
        <v>5542</v>
      </c>
      <c r="F1691" s="162">
        <v>1790</v>
      </c>
      <c r="G1691" s="162">
        <v>1</v>
      </c>
    </row>
    <row r="1692" spans="2:7">
      <c r="B1692" s="162" t="s">
        <v>677</v>
      </c>
      <c r="C1692" s="162" t="s">
        <v>993</v>
      </c>
      <c r="D1692" s="162" t="s">
        <v>994</v>
      </c>
      <c r="E1692" s="162" t="s">
        <v>995</v>
      </c>
      <c r="F1692" s="162">
        <v>1199</v>
      </c>
      <c r="G1692" s="162">
        <v>1</v>
      </c>
    </row>
    <row r="1693" spans="2:7" ht="28.8">
      <c r="B1693" s="162" t="s">
        <v>677</v>
      </c>
      <c r="C1693" s="162" t="s">
        <v>996</v>
      </c>
      <c r="D1693" s="162" t="s">
        <v>997</v>
      </c>
      <c r="E1693" s="162" t="s">
        <v>998</v>
      </c>
      <c r="F1693" s="162">
        <v>2300</v>
      </c>
      <c r="G1693" s="162">
        <v>1</v>
      </c>
    </row>
    <row r="1694" spans="2:7" ht="43.2">
      <c r="B1694" s="162" t="s">
        <v>678</v>
      </c>
      <c r="C1694" s="162" t="s">
        <v>999</v>
      </c>
      <c r="D1694" s="162" t="s">
        <v>1000</v>
      </c>
      <c r="F1694" s="162">
        <v>475</v>
      </c>
      <c r="G1694" s="162">
        <v>1</v>
      </c>
    </row>
    <row r="1695" spans="2:7" ht="43.2">
      <c r="B1695" s="162" t="s">
        <v>678</v>
      </c>
      <c r="C1695" s="162" t="s">
        <v>1001</v>
      </c>
      <c r="D1695" s="162" t="s">
        <v>1002</v>
      </c>
      <c r="F1695" s="162">
        <v>260</v>
      </c>
      <c r="G1695" s="162">
        <v>1</v>
      </c>
    </row>
    <row r="1696" spans="2:7" ht="43.2">
      <c r="B1696" s="162" t="s">
        <v>678</v>
      </c>
      <c r="C1696" s="162" t="s">
        <v>1003</v>
      </c>
      <c r="D1696" s="162" t="s">
        <v>1004</v>
      </c>
      <c r="F1696" s="162">
        <v>285</v>
      </c>
      <c r="G1696" s="162">
        <v>1</v>
      </c>
    </row>
    <row r="1697" spans="2:7" ht="43.2">
      <c r="B1697" s="162" t="s">
        <v>678</v>
      </c>
      <c r="C1697" s="162" t="s">
        <v>1005</v>
      </c>
      <c r="D1697" s="162" t="s">
        <v>1006</v>
      </c>
      <c r="F1697" s="162">
        <v>330</v>
      </c>
      <c r="G1697" s="162">
        <v>1</v>
      </c>
    </row>
    <row r="1698" spans="2:7" ht="43.2">
      <c r="B1698" s="162" t="s">
        <v>678</v>
      </c>
      <c r="C1698" s="162" t="s">
        <v>1007</v>
      </c>
      <c r="D1698" s="162" t="s">
        <v>1008</v>
      </c>
      <c r="F1698" s="162">
        <v>390</v>
      </c>
      <c r="G1698" s="162">
        <v>1</v>
      </c>
    </row>
    <row r="1699" spans="2:7" ht="43.2">
      <c r="B1699" s="162" t="s">
        <v>678</v>
      </c>
      <c r="C1699" s="162" t="s">
        <v>1009</v>
      </c>
      <c r="D1699" s="162" t="s">
        <v>1010</v>
      </c>
      <c r="F1699" s="162">
        <v>385</v>
      </c>
      <c r="G1699" s="162">
        <v>1</v>
      </c>
    </row>
    <row r="1700" spans="2:7" ht="43.2">
      <c r="B1700" s="162" t="s">
        <v>678</v>
      </c>
      <c r="C1700" s="162" t="s">
        <v>1011</v>
      </c>
      <c r="D1700" s="162" t="s">
        <v>1012</v>
      </c>
      <c r="F1700" s="162">
        <v>440</v>
      </c>
      <c r="G1700" s="162">
        <v>1</v>
      </c>
    </row>
    <row r="1701" spans="2:7" ht="43.2">
      <c r="B1701" s="162" t="s">
        <v>678</v>
      </c>
      <c r="C1701" s="162" t="s">
        <v>1013</v>
      </c>
      <c r="D1701" s="162" t="s">
        <v>1014</v>
      </c>
      <c r="F1701" s="162">
        <v>285</v>
      </c>
      <c r="G1701" s="162">
        <v>1</v>
      </c>
    </row>
    <row r="1702" spans="2:7" ht="57.6">
      <c r="B1702" s="162" t="s">
        <v>678</v>
      </c>
      <c r="C1702" s="162" t="s">
        <v>1015</v>
      </c>
      <c r="D1702" s="162" t="s">
        <v>1016</v>
      </c>
      <c r="F1702" s="162">
        <v>315</v>
      </c>
      <c r="G1702" s="162">
        <v>1</v>
      </c>
    </row>
    <row r="1703" spans="2:7" ht="43.2">
      <c r="B1703" s="162" t="s">
        <v>678</v>
      </c>
      <c r="C1703" s="162" t="s">
        <v>1017</v>
      </c>
      <c r="D1703" s="162" t="s">
        <v>1018</v>
      </c>
      <c r="F1703" s="162">
        <v>370</v>
      </c>
      <c r="G1703" s="162">
        <v>1</v>
      </c>
    </row>
    <row r="1704" spans="2:7" ht="43.2">
      <c r="B1704" s="162" t="s">
        <v>678</v>
      </c>
      <c r="C1704" s="162" t="s">
        <v>1019</v>
      </c>
      <c r="D1704" s="162" t="s">
        <v>1020</v>
      </c>
      <c r="F1704" s="162">
        <v>440</v>
      </c>
      <c r="G1704" s="162">
        <v>1</v>
      </c>
    </row>
    <row r="1705" spans="2:7" ht="43.2">
      <c r="B1705" s="162" t="s">
        <v>678</v>
      </c>
      <c r="C1705" s="162" t="s">
        <v>1021</v>
      </c>
      <c r="D1705" s="162" t="s">
        <v>1022</v>
      </c>
      <c r="F1705" s="162">
        <v>340</v>
      </c>
      <c r="G1705" s="162">
        <v>1</v>
      </c>
    </row>
    <row r="1706" spans="2:7" ht="57.6">
      <c r="B1706" s="162" t="s">
        <v>678</v>
      </c>
      <c r="C1706" s="162" t="s">
        <v>1023</v>
      </c>
      <c r="D1706" s="162" t="s">
        <v>1024</v>
      </c>
      <c r="F1706" s="162">
        <v>345</v>
      </c>
      <c r="G1706" s="162">
        <v>1</v>
      </c>
    </row>
    <row r="1707" spans="2:7" ht="43.2">
      <c r="B1707" s="162" t="s">
        <v>678</v>
      </c>
      <c r="C1707" s="162" t="s">
        <v>1025</v>
      </c>
      <c r="D1707" s="162" t="s">
        <v>1026</v>
      </c>
      <c r="F1707" s="162">
        <v>370</v>
      </c>
      <c r="G1707" s="162">
        <v>1</v>
      </c>
    </row>
    <row r="1708" spans="2:7" ht="43.2">
      <c r="B1708" s="162" t="s">
        <v>678</v>
      </c>
      <c r="C1708" s="162" t="s">
        <v>1027</v>
      </c>
      <c r="D1708" s="162" t="s">
        <v>1028</v>
      </c>
      <c r="F1708" s="162">
        <v>440</v>
      </c>
      <c r="G1708" s="162">
        <v>1</v>
      </c>
    </row>
    <row r="1709" spans="2:7" ht="43.2">
      <c r="B1709" s="162" t="s">
        <v>678</v>
      </c>
      <c r="C1709" s="162" t="s">
        <v>1029</v>
      </c>
      <c r="D1709" s="162" t="s">
        <v>1030</v>
      </c>
      <c r="F1709" s="162">
        <v>340</v>
      </c>
      <c r="G1709" s="162">
        <v>1</v>
      </c>
    </row>
    <row r="1710" spans="2:7" ht="43.2">
      <c r="B1710" s="162" t="s">
        <v>678</v>
      </c>
      <c r="C1710" s="162" t="s">
        <v>1031</v>
      </c>
      <c r="D1710" s="162" t="s">
        <v>1032</v>
      </c>
      <c r="F1710" s="162">
        <v>360</v>
      </c>
      <c r="G1710" s="162">
        <v>1</v>
      </c>
    </row>
    <row r="1711" spans="2:7" ht="43.2">
      <c r="B1711" s="162" t="s">
        <v>678</v>
      </c>
      <c r="C1711" s="162" t="s">
        <v>1033</v>
      </c>
      <c r="D1711" s="162" t="s">
        <v>1034</v>
      </c>
      <c r="F1711" s="162">
        <v>385</v>
      </c>
      <c r="G1711" s="162">
        <v>1</v>
      </c>
    </row>
    <row r="1712" spans="2:7" ht="43.2">
      <c r="B1712" s="162" t="s">
        <v>678</v>
      </c>
      <c r="C1712" s="162" t="s">
        <v>1035</v>
      </c>
      <c r="D1712" s="162" t="s">
        <v>1036</v>
      </c>
      <c r="F1712" s="162">
        <v>450</v>
      </c>
      <c r="G1712" s="162">
        <v>1</v>
      </c>
    </row>
    <row r="1713" spans="2:7" ht="57.6">
      <c r="B1713" s="162" t="s">
        <v>678</v>
      </c>
      <c r="C1713" s="162" t="s">
        <v>1037</v>
      </c>
      <c r="D1713" s="162" t="s">
        <v>1038</v>
      </c>
      <c r="F1713" s="162">
        <v>270</v>
      </c>
      <c r="G1713" s="162">
        <v>1</v>
      </c>
    </row>
    <row r="1714" spans="2:7" ht="57.6">
      <c r="B1714" s="162" t="s">
        <v>678</v>
      </c>
      <c r="C1714" s="162" t="s">
        <v>1039</v>
      </c>
      <c r="D1714" s="162" t="s">
        <v>1040</v>
      </c>
      <c r="F1714" s="162">
        <v>325</v>
      </c>
      <c r="G1714" s="162">
        <v>1</v>
      </c>
    </row>
    <row r="1715" spans="2:7" ht="43.2">
      <c r="B1715" s="162" t="s">
        <v>678</v>
      </c>
      <c r="C1715" s="162" t="s">
        <v>1041</v>
      </c>
      <c r="D1715" s="162" t="s">
        <v>1042</v>
      </c>
      <c r="F1715" s="162">
        <v>360</v>
      </c>
      <c r="G1715" s="162">
        <v>1</v>
      </c>
    </row>
    <row r="1716" spans="2:7" ht="43.2">
      <c r="B1716" s="162" t="s">
        <v>678</v>
      </c>
      <c r="C1716" s="162" t="s">
        <v>1043</v>
      </c>
      <c r="D1716" s="162" t="s">
        <v>1044</v>
      </c>
      <c r="F1716" s="162">
        <v>430</v>
      </c>
      <c r="G1716" s="162">
        <v>1</v>
      </c>
    </row>
    <row r="1717" spans="2:7" ht="43.2">
      <c r="B1717" s="162" t="s">
        <v>678</v>
      </c>
      <c r="C1717" s="162" t="s">
        <v>1045</v>
      </c>
      <c r="D1717" s="162" t="s">
        <v>1046</v>
      </c>
      <c r="F1717" s="162">
        <v>385</v>
      </c>
      <c r="G1717" s="162">
        <v>1</v>
      </c>
    </row>
    <row r="1718" spans="2:7" ht="43.2">
      <c r="B1718" s="162" t="s">
        <v>678</v>
      </c>
      <c r="C1718" s="162" t="s">
        <v>1047</v>
      </c>
      <c r="D1718" s="162" t="s">
        <v>1048</v>
      </c>
      <c r="F1718" s="162">
        <v>445</v>
      </c>
      <c r="G1718" s="162">
        <v>1</v>
      </c>
    </row>
    <row r="1719" spans="2:7" ht="57.6">
      <c r="B1719" s="162" t="s">
        <v>678</v>
      </c>
      <c r="C1719" s="162" t="s">
        <v>1049</v>
      </c>
      <c r="D1719" s="162" t="s">
        <v>1050</v>
      </c>
      <c r="F1719" s="162">
        <v>360</v>
      </c>
      <c r="G1719" s="162">
        <v>1</v>
      </c>
    </row>
    <row r="1720" spans="2:7" ht="57.6">
      <c r="B1720" s="162" t="s">
        <v>678</v>
      </c>
      <c r="C1720" s="162" t="s">
        <v>1051</v>
      </c>
      <c r="D1720" s="162" t="s">
        <v>1052</v>
      </c>
      <c r="F1720" s="162">
        <v>390</v>
      </c>
      <c r="G1720" s="162">
        <v>1</v>
      </c>
    </row>
    <row r="1721" spans="2:7" ht="43.2">
      <c r="B1721" s="162" t="s">
        <v>678</v>
      </c>
      <c r="C1721" s="162" t="s">
        <v>1053</v>
      </c>
      <c r="D1721" s="162" t="s">
        <v>1054</v>
      </c>
      <c r="F1721" s="162">
        <v>420</v>
      </c>
      <c r="G1721" s="162">
        <v>1</v>
      </c>
    </row>
    <row r="1722" spans="2:7" ht="43.2">
      <c r="B1722" s="162" t="s">
        <v>678</v>
      </c>
      <c r="C1722" s="162" t="s">
        <v>1055</v>
      </c>
      <c r="D1722" s="162" t="s">
        <v>1056</v>
      </c>
      <c r="F1722" s="162">
        <v>460</v>
      </c>
      <c r="G1722" s="162">
        <v>1</v>
      </c>
    </row>
    <row r="1723" spans="2:7" ht="43.2">
      <c r="B1723" s="162" t="s">
        <v>678</v>
      </c>
      <c r="C1723" s="162" t="s">
        <v>1057</v>
      </c>
      <c r="D1723" s="162" t="s">
        <v>1058</v>
      </c>
      <c r="F1723" s="162">
        <v>250</v>
      </c>
      <c r="G1723" s="162">
        <v>1</v>
      </c>
    </row>
    <row r="1724" spans="2:7" ht="28.8">
      <c r="B1724" s="162" t="s">
        <v>678</v>
      </c>
      <c r="C1724" s="162" t="s">
        <v>1059</v>
      </c>
      <c r="D1724" s="162" t="s">
        <v>1060</v>
      </c>
      <c r="F1724" s="162">
        <v>181</v>
      </c>
      <c r="G1724" s="162">
        <v>1</v>
      </c>
    </row>
    <row r="1725" spans="2:7" ht="28.8">
      <c r="B1725" s="162" t="s">
        <v>678</v>
      </c>
      <c r="C1725" s="162" t="s">
        <v>1061</v>
      </c>
      <c r="D1725" s="162" t="s">
        <v>1062</v>
      </c>
      <c r="F1725" s="162">
        <v>215</v>
      </c>
      <c r="G1725" s="162">
        <v>1</v>
      </c>
    </row>
    <row r="1726" spans="2:7" ht="28.8">
      <c r="B1726" s="162" t="s">
        <v>678</v>
      </c>
      <c r="C1726" s="162" t="s">
        <v>1063</v>
      </c>
      <c r="D1726" s="162" t="s">
        <v>1064</v>
      </c>
      <c r="F1726" s="162">
        <v>195</v>
      </c>
      <c r="G1726" s="162">
        <v>1</v>
      </c>
    </row>
    <row r="1727" spans="2:7">
      <c r="B1727" s="162" t="s">
        <v>678</v>
      </c>
      <c r="C1727" s="162" t="s">
        <v>1065</v>
      </c>
      <c r="D1727" s="162" t="s">
        <v>1066</v>
      </c>
      <c r="F1727" s="162">
        <v>174</v>
      </c>
      <c r="G1727" s="162">
        <v>1</v>
      </c>
    </row>
    <row r="1728" spans="2:7" ht="28.8">
      <c r="B1728" s="162" t="s">
        <v>678</v>
      </c>
      <c r="C1728" s="162" t="s">
        <v>1067</v>
      </c>
      <c r="D1728" s="162" t="s">
        <v>1068</v>
      </c>
      <c r="F1728" s="162">
        <v>210</v>
      </c>
      <c r="G1728" s="162">
        <v>1</v>
      </c>
    </row>
    <row r="1729" spans="2:7" ht="43.2">
      <c r="B1729" s="162" t="s">
        <v>678</v>
      </c>
      <c r="C1729" s="162" t="s">
        <v>1069</v>
      </c>
      <c r="D1729" s="162" t="s">
        <v>1070</v>
      </c>
      <c r="F1729" s="162">
        <v>475</v>
      </c>
      <c r="G1729" s="162">
        <v>1</v>
      </c>
    </row>
    <row r="1730" spans="2:7" ht="43.2">
      <c r="B1730" s="162" t="s">
        <v>678</v>
      </c>
      <c r="C1730" s="162" t="s">
        <v>1071</v>
      </c>
      <c r="D1730" s="162" t="s">
        <v>1072</v>
      </c>
      <c r="F1730" s="162">
        <v>475</v>
      </c>
      <c r="G1730" s="162">
        <v>1</v>
      </c>
    </row>
    <row r="1731" spans="2:7" ht="43.2">
      <c r="B1731" s="162" t="s">
        <v>678</v>
      </c>
      <c r="C1731" s="162" t="s">
        <v>1073</v>
      </c>
      <c r="D1731" s="162" t="s">
        <v>1074</v>
      </c>
      <c r="F1731" s="162">
        <v>595</v>
      </c>
      <c r="G1731" s="162">
        <v>1</v>
      </c>
    </row>
    <row r="1732" spans="2:7" ht="28.8">
      <c r="B1732" s="162" t="s">
        <v>678</v>
      </c>
      <c r="C1732" s="162" t="s">
        <v>1075</v>
      </c>
      <c r="D1732" s="162" t="s">
        <v>1076</v>
      </c>
      <c r="F1732" s="162">
        <v>325</v>
      </c>
      <c r="G1732" s="162">
        <v>1</v>
      </c>
    </row>
    <row r="1733" spans="2:7" ht="28.8">
      <c r="B1733" s="162" t="s">
        <v>678</v>
      </c>
      <c r="C1733" s="162" t="s">
        <v>1077</v>
      </c>
      <c r="D1733" s="162" t="s">
        <v>1078</v>
      </c>
      <c r="F1733" s="162">
        <v>415</v>
      </c>
      <c r="G1733" s="162">
        <v>1</v>
      </c>
    </row>
    <row r="1734" spans="2:7" ht="28.8">
      <c r="B1734" s="162" t="s">
        <v>678</v>
      </c>
      <c r="C1734" s="162" t="s">
        <v>1079</v>
      </c>
      <c r="D1734" s="162" t="s">
        <v>1080</v>
      </c>
      <c r="F1734" s="162">
        <v>415</v>
      </c>
      <c r="G1734" s="162">
        <v>1</v>
      </c>
    </row>
    <row r="1735" spans="2:7" ht="28.8">
      <c r="B1735" s="162" t="s">
        <v>678</v>
      </c>
      <c r="C1735" s="162" t="s">
        <v>1081</v>
      </c>
      <c r="D1735" s="162" t="s">
        <v>1082</v>
      </c>
      <c r="F1735" s="162">
        <v>345</v>
      </c>
      <c r="G1735" s="162">
        <v>1</v>
      </c>
    </row>
    <row r="1736" spans="2:7" ht="28.8">
      <c r="B1736" s="162" t="s">
        <v>678</v>
      </c>
      <c r="C1736" s="162" t="s">
        <v>1083</v>
      </c>
      <c r="D1736" s="162" t="s">
        <v>1084</v>
      </c>
      <c r="F1736" s="162">
        <v>70</v>
      </c>
      <c r="G1736" s="162">
        <v>1</v>
      </c>
    </row>
    <row r="1737" spans="2:7" ht="28.8">
      <c r="B1737" s="162" t="s">
        <v>678</v>
      </c>
      <c r="C1737" s="162" t="s">
        <v>1085</v>
      </c>
      <c r="D1737" s="162" t="s">
        <v>1086</v>
      </c>
      <c r="F1737" s="162">
        <v>410</v>
      </c>
      <c r="G1737" s="162">
        <v>1</v>
      </c>
    </row>
    <row r="1738" spans="2:7" ht="28.8">
      <c r="B1738" s="162" t="s">
        <v>678</v>
      </c>
      <c r="C1738" s="162" t="s">
        <v>1087</v>
      </c>
      <c r="D1738" s="162" t="s">
        <v>1088</v>
      </c>
      <c r="F1738" s="162">
        <v>485</v>
      </c>
      <c r="G1738" s="162">
        <v>1</v>
      </c>
    </row>
    <row r="1739" spans="2:7" ht="28.8">
      <c r="B1739" s="162" t="s">
        <v>678</v>
      </c>
      <c r="C1739" s="162" t="s">
        <v>1089</v>
      </c>
      <c r="D1739" s="162" t="s">
        <v>1090</v>
      </c>
      <c r="F1739" s="162">
        <v>220</v>
      </c>
      <c r="G1739" s="162">
        <v>1</v>
      </c>
    </row>
    <row r="1740" spans="2:7" ht="28.8">
      <c r="B1740" s="162" t="s">
        <v>678</v>
      </c>
      <c r="C1740" s="162" t="s">
        <v>1091</v>
      </c>
      <c r="D1740" s="162" t="s">
        <v>1092</v>
      </c>
      <c r="F1740" s="162">
        <v>235</v>
      </c>
      <c r="G1740" s="162">
        <v>1</v>
      </c>
    </row>
    <row r="1741" spans="2:7" ht="43.2">
      <c r="B1741" s="162" t="s">
        <v>678</v>
      </c>
      <c r="C1741" s="162" t="s">
        <v>1093</v>
      </c>
      <c r="D1741" s="162" t="s">
        <v>1094</v>
      </c>
      <c r="F1741" s="162">
        <v>1545</v>
      </c>
      <c r="G1741" s="162">
        <v>1</v>
      </c>
    </row>
    <row r="1742" spans="2:7" ht="43.2">
      <c r="B1742" s="162" t="s">
        <v>678</v>
      </c>
      <c r="C1742" s="162" t="s">
        <v>1095</v>
      </c>
      <c r="D1742" s="162" t="s">
        <v>1096</v>
      </c>
      <c r="F1742" s="162">
        <v>1745</v>
      </c>
      <c r="G1742" s="162">
        <v>1</v>
      </c>
    </row>
    <row r="1743" spans="2:7" ht="28.8">
      <c r="B1743" s="162" t="s">
        <v>678</v>
      </c>
      <c r="C1743" s="162" t="s">
        <v>1097</v>
      </c>
      <c r="D1743" s="162" t="s">
        <v>1098</v>
      </c>
      <c r="F1743" s="162">
        <v>475</v>
      </c>
      <c r="G1743" s="162">
        <v>1</v>
      </c>
    </row>
    <row r="1744" spans="2:7" ht="43.2">
      <c r="B1744" s="162" t="s">
        <v>678</v>
      </c>
      <c r="C1744" s="162" t="s">
        <v>1099</v>
      </c>
      <c r="D1744" s="162" t="s">
        <v>1100</v>
      </c>
      <c r="F1744" s="162">
        <v>265</v>
      </c>
      <c r="G1744" s="162">
        <v>1</v>
      </c>
    </row>
    <row r="1745" spans="2:7" ht="43.2">
      <c r="B1745" s="162" t="s">
        <v>678</v>
      </c>
      <c r="C1745" s="162" t="s">
        <v>1101</v>
      </c>
      <c r="D1745" s="162" t="s">
        <v>1102</v>
      </c>
      <c r="F1745" s="162">
        <v>305</v>
      </c>
      <c r="G1745" s="162">
        <v>1</v>
      </c>
    </row>
    <row r="1746" spans="2:7" ht="43.2">
      <c r="B1746" s="162" t="s">
        <v>678</v>
      </c>
      <c r="C1746" s="162" t="s">
        <v>1103</v>
      </c>
      <c r="D1746" s="162" t="s">
        <v>1104</v>
      </c>
      <c r="F1746" s="162">
        <v>335</v>
      </c>
      <c r="G1746" s="162">
        <v>1</v>
      </c>
    </row>
    <row r="1747" spans="2:7" ht="43.2">
      <c r="B1747" s="162" t="s">
        <v>678</v>
      </c>
      <c r="C1747" s="162" t="s">
        <v>1105</v>
      </c>
      <c r="D1747" s="162" t="s">
        <v>1106</v>
      </c>
      <c r="F1747" s="162">
        <v>1250</v>
      </c>
      <c r="G1747" s="162">
        <v>1</v>
      </c>
    </row>
    <row r="1748" spans="2:7" ht="43.2">
      <c r="B1748" s="162" t="s">
        <v>678</v>
      </c>
      <c r="C1748" s="162" t="s">
        <v>1107</v>
      </c>
      <c r="D1748" s="162" t="s">
        <v>1108</v>
      </c>
      <c r="F1748" s="162">
        <v>1465</v>
      </c>
      <c r="G1748" s="162">
        <v>1</v>
      </c>
    </row>
    <row r="1749" spans="2:7" ht="43.2">
      <c r="B1749" s="162" t="s">
        <v>678</v>
      </c>
      <c r="C1749" s="162" t="s">
        <v>1109</v>
      </c>
      <c r="D1749" s="162" t="s">
        <v>1110</v>
      </c>
      <c r="F1749" s="162">
        <v>2200</v>
      </c>
      <c r="G1749" s="162">
        <v>1</v>
      </c>
    </row>
    <row r="1750" spans="2:7" ht="57.6">
      <c r="B1750" s="162" t="s">
        <v>678</v>
      </c>
      <c r="C1750" s="162" t="s">
        <v>1111</v>
      </c>
      <c r="D1750" s="162" t="s">
        <v>1112</v>
      </c>
      <c r="F1750" s="162">
        <v>2885</v>
      </c>
      <c r="G1750" s="162">
        <v>1</v>
      </c>
    </row>
    <row r="1751" spans="2:7" ht="28.8">
      <c r="B1751" s="162" t="s">
        <v>678</v>
      </c>
      <c r="C1751" s="162" t="s">
        <v>1113</v>
      </c>
      <c r="D1751" s="162" t="s">
        <v>1114</v>
      </c>
      <c r="F1751" s="162">
        <v>1255</v>
      </c>
      <c r="G1751" s="162">
        <v>1</v>
      </c>
    </row>
    <row r="1752" spans="2:7" ht="43.2">
      <c r="B1752" s="162" t="s">
        <v>678</v>
      </c>
      <c r="C1752" s="162" t="s">
        <v>1115</v>
      </c>
      <c r="D1752" s="162" t="s">
        <v>1116</v>
      </c>
      <c r="F1752" s="162">
        <v>1530</v>
      </c>
      <c r="G1752" s="162">
        <v>1</v>
      </c>
    </row>
    <row r="1753" spans="2:7" ht="43.2">
      <c r="B1753" s="162" t="s">
        <v>678</v>
      </c>
      <c r="C1753" s="162" t="s">
        <v>1117</v>
      </c>
      <c r="D1753" s="162" t="s">
        <v>1118</v>
      </c>
      <c r="F1753" s="162">
        <v>4495</v>
      </c>
      <c r="G1753" s="162">
        <v>1</v>
      </c>
    </row>
    <row r="1754" spans="2:7" ht="28.8">
      <c r="B1754" s="162" t="s">
        <v>678</v>
      </c>
      <c r="C1754" s="162" t="s">
        <v>1119</v>
      </c>
      <c r="D1754" s="162" t="s">
        <v>1120</v>
      </c>
      <c r="F1754" s="162">
        <v>545</v>
      </c>
      <c r="G1754" s="162">
        <v>1</v>
      </c>
    </row>
    <row r="1755" spans="2:7" ht="43.2">
      <c r="B1755" s="162" t="s">
        <v>678</v>
      </c>
      <c r="C1755" s="162" t="s">
        <v>1121</v>
      </c>
      <c r="D1755" s="162" t="s">
        <v>1122</v>
      </c>
      <c r="F1755" s="162">
        <v>2545</v>
      </c>
      <c r="G1755" s="162">
        <v>1</v>
      </c>
    </row>
    <row r="1756" spans="2:7">
      <c r="B1756" s="162" t="s">
        <v>678</v>
      </c>
      <c r="C1756" s="162" t="s">
        <v>1123</v>
      </c>
      <c r="D1756" s="162" t="s">
        <v>1124</v>
      </c>
      <c r="F1756" s="162">
        <v>355</v>
      </c>
      <c r="G1756" s="162">
        <v>1</v>
      </c>
    </row>
    <row r="1757" spans="2:7">
      <c r="B1757" s="162" t="s">
        <v>678</v>
      </c>
      <c r="C1757" s="162" t="s">
        <v>1125</v>
      </c>
      <c r="D1757" s="162" t="s">
        <v>1126</v>
      </c>
      <c r="F1757" s="162">
        <v>485</v>
      </c>
      <c r="G1757" s="162">
        <v>1</v>
      </c>
    </row>
    <row r="1758" spans="2:7" ht="28.8">
      <c r="B1758" s="162" t="s">
        <v>678</v>
      </c>
      <c r="C1758" s="162" t="s">
        <v>1127</v>
      </c>
      <c r="D1758" s="162" t="s">
        <v>1128</v>
      </c>
      <c r="F1758" s="162">
        <v>495</v>
      </c>
      <c r="G1758" s="162">
        <v>1</v>
      </c>
    </row>
    <row r="1759" spans="2:7" ht="28.8">
      <c r="B1759" s="162" t="s">
        <v>678</v>
      </c>
      <c r="C1759" s="162" t="s">
        <v>1129</v>
      </c>
      <c r="D1759" s="162" t="s">
        <v>1130</v>
      </c>
      <c r="F1759" s="162">
        <v>995</v>
      </c>
      <c r="G1759" s="162">
        <v>1</v>
      </c>
    </row>
    <row r="1760" spans="2:7" ht="28.8">
      <c r="B1760" s="162" t="s">
        <v>678</v>
      </c>
      <c r="C1760" s="162" t="s">
        <v>1131</v>
      </c>
      <c r="D1760" s="162" t="s">
        <v>1132</v>
      </c>
      <c r="F1760" s="162">
        <v>1095</v>
      </c>
      <c r="G1760" s="162">
        <v>1</v>
      </c>
    </row>
    <row r="1761" spans="2:7" ht="28.8">
      <c r="B1761" s="162" t="s">
        <v>678</v>
      </c>
      <c r="C1761" s="162" t="s">
        <v>1133</v>
      </c>
      <c r="D1761" s="162" t="s">
        <v>1134</v>
      </c>
      <c r="F1761" s="162">
        <v>885</v>
      </c>
      <c r="G1761" s="162">
        <v>1</v>
      </c>
    </row>
    <row r="1762" spans="2:7" ht="28.8">
      <c r="B1762" s="162" t="s">
        <v>678</v>
      </c>
      <c r="C1762" s="162" t="s">
        <v>1135</v>
      </c>
      <c r="D1762" s="162" t="s">
        <v>1136</v>
      </c>
      <c r="F1762" s="162">
        <v>1345</v>
      </c>
      <c r="G1762" s="162">
        <v>1</v>
      </c>
    </row>
    <row r="1763" spans="2:7" ht="28.8">
      <c r="B1763" s="162" t="s">
        <v>678</v>
      </c>
      <c r="C1763" s="162" t="s">
        <v>1137</v>
      </c>
      <c r="D1763" s="162" t="s">
        <v>1138</v>
      </c>
      <c r="F1763" s="162">
        <v>1275</v>
      </c>
      <c r="G1763" s="162">
        <v>1</v>
      </c>
    </row>
    <row r="1764" spans="2:7" ht="28.8">
      <c r="B1764" s="162" t="s">
        <v>678</v>
      </c>
      <c r="C1764" s="162" t="s">
        <v>1139</v>
      </c>
      <c r="D1764" s="162" t="s">
        <v>1140</v>
      </c>
      <c r="F1764" s="162">
        <v>610</v>
      </c>
      <c r="G1764" s="162">
        <v>1</v>
      </c>
    </row>
    <row r="1765" spans="2:7">
      <c r="B1765" s="162" t="s">
        <v>678</v>
      </c>
      <c r="C1765" s="162" t="s">
        <v>1141</v>
      </c>
      <c r="D1765" s="162" t="s">
        <v>1142</v>
      </c>
      <c r="F1765" s="162">
        <v>525</v>
      </c>
      <c r="G1765" s="162">
        <v>1</v>
      </c>
    </row>
    <row r="1766" spans="2:7" ht="28.8">
      <c r="B1766" s="162" t="s">
        <v>678</v>
      </c>
      <c r="C1766" s="162" t="s">
        <v>1143</v>
      </c>
      <c r="D1766" s="162" t="s">
        <v>1144</v>
      </c>
      <c r="F1766" s="162">
        <v>350</v>
      </c>
      <c r="G1766" s="162">
        <v>1</v>
      </c>
    </row>
    <row r="1767" spans="2:7">
      <c r="B1767" s="162" t="s">
        <v>678</v>
      </c>
      <c r="C1767" s="162" t="s">
        <v>1145</v>
      </c>
      <c r="D1767" s="162" t="s">
        <v>1146</v>
      </c>
      <c r="F1767" s="162">
        <v>995</v>
      </c>
      <c r="G1767" s="162">
        <v>1</v>
      </c>
    </row>
    <row r="1768" spans="2:7">
      <c r="B1768" s="162" t="s">
        <v>678</v>
      </c>
      <c r="C1768" s="162" t="s">
        <v>1147</v>
      </c>
      <c r="D1768" s="162" t="s">
        <v>1148</v>
      </c>
      <c r="F1768" s="162">
        <v>1145</v>
      </c>
      <c r="G1768" s="162">
        <v>1</v>
      </c>
    </row>
    <row r="1769" spans="2:7">
      <c r="B1769" s="162" t="s">
        <v>678</v>
      </c>
      <c r="C1769" s="162" t="s">
        <v>1149</v>
      </c>
      <c r="D1769" s="162" t="s">
        <v>1150</v>
      </c>
      <c r="F1769" s="162">
        <v>595</v>
      </c>
      <c r="G1769" s="162">
        <v>1</v>
      </c>
    </row>
    <row r="1770" spans="2:7" ht="28.8">
      <c r="B1770" s="162" t="s">
        <v>678</v>
      </c>
      <c r="C1770" s="162" t="s">
        <v>1151</v>
      </c>
      <c r="D1770" s="162" t="s">
        <v>1152</v>
      </c>
      <c r="F1770" s="162">
        <v>845</v>
      </c>
      <c r="G1770" s="162">
        <v>1</v>
      </c>
    </row>
    <row r="1771" spans="2:7" ht="28.8">
      <c r="B1771" s="162" t="s">
        <v>678</v>
      </c>
      <c r="C1771" s="162" t="s">
        <v>1153</v>
      </c>
      <c r="D1771" s="162" t="s">
        <v>1154</v>
      </c>
      <c r="F1771" s="162">
        <v>2425</v>
      </c>
      <c r="G1771" s="162">
        <v>1</v>
      </c>
    </row>
    <row r="1772" spans="2:7" ht="43.2">
      <c r="B1772" s="162" t="s">
        <v>678</v>
      </c>
      <c r="C1772" s="162" t="s">
        <v>1155</v>
      </c>
      <c r="D1772" s="162" t="s">
        <v>1156</v>
      </c>
      <c r="F1772" s="162">
        <v>2425</v>
      </c>
      <c r="G1772" s="162">
        <v>1</v>
      </c>
    </row>
    <row r="1773" spans="2:7" ht="28.8">
      <c r="B1773" s="162" t="s">
        <v>678</v>
      </c>
      <c r="C1773" s="162" t="s">
        <v>1157</v>
      </c>
      <c r="D1773" s="162" t="s">
        <v>1158</v>
      </c>
      <c r="F1773" s="162">
        <v>2490</v>
      </c>
      <c r="G1773" s="162">
        <v>1</v>
      </c>
    </row>
    <row r="1774" spans="2:7" ht="28.8">
      <c r="B1774" s="162" t="s">
        <v>678</v>
      </c>
      <c r="C1774" s="162" t="s">
        <v>1159</v>
      </c>
      <c r="D1774" s="162" t="s">
        <v>1160</v>
      </c>
      <c r="F1774" s="162">
        <v>5160</v>
      </c>
      <c r="G1774" s="162">
        <v>1</v>
      </c>
    </row>
    <row r="1775" spans="2:7" ht="28.8">
      <c r="B1775" s="162" t="s">
        <v>678</v>
      </c>
      <c r="C1775" s="162" t="s">
        <v>1161</v>
      </c>
      <c r="D1775" s="162" t="s">
        <v>1162</v>
      </c>
      <c r="F1775" s="162">
        <v>4910</v>
      </c>
      <c r="G1775" s="162">
        <v>1</v>
      </c>
    </row>
    <row r="1776" spans="2:7" ht="43.2">
      <c r="B1776" s="162" t="s">
        <v>678</v>
      </c>
      <c r="C1776" s="162" t="s">
        <v>1163</v>
      </c>
      <c r="D1776" s="162" t="s">
        <v>1164</v>
      </c>
      <c r="F1776" s="162">
        <v>4165</v>
      </c>
      <c r="G1776" s="162">
        <v>1</v>
      </c>
    </row>
    <row r="1777" spans="2:7" ht="43.2">
      <c r="B1777" s="162" t="s">
        <v>678</v>
      </c>
      <c r="C1777" s="162" t="s">
        <v>1165</v>
      </c>
      <c r="D1777" s="162" t="s">
        <v>1166</v>
      </c>
      <c r="F1777" s="162">
        <v>5160</v>
      </c>
      <c r="G1777" s="162">
        <v>1</v>
      </c>
    </row>
    <row r="1778" spans="2:7" ht="43.2">
      <c r="B1778" s="162" t="s">
        <v>678</v>
      </c>
      <c r="C1778" s="162" t="s">
        <v>1167</v>
      </c>
      <c r="D1778" s="162" t="s">
        <v>1168</v>
      </c>
      <c r="F1778" s="162">
        <v>5160</v>
      </c>
      <c r="G1778" s="162">
        <v>1</v>
      </c>
    </row>
    <row r="1779" spans="2:7">
      <c r="B1779" s="162" t="s">
        <v>678</v>
      </c>
      <c r="C1779" s="162" t="s">
        <v>1169</v>
      </c>
      <c r="D1779" s="162" t="s">
        <v>1170</v>
      </c>
      <c r="F1779" s="162">
        <v>2070</v>
      </c>
      <c r="G1779" s="162">
        <v>1</v>
      </c>
    </row>
    <row r="1780" spans="2:7">
      <c r="B1780" s="162" t="s">
        <v>678</v>
      </c>
      <c r="C1780" s="162" t="s">
        <v>1171</v>
      </c>
      <c r="D1780" s="162" t="s">
        <v>1172</v>
      </c>
      <c r="F1780" s="162">
        <v>2500</v>
      </c>
      <c r="G1780" s="162">
        <v>1</v>
      </c>
    </row>
    <row r="1781" spans="2:7">
      <c r="B1781" s="162" t="s">
        <v>678</v>
      </c>
      <c r="C1781" s="162" t="s">
        <v>1173</v>
      </c>
      <c r="D1781" s="162" t="s">
        <v>1174</v>
      </c>
      <c r="F1781" s="162">
        <v>5435</v>
      </c>
      <c r="G1781" s="162">
        <v>1</v>
      </c>
    </row>
    <row r="1782" spans="2:7" ht="28.8">
      <c r="B1782" s="162" t="s">
        <v>678</v>
      </c>
      <c r="C1782" s="162" t="s">
        <v>1175</v>
      </c>
      <c r="D1782" s="162" t="s">
        <v>1176</v>
      </c>
      <c r="F1782" s="162">
        <v>5655</v>
      </c>
      <c r="G1782" s="162">
        <v>1</v>
      </c>
    </row>
    <row r="1783" spans="2:7">
      <c r="B1783" s="162" t="s">
        <v>678</v>
      </c>
      <c r="C1783" s="162" t="s">
        <v>1177</v>
      </c>
      <c r="D1783" s="162" t="s">
        <v>1178</v>
      </c>
      <c r="F1783" s="162">
        <v>525</v>
      </c>
      <c r="G1783" s="162">
        <v>1</v>
      </c>
    </row>
    <row r="1784" spans="2:7">
      <c r="B1784" s="162" t="s">
        <v>678</v>
      </c>
      <c r="C1784" s="162" t="s">
        <v>1179</v>
      </c>
      <c r="D1784" s="162" t="s">
        <v>1180</v>
      </c>
      <c r="F1784" s="162">
        <v>580</v>
      </c>
      <c r="G1784" s="162">
        <v>1</v>
      </c>
    </row>
    <row r="1785" spans="2:7">
      <c r="B1785" s="162" t="s">
        <v>678</v>
      </c>
      <c r="C1785" s="162" t="s">
        <v>1181</v>
      </c>
      <c r="D1785" s="162" t="s">
        <v>1182</v>
      </c>
      <c r="F1785" s="162">
        <v>25</v>
      </c>
      <c r="G1785" s="162">
        <v>1</v>
      </c>
    </row>
    <row r="1786" spans="2:7">
      <c r="B1786" s="162" t="s">
        <v>678</v>
      </c>
      <c r="C1786" s="162" t="s">
        <v>1183</v>
      </c>
      <c r="D1786" s="162" t="s">
        <v>1184</v>
      </c>
      <c r="F1786" s="162">
        <v>32</v>
      </c>
      <c r="G1786" s="162">
        <v>1</v>
      </c>
    </row>
    <row r="1787" spans="2:7" ht="57.6">
      <c r="B1787" s="162" t="s">
        <v>678</v>
      </c>
      <c r="C1787" s="162" t="s">
        <v>5462</v>
      </c>
      <c r="D1787" s="162" t="s">
        <v>5463</v>
      </c>
      <c r="E1787" s="162" t="s">
        <v>5464</v>
      </c>
      <c r="F1787" s="162">
        <v>9925</v>
      </c>
      <c r="G1787" s="162">
        <v>1</v>
      </c>
    </row>
    <row r="1788" spans="2:7" ht="28.8">
      <c r="B1788" s="162" t="s">
        <v>678</v>
      </c>
      <c r="C1788" s="162" t="s">
        <v>5465</v>
      </c>
      <c r="D1788" s="162" t="s">
        <v>5466</v>
      </c>
      <c r="E1788" s="162" t="s">
        <v>5467</v>
      </c>
      <c r="F1788" s="162">
        <v>177.85</v>
      </c>
      <c r="G1788" s="162">
        <v>1</v>
      </c>
    </row>
    <row r="1789" spans="2:7" ht="57.6">
      <c r="B1789" s="162" t="s">
        <v>678</v>
      </c>
      <c r="C1789" s="162" t="s">
        <v>5468</v>
      </c>
      <c r="D1789" s="162" t="s">
        <v>5469</v>
      </c>
      <c r="E1789" s="162" t="s">
        <v>5470</v>
      </c>
      <c r="F1789" s="162">
        <v>140</v>
      </c>
      <c r="G1789" s="162">
        <v>1</v>
      </c>
    </row>
    <row r="1790" spans="2:7" ht="72">
      <c r="B1790" s="162" t="s">
        <v>678</v>
      </c>
      <c r="C1790" s="162" t="s">
        <v>5471</v>
      </c>
      <c r="D1790" s="162" t="s">
        <v>5472</v>
      </c>
      <c r="E1790" s="162" t="s">
        <v>5473</v>
      </c>
      <c r="F1790" s="162">
        <v>8225</v>
      </c>
      <c r="G1790" s="162">
        <v>1</v>
      </c>
    </row>
    <row r="1791" spans="2:7" ht="72">
      <c r="B1791" s="162" t="s">
        <v>678</v>
      </c>
      <c r="C1791" s="162" t="s">
        <v>5474</v>
      </c>
      <c r="D1791" s="162" t="s">
        <v>5472</v>
      </c>
      <c r="E1791" s="162" t="s">
        <v>5475</v>
      </c>
      <c r="F1791" s="162">
        <v>8225</v>
      </c>
      <c r="G1791" s="162">
        <v>1</v>
      </c>
    </row>
    <row r="1792" spans="2:7" ht="72">
      <c r="B1792" s="162" t="s">
        <v>678</v>
      </c>
      <c r="C1792" s="162" t="s">
        <v>5476</v>
      </c>
      <c r="D1792" s="162" t="s">
        <v>5477</v>
      </c>
      <c r="E1792" s="162" t="s">
        <v>5478</v>
      </c>
      <c r="F1792" s="162">
        <v>11910</v>
      </c>
      <c r="G1792" s="162">
        <v>1</v>
      </c>
    </row>
    <row r="1793" spans="2:7" ht="72">
      <c r="B1793" s="162" t="s">
        <v>678</v>
      </c>
      <c r="C1793" s="162" t="s">
        <v>5479</v>
      </c>
      <c r="D1793" s="162" t="s">
        <v>5477</v>
      </c>
      <c r="E1793" s="162" t="s">
        <v>5480</v>
      </c>
      <c r="F1793" s="162">
        <v>11910</v>
      </c>
      <c r="G1793" s="162">
        <v>1</v>
      </c>
    </row>
    <row r="1794" spans="2:7" ht="43.2">
      <c r="B1794" s="162" t="s">
        <v>678</v>
      </c>
      <c r="C1794" s="162" t="s">
        <v>5481</v>
      </c>
      <c r="D1794" s="162" t="s">
        <v>5482</v>
      </c>
      <c r="E1794" s="162" t="s">
        <v>5483</v>
      </c>
      <c r="F1794" s="162">
        <v>3635</v>
      </c>
      <c r="G1794" s="162">
        <v>1</v>
      </c>
    </row>
    <row r="1795" spans="2:7" ht="57.6">
      <c r="B1795" s="162" t="s">
        <v>678</v>
      </c>
      <c r="C1795" s="162" t="s">
        <v>5484</v>
      </c>
      <c r="D1795" s="162" t="s">
        <v>5485</v>
      </c>
      <c r="E1795" s="162" t="s">
        <v>5486</v>
      </c>
      <c r="F1795" s="162">
        <v>525</v>
      </c>
      <c r="G1795" s="162">
        <v>1</v>
      </c>
    </row>
    <row r="1796" spans="2:7" ht="57.6">
      <c r="B1796" s="162" t="s">
        <v>678</v>
      </c>
      <c r="C1796" s="162" t="s">
        <v>5487</v>
      </c>
      <c r="D1796" s="162" t="s">
        <v>5488</v>
      </c>
      <c r="E1796" s="162" t="s">
        <v>5489</v>
      </c>
      <c r="F1796" s="162">
        <v>2250</v>
      </c>
      <c r="G1796" s="162">
        <v>1</v>
      </c>
    </row>
    <row r="1797" spans="2:7" ht="57.6">
      <c r="B1797" s="162" t="s">
        <v>678</v>
      </c>
      <c r="C1797" s="162" t="s">
        <v>5490</v>
      </c>
      <c r="D1797" s="162" t="s">
        <v>5491</v>
      </c>
      <c r="E1797" s="162" t="s">
        <v>5492</v>
      </c>
      <c r="F1797" s="162">
        <v>2040</v>
      </c>
      <c r="G1797" s="162">
        <v>1</v>
      </c>
    </row>
    <row r="1798" spans="2:7" ht="57.6">
      <c r="B1798" s="162" t="s">
        <v>678</v>
      </c>
      <c r="C1798" s="162" t="s">
        <v>5493</v>
      </c>
      <c r="D1798" s="162" t="s">
        <v>5491</v>
      </c>
      <c r="E1798" s="162" t="s">
        <v>5494</v>
      </c>
      <c r="F1798" s="162">
        <v>2040</v>
      </c>
      <c r="G1798" s="162">
        <v>1</v>
      </c>
    </row>
    <row r="1799" spans="2:7" ht="57.6">
      <c r="B1799" s="162" t="s">
        <v>678</v>
      </c>
      <c r="C1799" s="162" t="s">
        <v>5495</v>
      </c>
      <c r="D1799" s="162" t="s">
        <v>5496</v>
      </c>
      <c r="E1799" s="162" t="s">
        <v>5497</v>
      </c>
      <c r="F1799" s="162">
        <v>2125</v>
      </c>
      <c r="G1799" s="162">
        <v>1</v>
      </c>
    </row>
    <row r="1800" spans="2:7" ht="43.2">
      <c r="B1800" s="162" t="s">
        <v>678</v>
      </c>
      <c r="C1800" s="162" t="s">
        <v>5498</v>
      </c>
      <c r="D1800" s="162" t="s">
        <v>5499</v>
      </c>
      <c r="E1800" s="162" t="s">
        <v>5500</v>
      </c>
      <c r="F1800" s="162">
        <v>3390</v>
      </c>
      <c r="G1800" s="162">
        <v>1</v>
      </c>
    </row>
    <row r="1801" spans="2:7" ht="43.2">
      <c r="B1801" s="162" t="s">
        <v>678</v>
      </c>
      <c r="C1801" s="162" t="s">
        <v>5501</v>
      </c>
      <c r="D1801" s="162" t="s">
        <v>5502</v>
      </c>
      <c r="E1801" s="162" t="s">
        <v>5503</v>
      </c>
      <c r="F1801" s="162">
        <v>1865</v>
      </c>
      <c r="G1801" s="162">
        <v>1</v>
      </c>
    </row>
    <row r="1802" spans="2:7" ht="57.6">
      <c r="B1802" s="162" t="s">
        <v>678</v>
      </c>
      <c r="C1802" s="162" t="s">
        <v>5504</v>
      </c>
      <c r="D1802" s="162" t="s">
        <v>5505</v>
      </c>
      <c r="E1802" s="162" t="s">
        <v>5506</v>
      </c>
      <c r="F1802" s="162">
        <v>1990</v>
      </c>
      <c r="G1802" s="162">
        <v>1</v>
      </c>
    </row>
    <row r="1803" spans="2:7" ht="57.6">
      <c r="B1803" s="162" t="s">
        <v>678</v>
      </c>
      <c r="C1803" s="162" t="s">
        <v>5507</v>
      </c>
      <c r="D1803" s="162" t="s">
        <v>5505</v>
      </c>
      <c r="E1803" s="162" t="s">
        <v>5508</v>
      </c>
      <c r="F1803" s="162">
        <v>1990</v>
      </c>
      <c r="G1803" s="162">
        <v>1</v>
      </c>
    </row>
    <row r="1804" spans="2:7" ht="57.6">
      <c r="B1804" s="162" t="s">
        <v>678</v>
      </c>
      <c r="C1804" s="162" t="s">
        <v>5509</v>
      </c>
      <c r="D1804" s="162" t="s">
        <v>5510</v>
      </c>
      <c r="E1804" s="162" t="s">
        <v>5511</v>
      </c>
      <c r="F1804" s="162">
        <v>2080</v>
      </c>
      <c r="G1804" s="162">
        <v>1</v>
      </c>
    </row>
    <row r="1805" spans="2:7" ht="43.2">
      <c r="B1805" s="162" t="s">
        <v>678</v>
      </c>
      <c r="C1805" s="162" t="s">
        <v>5512</v>
      </c>
      <c r="D1805" s="162" t="s">
        <v>5513</v>
      </c>
      <c r="E1805" s="162" t="s">
        <v>5514</v>
      </c>
      <c r="F1805" s="162">
        <v>1865</v>
      </c>
      <c r="G1805" s="162">
        <v>1</v>
      </c>
    </row>
    <row r="1806" spans="2:7" ht="43.2">
      <c r="B1806" s="162" t="s">
        <v>678</v>
      </c>
      <c r="C1806" s="162" t="s">
        <v>1113</v>
      </c>
      <c r="D1806" s="162" t="s">
        <v>5515</v>
      </c>
      <c r="E1806" s="162" t="s">
        <v>1114</v>
      </c>
      <c r="F1806" s="162">
        <v>1380</v>
      </c>
      <c r="G1806" s="162">
        <v>1</v>
      </c>
    </row>
    <row r="1807" spans="2:7" ht="43.2">
      <c r="B1807" s="162" t="s">
        <v>678</v>
      </c>
      <c r="C1807" s="162" t="s">
        <v>1115</v>
      </c>
      <c r="D1807" s="162" t="s">
        <v>5516</v>
      </c>
      <c r="E1807" s="162" t="s">
        <v>5517</v>
      </c>
      <c r="F1807" s="162">
        <v>1675</v>
      </c>
      <c r="G1807" s="162">
        <v>1</v>
      </c>
    </row>
    <row r="1808" spans="2:7" ht="72">
      <c r="B1808" s="162" t="s">
        <v>678</v>
      </c>
      <c r="C1808" s="162" t="s">
        <v>1121</v>
      </c>
      <c r="D1808" s="162" t="s">
        <v>5518</v>
      </c>
      <c r="E1808" s="162" t="s">
        <v>1122</v>
      </c>
      <c r="F1808" s="162">
        <v>2785</v>
      </c>
      <c r="G1808" s="162">
        <v>1</v>
      </c>
    </row>
    <row r="1809" spans="2:7" ht="28.8">
      <c r="B1809" s="162" t="s">
        <v>678</v>
      </c>
      <c r="C1809" s="162" t="s">
        <v>5519</v>
      </c>
      <c r="D1809" s="162" t="s">
        <v>5520</v>
      </c>
      <c r="E1809" s="162" t="s">
        <v>5521</v>
      </c>
      <c r="F1809" s="162">
        <v>115</v>
      </c>
      <c r="G1809" s="162">
        <v>1</v>
      </c>
    </row>
    <row r="1810" spans="2:7" ht="28.8">
      <c r="B1810" s="162" t="s">
        <v>678</v>
      </c>
      <c r="C1810" s="162" t="s">
        <v>5522</v>
      </c>
      <c r="D1810" s="162" t="s">
        <v>5523</v>
      </c>
      <c r="E1810" s="162" t="s">
        <v>5524</v>
      </c>
      <c r="F1810" s="162">
        <v>530</v>
      </c>
      <c r="G1810" s="162">
        <v>1</v>
      </c>
    </row>
    <row r="1811" spans="2:7" ht="43.2">
      <c r="B1811" s="162" t="s">
        <v>678</v>
      </c>
      <c r="C1811" s="162" t="s">
        <v>5525</v>
      </c>
      <c r="D1811" s="162" t="s">
        <v>5526</v>
      </c>
      <c r="E1811" s="162" t="s">
        <v>5527</v>
      </c>
      <c r="F1811" s="162">
        <v>265</v>
      </c>
      <c r="G1811" s="162">
        <v>1</v>
      </c>
    </row>
    <row r="1812" spans="2:7" ht="43.2">
      <c r="B1812" s="162" t="s">
        <v>678</v>
      </c>
      <c r="C1812" s="162" t="s">
        <v>5528</v>
      </c>
      <c r="D1812" s="162" t="s">
        <v>5529</v>
      </c>
      <c r="E1812" s="162" t="s">
        <v>5530</v>
      </c>
      <c r="F1812" s="162">
        <v>465</v>
      </c>
      <c r="G1812" s="162">
        <v>1</v>
      </c>
    </row>
    <row r="1813" spans="2:7" ht="57.6">
      <c r="B1813" s="162" t="s">
        <v>678</v>
      </c>
      <c r="C1813" s="162" t="s">
        <v>5531</v>
      </c>
      <c r="D1813" s="162" t="s">
        <v>5532</v>
      </c>
      <c r="E1813" s="162" t="s">
        <v>5533</v>
      </c>
      <c r="F1813" s="162">
        <v>4555</v>
      </c>
      <c r="G1813" s="162">
        <v>1</v>
      </c>
    </row>
    <row r="1814" spans="2:7" ht="28.8">
      <c r="B1814" s="162" t="s">
        <v>678</v>
      </c>
      <c r="C1814" s="162" t="s">
        <v>5534</v>
      </c>
      <c r="D1814" s="162" t="s">
        <v>5535</v>
      </c>
      <c r="E1814" s="162" t="s">
        <v>5536</v>
      </c>
      <c r="F1814" s="162">
        <v>54.6</v>
      </c>
      <c r="G1814" s="162">
        <v>1</v>
      </c>
    </row>
    <row r="1815" spans="2:7" ht="28.8">
      <c r="B1815" s="162" t="s">
        <v>678</v>
      </c>
      <c r="C1815" s="162" t="s">
        <v>1097</v>
      </c>
      <c r="D1815" s="162" t="s">
        <v>5537</v>
      </c>
      <c r="E1815" s="162" t="s">
        <v>1098</v>
      </c>
      <c r="F1815" s="162">
        <v>545</v>
      </c>
      <c r="G1815" s="162">
        <v>1</v>
      </c>
    </row>
    <row r="1816" spans="2:7" ht="28.8">
      <c r="B1816" s="162" t="s">
        <v>678</v>
      </c>
      <c r="C1816" s="162" t="s">
        <v>5534</v>
      </c>
      <c r="D1816" s="162" t="s">
        <v>5535</v>
      </c>
      <c r="E1816" s="162" t="s">
        <v>5536</v>
      </c>
      <c r="F1816" s="162">
        <v>54.6</v>
      </c>
      <c r="G1816" s="162">
        <v>1</v>
      </c>
    </row>
    <row r="1817" spans="2:7" ht="28.8">
      <c r="B1817" s="162" t="s">
        <v>678</v>
      </c>
      <c r="C1817" s="162" t="s">
        <v>5538</v>
      </c>
      <c r="D1817" s="162" t="s">
        <v>5539</v>
      </c>
      <c r="E1817" s="162" t="s">
        <v>5540</v>
      </c>
      <c r="F1817" s="162">
        <v>78.650000000000006</v>
      </c>
      <c r="G1817" s="162">
        <v>1</v>
      </c>
    </row>
    <row r="1818" spans="2:7" ht="28.8">
      <c r="B1818" s="162" t="s">
        <v>5543</v>
      </c>
      <c r="C1818" s="162" t="s">
        <v>5544</v>
      </c>
      <c r="D1818" s="162" t="s">
        <v>5545</v>
      </c>
      <c r="F1818" s="162">
        <v>1414</v>
      </c>
      <c r="G1818" s="162">
        <v>1</v>
      </c>
    </row>
    <row r="1819" spans="2:7">
      <c r="B1819" s="162" t="s">
        <v>5543</v>
      </c>
      <c r="C1819" s="162" t="s">
        <v>5546</v>
      </c>
      <c r="D1819" s="162" t="s">
        <v>5547</v>
      </c>
      <c r="F1819" s="162">
        <v>396</v>
      </c>
      <c r="G1819" s="162">
        <v>1</v>
      </c>
    </row>
    <row r="1820" spans="2:7">
      <c r="B1820" s="162" t="s">
        <v>5543</v>
      </c>
      <c r="C1820" s="162" t="s">
        <v>5548</v>
      </c>
      <c r="D1820" s="162" t="s">
        <v>5549</v>
      </c>
      <c r="F1820" s="162">
        <v>50</v>
      </c>
      <c r="G1820" s="162">
        <v>1</v>
      </c>
    </row>
    <row r="1821" spans="2:7" ht="43.2">
      <c r="B1821" s="162" t="s">
        <v>5543</v>
      </c>
      <c r="C1821" s="162" t="s">
        <v>5550</v>
      </c>
      <c r="D1821" s="162" t="s">
        <v>5551</v>
      </c>
      <c r="F1821" s="162">
        <v>1239</v>
      </c>
      <c r="G1821" s="162">
        <v>1</v>
      </c>
    </row>
    <row r="1822" spans="2:7" ht="43.2">
      <c r="B1822" s="162" t="s">
        <v>5543</v>
      </c>
      <c r="C1822" s="162" t="s">
        <v>5552</v>
      </c>
      <c r="D1822" s="162" t="s">
        <v>5553</v>
      </c>
      <c r="F1822" s="162">
        <v>1239</v>
      </c>
      <c r="G1822" s="162">
        <v>1</v>
      </c>
    </row>
    <row r="1823" spans="2:7" ht="43.2">
      <c r="B1823" s="162" t="s">
        <v>5543</v>
      </c>
      <c r="C1823" s="162" t="s">
        <v>5554</v>
      </c>
      <c r="D1823" s="162" t="s">
        <v>5555</v>
      </c>
      <c r="F1823" s="162">
        <v>1239</v>
      </c>
      <c r="G1823" s="162">
        <v>1</v>
      </c>
    </row>
    <row r="1824" spans="2:7" ht="43.2">
      <c r="B1824" s="162" t="s">
        <v>5543</v>
      </c>
      <c r="C1824" s="162" t="s">
        <v>5556</v>
      </c>
      <c r="D1824" s="162" t="s">
        <v>5557</v>
      </c>
      <c r="F1824" s="162">
        <v>1239</v>
      </c>
      <c r="G1824" s="162">
        <v>1</v>
      </c>
    </row>
    <row r="1825" spans="2:7" ht="43.2">
      <c r="B1825" s="162" t="s">
        <v>5543</v>
      </c>
      <c r="C1825" s="162" t="s">
        <v>5558</v>
      </c>
      <c r="D1825" s="162" t="s">
        <v>5559</v>
      </c>
      <c r="F1825" s="162">
        <v>2141</v>
      </c>
      <c r="G1825" s="162">
        <v>1</v>
      </c>
    </row>
    <row r="1826" spans="2:7" ht="43.2">
      <c r="B1826" s="162" t="s">
        <v>5543</v>
      </c>
      <c r="C1826" s="162" t="s">
        <v>5560</v>
      </c>
      <c r="D1826" s="162" t="s">
        <v>5561</v>
      </c>
      <c r="F1826" s="162">
        <v>2141</v>
      </c>
      <c r="G1826" s="162">
        <v>1</v>
      </c>
    </row>
    <row r="1827" spans="2:7" ht="43.2">
      <c r="B1827" s="162" t="s">
        <v>5543</v>
      </c>
      <c r="C1827" s="162" t="s">
        <v>5562</v>
      </c>
      <c r="D1827" s="162" t="s">
        <v>5563</v>
      </c>
      <c r="F1827" s="162">
        <v>1245</v>
      </c>
      <c r="G1827" s="162">
        <v>1</v>
      </c>
    </row>
    <row r="1828" spans="2:7" ht="57.6">
      <c r="B1828" s="162" t="s">
        <v>5543</v>
      </c>
      <c r="C1828" s="162" t="s">
        <v>5564</v>
      </c>
      <c r="D1828" s="162" t="s">
        <v>5565</v>
      </c>
      <c r="F1828" s="162">
        <v>1239</v>
      </c>
      <c r="G1828" s="162">
        <v>1</v>
      </c>
    </row>
    <row r="1829" spans="2:7" ht="57.6">
      <c r="B1829" s="162" t="s">
        <v>5543</v>
      </c>
      <c r="C1829" s="162" t="s">
        <v>5566</v>
      </c>
      <c r="D1829" s="162" t="s">
        <v>5567</v>
      </c>
      <c r="F1829" s="162">
        <v>1239</v>
      </c>
      <c r="G1829" s="162">
        <v>1</v>
      </c>
    </row>
    <row r="1830" spans="2:7" ht="57.6">
      <c r="B1830" s="162" t="s">
        <v>5543</v>
      </c>
      <c r="C1830" s="162" t="s">
        <v>5568</v>
      </c>
      <c r="D1830" s="162" t="s">
        <v>5569</v>
      </c>
      <c r="F1830" s="162">
        <v>1239</v>
      </c>
      <c r="G1830" s="162">
        <v>1</v>
      </c>
    </row>
    <row r="1831" spans="2:7" ht="57.6">
      <c r="B1831" s="162" t="s">
        <v>5543</v>
      </c>
      <c r="C1831" s="162" t="s">
        <v>5570</v>
      </c>
      <c r="D1831" s="162" t="s">
        <v>5571</v>
      </c>
      <c r="F1831" s="162">
        <v>1239</v>
      </c>
      <c r="G1831" s="162">
        <v>1</v>
      </c>
    </row>
    <row r="1832" spans="2:7" ht="43.2">
      <c r="B1832" s="162" t="s">
        <v>5543</v>
      </c>
      <c r="C1832" s="162" t="s">
        <v>5572</v>
      </c>
      <c r="D1832" s="162" t="s">
        <v>5573</v>
      </c>
      <c r="F1832" s="162">
        <v>183</v>
      </c>
      <c r="G1832" s="162">
        <v>1</v>
      </c>
    </row>
    <row r="1833" spans="2:7" ht="57.6">
      <c r="B1833" s="162" t="s">
        <v>5543</v>
      </c>
      <c r="C1833" s="162" t="s">
        <v>5574</v>
      </c>
      <c r="D1833" s="162" t="s">
        <v>5575</v>
      </c>
      <c r="F1833" s="162">
        <v>451.00000000000006</v>
      </c>
      <c r="G1833" s="162">
        <v>1</v>
      </c>
    </row>
    <row r="1834" spans="2:7" ht="57.6">
      <c r="B1834" s="162" t="s">
        <v>5543</v>
      </c>
      <c r="C1834" s="162" t="s">
        <v>5576</v>
      </c>
      <c r="D1834" s="162" t="s">
        <v>5577</v>
      </c>
      <c r="F1834" s="162">
        <v>451.00000000000006</v>
      </c>
      <c r="G1834" s="162">
        <v>1</v>
      </c>
    </row>
    <row r="1835" spans="2:7" ht="57.6">
      <c r="B1835" s="162" t="s">
        <v>5543</v>
      </c>
      <c r="C1835" s="162" t="s">
        <v>5578</v>
      </c>
      <c r="D1835" s="162" t="s">
        <v>5579</v>
      </c>
      <c r="F1835" s="162">
        <v>326</v>
      </c>
      <c r="G1835" s="162">
        <v>1</v>
      </c>
    </row>
    <row r="1836" spans="2:7" ht="57.6">
      <c r="B1836" s="162" t="s">
        <v>5543</v>
      </c>
      <c r="C1836" s="162" t="s">
        <v>5580</v>
      </c>
      <c r="D1836" s="162" t="s">
        <v>5579</v>
      </c>
      <c r="F1836" s="162">
        <v>326</v>
      </c>
      <c r="G1836" s="162">
        <v>1</v>
      </c>
    </row>
    <row r="1837" spans="2:7" ht="57.6">
      <c r="B1837" s="162" t="s">
        <v>5543</v>
      </c>
      <c r="C1837" s="162" t="s">
        <v>5581</v>
      </c>
      <c r="D1837" s="162" t="s">
        <v>5582</v>
      </c>
      <c r="F1837" s="162">
        <v>326</v>
      </c>
      <c r="G1837" s="162">
        <v>1</v>
      </c>
    </row>
    <row r="1838" spans="2:7" ht="57.6">
      <c r="B1838" s="162" t="s">
        <v>5543</v>
      </c>
      <c r="C1838" s="162" t="s">
        <v>5583</v>
      </c>
      <c r="D1838" s="162" t="s">
        <v>5584</v>
      </c>
      <c r="F1838" s="162">
        <v>326</v>
      </c>
      <c r="G1838" s="162">
        <v>1</v>
      </c>
    </row>
    <row r="1839" spans="2:7" ht="28.8">
      <c r="B1839" s="162" t="s">
        <v>5543</v>
      </c>
      <c r="C1839" s="162" t="s">
        <v>5585</v>
      </c>
      <c r="D1839" s="162" t="s">
        <v>5586</v>
      </c>
      <c r="F1839" s="162">
        <v>338</v>
      </c>
      <c r="G1839" s="162">
        <v>1</v>
      </c>
    </row>
    <row r="1840" spans="2:7" ht="28.8">
      <c r="B1840" s="162" t="s">
        <v>5543</v>
      </c>
      <c r="C1840" s="162" t="s">
        <v>5587</v>
      </c>
      <c r="D1840" s="162" t="s">
        <v>5588</v>
      </c>
      <c r="F1840" s="162">
        <v>338</v>
      </c>
      <c r="G1840" s="162">
        <v>1</v>
      </c>
    </row>
    <row r="1841" spans="2:7" ht="43.2">
      <c r="B1841" s="162" t="s">
        <v>5543</v>
      </c>
      <c r="C1841" s="162" t="s">
        <v>5589</v>
      </c>
      <c r="D1841" s="162" t="s">
        <v>5590</v>
      </c>
      <c r="F1841" s="162">
        <v>296</v>
      </c>
      <c r="G1841" s="162">
        <v>1</v>
      </c>
    </row>
    <row r="1842" spans="2:7" ht="43.2">
      <c r="B1842" s="162" t="s">
        <v>5543</v>
      </c>
      <c r="C1842" s="162" t="s">
        <v>5591</v>
      </c>
      <c r="D1842" s="162" t="s">
        <v>5592</v>
      </c>
      <c r="F1842" s="162">
        <v>327</v>
      </c>
      <c r="G1842" s="162">
        <v>1</v>
      </c>
    </row>
    <row r="1843" spans="2:7" ht="28.8">
      <c r="B1843" s="162" t="s">
        <v>5543</v>
      </c>
      <c r="C1843" s="162" t="s">
        <v>5593</v>
      </c>
      <c r="D1843" s="162" t="s">
        <v>5594</v>
      </c>
      <c r="F1843" s="162">
        <v>296</v>
      </c>
      <c r="G1843" s="162">
        <v>1</v>
      </c>
    </row>
    <row r="1844" spans="2:7" ht="28.8">
      <c r="B1844" s="162" t="s">
        <v>5543</v>
      </c>
      <c r="C1844" s="162" t="s">
        <v>5595</v>
      </c>
      <c r="D1844" s="162" t="s">
        <v>5596</v>
      </c>
      <c r="F1844" s="162">
        <v>502.99999999999994</v>
      </c>
      <c r="G1844" s="162">
        <v>1</v>
      </c>
    </row>
    <row r="1845" spans="2:7" ht="43.2">
      <c r="B1845" s="162" t="s">
        <v>5543</v>
      </c>
      <c r="C1845" s="162" t="s">
        <v>5597</v>
      </c>
      <c r="D1845" s="162" t="s">
        <v>5598</v>
      </c>
      <c r="F1845" s="162">
        <v>502.99999999999994</v>
      </c>
      <c r="G1845" s="162">
        <v>1</v>
      </c>
    </row>
    <row r="1846" spans="2:7" ht="43.2">
      <c r="B1846" s="162" t="s">
        <v>5543</v>
      </c>
      <c r="C1846" s="162" t="s">
        <v>5599</v>
      </c>
      <c r="D1846" s="162" t="s">
        <v>5600</v>
      </c>
      <c r="F1846" s="162">
        <v>536.00000000000011</v>
      </c>
      <c r="G1846" s="162">
        <v>1</v>
      </c>
    </row>
    <row r="1847" spans="2:7" ht="28.8">
      <c r="B1847" s="162" t="s">
        <v>5543</v>
      </c>
      <c r="C1847" s="162" t="s">
        <v>5601</v>
      </c>
      <c r="D1847" s="162" t="s">
        <v>5602</v>
      </c>
      <c r="F1847" s="162">
        <v>296</v>
      </c>
      <c r="G1847" s="162">
        <v>1</v>
      </c>
    </row>
    <row r="1848" spans="2:7" ht="43.2">
      <c r="B1848" s="162" t="s">
        <v>5543</v>
      </c>
      <c r="C1848" s="162" t="s">
        <v>5603</v>
      </c>
      <c r="D1848" s="162" t="s">
        <v>5604</v>
      </c>
      <c r="F1848" s="162">
        <v>327</v>
      </c>
      <c r="G1848" s="162">
        <v>1</v>
      </c>
    </row>
    <row r="1849" spans="2:7" ht="43.2">
      <c r="B1849" s="162" t="s">
        <v>5543</v>
      </c>
      <c r="C1849" s="162" t="s">
        <v>5605</v>
      </c>
      <c r="D1849" s="162" t="s">
        <v>5606</v>
      </c>
      <c r="F1849" s="162">
        <v>502.99999999999994</v>
      </c>
      <c r="G1849" s="162">
        <v>1</v>
      </c>
    </row>
    <row r="1850" spans="2:7" ht="43.2">
      <c r="B1850" s="162" t="s">
        <v>5543</v>
      </c>
      <c r="C1850" s="162" t="s">
        <v>5607</v>
      </c>
      <c r="D1850" s="162" t="s">
        <v>5608</v>
      </c>
      <c r="F1850" s="162">
        <v>536.00000000000011</v>
      </c>
      <c r="G1850" s="162">
        <v>1</v>
      </c>
    </row>
    <row r="1851" spans="2:7" ht="43.2">
      <c r="B1851" s="162" t="s">
        <v>5543</v>
      </c>
      <c r="C1851" s="162" t="s">
        <v>5609</v>
      </c>
      <c r="D1851" s="162" t="s">
        <v>5610</v>
      </c>
      <c r="F1851" s="162">
        <v>327</v>
      </c>
      <c r="G1851" s="162">
        <v>1</v>
      </c>
    </row>
    <row r="1852" spans="2:7" ht="43.2">
      <c r="B1852" s="162" t="s">
        <v>5543</v>
      </c>
      <c r="C1852" s="162" t="s">
        <v>5611</v>
      </c>
      <c r="D1852" s="162" t="s">
        <v>5612</v>
      </c>
      <c r="F1852" s="162">
        <v>177</v>
      </c>
      <c r="G1852" s="162">
        <v>1</v>
      </c>
    </row>
    <row r="1853" spans="2:7" ht="43.2">
      <c r="B1853" s="162" t="s">
        <v>5543</v>
      </c>
      <c r="C1853" s="162" t="s">
        <v>5613</v>
      </c>
      <c r="D1853" s="162" t="s">
        <v>5614</v>
      </c>
      <c r="F1853" s="162">
        <v>296</v>
      </c>
      <c r="G1853" s="162">
        <v>1</v>
      </c>
    </row>
    <row r="1854" spans="2:7" ht="43.2">
      <c r="B1854" s="162" t="s">
        <v>5543</v>
      </c>
      <c r="C1854" s="162" t="s">
        <v>5615</v>
      </c>
      <c r="D1854" s="162" t="s">
        <v>5616</v>
      </c>
      <c r="F1854" s="162">
        <v>327</v>
      </c>
      <c r="G1854" s="162">
        <v>1</v>
      </c>
    </row>
    <row r="1855" spans="2:7" ht="43.2">
      <c r="B1855" s="162" t="s">
        <v>5543</v>
      </c>
      <c r="C1855" s="162" t="s">
        <v>5617</v>
      </c>
      <c r="D1855" s="162" t="s">
        <v>5618</v>
      </c>
      <c r="F1855" s="162">
        <v>502.99999999999994</v>
      </c>
      <c r="G1855" s="162">
        <v>1</v>
      </c>
    </row>
    <row r="1856" spans="2:7" ht="43.2">
      <c r="B1856" s="162" t="s">
        <v>5543</v>
      </c>
      <c r="C1856" s="162" t="s">
        <v>5619</v>
      </c>
      <c r="D1856" s="162" t="s">
        <v>5620</v>
      </c>
      <c r="F1856" s="162">
        <v>502.99999999999994</v>
      </c>
      <c r="G1856" s="162">
        <v>1</v>
      </c>
    </row>
    <row r="1857" spans="2:7" ht="43.2">
      <c r="B1857" s="162" t="s">
        <v>5543</v>
      </c>
      <c r="C1857" s="162" t="s">
        <v>5621</v>
      </c>
      <c r="D1857" s="162" t="s">
        <v>5622</v>
      </c>
      <c r="F1857" s="162">
        <v>296</v>
      </c>
      <c r="G1857" s="162">
        <v>1</v>
      </c>
    </row>
    <row r="1858" spans="2:7" ht="43.2">
      <c r="B1858" s="162" t="s">
        <v>5543</v>
      </c>
      <c r="C1858" s="162" t="s">
        <v>5623</v>
      </c>
      <c r="D1858" s="162" t="s">
        <v>5624</v>
      </c>
      <c r="F1858" s="162">
        <v>327</v>
      </c>
      <c r="G1858" s="162">
        <v>1</v>
      </c>
    </row>
    <row r="1859" spans="2:7" ht="43.2">
      <c r="B1859" s="162" t="s">
        <v>5543</v>
      </c>
      <c r="C1859" s="162" t="s">
        <v>5625</v>
      </c>
      <c r="D1859" s="162" t="s">
        <v>5626</v>
      </c>
      <c r="F1859" s="162">
        <v>177</v>
      </c>
      <c r="G1859" s="162">
        <v>1</v>
      </c>
    </row>
    <row r="1860" spans="2:7" ht="43.2">
      <c r="B1860" s="162" t="s">
        <v>5543</v>
      </c>
      <c r="C1860" s="162" t="s">
        <v>5627</v>
      </c>
      <c r="D1860" s="162" t="s">
        <v>5628</v>
      </c>
      <c r="F1860" s="162">
        <v>296</v>
      </c>
      <c r="G1860" s="162">
        <v>1</v>
      </c>
    </row>
    <row r="1861" spans="2:7" ht="43.2">
      <c r="B1861" s="162" t="s">
        <v>5543</v>
      </c>
      <c r="C1861" s="162" t="s">
        <v>5629</v>
      </c>
      <c r="D1861" s="162" t="s">
        <v>5630</v>
      </c>
      <c r="F1861" s="162">
        <v>327</v>
      </c>
      <c r="G1861" s="162">
        <v>1</v>
      </c>
    </row>
    <row r="1862" spans="2:7" ht="43.2">
      <c r="B1862" s="162" t="s">
        <v>5543</v>
      </c>
      <c r="C1862" s="162" t="s">
        <v>5631</v>
      </c>
      <c r="D1862" s="162" t="s">
        <v>5632</v>
      </c>
      <c r="F1862" s="162">
        <v>502.99999999999994</v>
      </c>
      <c r="G1862" s="162">
        <v>1</v>
      </c>
    </row>
    <row r="1863" spans="2:7" ht="57.6">
      <c r="B1863" s="162" t="s">
        <v>5543</v>
      </c>
      <c r="C1863" s="162" t="s">
        <v>5633</v>
      </c>
      <c r="D1863" s="162" t="s">
        <v>5634</v>
      </c>
      <c r="F1863" s="162">
        <v>497.99999999999994</v>
      </c>
      <c r="G1863" s="162">
        <v>1</v>
      </c>
    </row>
    <row r="1864" spans="2:7" ht="43.2">
      <c r="B1864" s="162" t="s">
        <v>5543</v>
      </c>
      <c r="C1864" s="162" t="s">
        <v>5635</v>
      </c>
      <c r="D1864" s="162" t="s">
        <v>5636</v>
      </c>
      <c r="F1864" s="162">
        <v>497.99999999999994</v>
      </c>
      <c r="G1864" s="162">
        <v>1</v>
      </c>
    </row>
    <row r="1865" spans="2:7" ht="43.2">
      <c r="B1865" s="162" t="s">
        <v>5543</v>
      </c>
      <c r="C1865" s="162" t="s">
        <v>5637</v>
      </c>
      <c r="D1865" s="162" t="s">
        <v>5638</v>
      </c>
      <c r="F1865" s="162">
        <v>603</v>
      </c>
      <c r="G1865" s="162">
        <v>1</v>
      </c>
    </row>
    <row r="1866" spans="2:7" ht="43.2">
      <c r="B1866" s="162" t="s">
        <v>5543</v>
      </c>
      <c r="C1866" s="162" t="s">
        <v>5639</v>
      </c>
      <c r="D1866" s="162" t="s">
        <v>5640</v>
      </c>
      <c r="F1866" s="162">
        <v>603</v>
      </c>
      <c r="G1866" s="162">
        <v>1</v>
      </c>
    </row>
    <row r="1867" spans="2:7" ht="43.2">
      <c r="B1867" s="162" t="s">
        <v>5543</v>
      </c>
      <c r="C1867" s="162" t="s">
        <v>5641</v>
      </c>
      <c r="D1867" s="162" t="s">
        <v>5642</v>
      </c>
      <c r="F1867" s="162">
        <v>394</v>
      </c>
      <c r="G1867" s="162">
        <v>1</v>
      </c>
    </row>
    <row r="1868" spans="2:7" ht="43.2">
      <c r="B1868" s="162" t="s">
        <v>5543</v>
      </c>
      <c r="C1868" s="162" t="s">
        <v>5643</v>
      </c>
      <c r="D1868" s="162" t="s">
        <v>5644</v>
      </c>
      <c r="F1868" s="162">
        <v>394</v>
      </c>
      <c r="G1868" s="162">
        <v>1</v>
      </c>
    </row>
    <row r="1869" spans="2:7" ht="43.2">
      <c r="B1869" s="162" t="s">
        <v>5543</v>
      </c>
      <c r="C1869" s="162" t="s">
        <v>5645</v>
      </c>
      <c r="D1869" s="162" t="s">
        <v>5646</v>
      </c>
      <c r="F1869" s="162">
        <v>394</v>
      </c>
      <c r="G1869" s="162">
        <v>1</v>
      </c>
    </row>
    <row r="1870" spans="2:7" ht="57.6">
      <c r="B1870" s="162" t="s">
        <v>5543</v>
      </c>
      <c r="C1870" s="162" t="s">
        <v>5647</v>
      </c>
      <c r="D1870" s="162" t="s">
        <v>5648</v>
      </c>
      <c r="F1870" s="162">
        <v>394</v>
      </c>
      <c r="G1870" s="162">
        <v>1</v>
      </c>
    </row>
    <row r="1871" spans="2:7" ht="57.6">
      <c r="B1871" s="162" t="s">
        <v>5543</v>
      </c>
      <c r="C1871" s="162" t="s">
        <v>5649</v>
      </c>
      <c r="D1871" s="162" t="s">
        <v>5650</v>
      </c>
      <c r="F1871" s="162">
        <v>467</v>
      </c>
      <c r="G1871" s="162">
        <v>1</v>
      </c>
    </row>
    <row r="1872" spans="2:7" ht="57.6">
      <c r="B1872" s="162" t="s">
        <v>5543</v>
      </c>
      <c r="C1872" s="162" t="s">
        <v>5651</v>
      </c>
      <c r="D1872" s="162" t="s">
        <v>5652</v>
      </c>
      <c r="F1872" s="162">
        <v>467</v>
      </c>
      <c r="G1872" s="162">
        <v>1</v>
      </c>
    </row>
    <row r="1873" spans="2:7" ht="57.6">
      <c r="B1873" s="162" t="s">
        <v>5543</v>
      </c>
      <c r="C1873" s="162" t="s">
        <v>5653</v>
      </c>
      <c r="D1873" s="162" t="s">
        <v>5654</v>
      </c>
      <c r="F1873" s="162">
        <v>471.00000000000006</v>
      </c>
      <c r="G1873" s="162">
        <v>1</v>
      </c>
    </row>
    <row r="1874" spans="2:7" ht="57.6">
      <c r="B1874" s="162" t="s">
        <v>5543</v>
      </c>
      <c r="C1874" s="162" t="s">
        <v>5655</v>
      </c>
      <c r="D1874" s="162" t="s">
        <v>5656</v>
      </c>
      <c r="F1874" s="162">
        <v>596.00000000000011</v>
      </c>
      <c r="G1874" s="162">
        <v>1</v>
      </c>
    </row>
    <row r="1875" spans="2:7" ht="43.2">
      <c r="B1875" s="162" t="s">
        <v>5543</v>
      </c>
      <c r="C1875" s="162" t="s">
        <v>5657</v>
      </c>
      <c r="D1875" s="162" t="s">
        <v>5658</v>
      </c>
      <c r="F1875" s="162">
        <v>404</v>
      </c>
      <c r="G1875" s="162">
        <v>1</v>
      </c>
    </row>
    <row r="1876" spans="2:7" ht="43.2">
      <c r="B1876" s="162" t="s">
        <v>5543</v>
      </c>
      <c r="C1876" s="162" t="s">
        <v>5659</v>
      </c>
      <c r="D1876" s="162" t="s">
        <v>5660</v>
      </c>
      <c r="F1876" s="162">
        <v>394</v>
      </c>
      <c r="G1876" s="162">
        <v>1</v>
      </c>
    </row>
    <row r="1877" spans="2:7" ht="43.2">
      <c r="B1877" s="162" t="s">
        <v>5543</v>
      </c>
      <c r="C1877" s="162" t="s">
        <v>5661</v>
      </c>
      <c r="D1877" s="162" t="s">
        <v>5662</v>
      </c>
      <c r="F1877" s="162">
        <v>447.99999999999994</v>
      </c>
      <c r="G1877" s="162">
        <v>1</v>
      </c>
    </row>
    <row r="1878" spans="2:7" ht="115.2">
      <c r="B1878" s="162" t="s">
        <v>5543</v>
      </c>
      <c r="C1878" s="162" t="s">
        <v>5663</v>
      </c>
      <c r="D1878" s="162" t="s">
        <v>5664</v>
      </c>
      <c r="F1878" s="162">
        <v>1601</v>
      </c>
      <c r="G1878" s="162">
        <v>1</v>
      </c>
    </row>
    <row r="1879" spans="2:7" ht="57.6">
      <c r="B1879" s="162" t="s">
        <v>5543</v>
      </c>
      <c r="C1879" s="162" t="s">
        <v>5665</v>
      </c>
      <c r="D1879" s="162" t="s">
        <v>5666</v>
      </c>
      <c r="F1879" s="162">
        <v>1017</v>
      </c>
      <c r="G1879" s="162">
        <v>1</v>
      </c>
    </row>
    <row r="1880" spans="2:7" ht="100.8">
      <c r="B1880" s="162" t="s">
        <v>5543</v>
      </c>
      <c r="C1880" s="162" t="s">
        <v>5667</v>
      </c>
      <c r="D1880" s="162" t="s">
        <v>5668</v>
      </c>
      <c r="F1880" s="162">
        <v>1601</v>
      </c>
      <c r="G1880" s="162">
        <v>1</v>
      </c>
    </row>
    <row r="1881" spans="2:7" ht="115.2">
      <c r="B1881" s="162" t="s">
        <v>5543</v>
      </c>
      <c r="C1881" s="162" t="s">
        <v>5669</v>
      </c>
      <c r="D1881" s="162" t="s">
        <v>5670</v>
      </c>
      <c r="F1881" s="162">
        <v>1601</v>
      </c>
      <c r="G1881" s="162">
        <v>1</v>
      </c>
    </row>
    <row r="1882" spans="2:7" ht="57.6">
      <c r="B1882" s="162" t="s">
        <v>5543</v>
      </c>
      <c r="C1882" s="162" t="s">
        <v>5671</v>
      </c>
      <c r="D1882" s="162" t="s">
        <v>5672</v>
      </c>
      <c r="F1882" s="162">
        <v>1017</v>
      </c>
      <c r="G1882" s="162">
        <v>1</v>
      </c>
    </row>
    <row r="1883" spans="2:7" ht="72">
      <c r="B1883" s="162" t="s">
        <v>5543</v>
      </c>
      <c r="C1883" s="162" t="s">
        <v>5673</v>
      </c>
      <c r="D1883" s="162" t="s">
        <v>5674</v>
      </c>
      <c r="F1883" s="162">
        <v>455</v>
      </c>
      <c r="G1883" s="162">
        <v>1</v>
      </c>
    </row>
    <row r="1884" spans="2:7" ht="86.4">
      <c r="B1884" s="162" t="s">
        <v>5543</v>
      </c>
      <c r="C1884" s="162" t="s">
        <v>5675</v>
      </c>
      <c r="D1884" s="162" t="s">
        <v>5676</v>
      </c>
      <c r="F1884" s="162">
        <v>210</v>
      </c>
      <c r="G1884" s="162">
        <v>1</v>
      </c>
    </row>
    <row r="1885" spans="2:7" ht="43.2">
      <c r="B1885" s="162" t="s">
        <v>5543</v>
      </c>
      <c r="C1885" s="162" t="s">
        <v>5677</v>
      </c>
      <c r="D1885" s="162" t="s">
        <v>5678</v>
      </c>
      <c r="F1885" s="162">
        <v>390</v>
      </c>
      <c r="G1885" s="162">
        <v>1</v>
      </c>
    </row>
    <row r="1886" spans="2:7" ht="43.2">
      <c r="B1886" s="162" t="s">
        <v>5543</v>
      </c>
      <c r="C1886" s="162" t="s">
        <v>5679</v>
      </c>
      <c r="D1886" s="162" t="s">
        <v>5680</v>
      </c>
      <c r="F1886" s="162">
        <v>390</v>
      </c>
      <c r="G1886" s="162">
        <v>1</v>
      </c>
    </row>
    <row r="1887" spans="2:7" ht="43.2">
      <c r="B1887" s="162" t="s">
        <v>5543</v>
      </c>
      <c r="C1887" s="162" t="s">
        <v>5681</v>
      </c>
      <c r="D1887" s="162" t="s">
        <v>5682</v>
      </c>
      <c r="F1887" s="162">
        <v>233.99999999999997</v>
      </c>
      <c r="G1887" s="162">
        <v>1</v>
      </c>
    </row>
    <row r="1888" spans="2:7" ht="57.6">
      <c r="B1888" s="162" t="s">
        <v>5543</v>
      </c>
      <c r="C1888" s="162" t="s">
        <v>5683</v>
      </c>
      <c r="D1888" s="162" t="s">
        <v>5684</v>
      </c>
      <c r="F1888" s="162">
        <v>256</v>
      </c>
      <c r="G1888" s="162">
        <v>1</v>
      </c>
    </row>
    <row r="1889" spans="2:7" ht="57.6">
      <c r="B1889" s="162" t="s">
        <v>5543</v>
      </c>
      <c r="C1889" s="162" t="s">
        <v>5685</v>
      </c>
      <c r="D1889" s="162" t="s">
        <v>5686</v>
      </c>
      <c r="F1889" s="162">
        <v>264</v>
      </c>
      <c r="G1889" s="162">
        <v>1</v>
      </c>
    </row>
    <row r="1890" spans="2:7" ht="57.6">
      <c r="B1890" s="162" t="s">
        <v>5543</v>
      </c>
      <c r="C1890" s="162" t="s">
        <v>5687</v>
      </c>
      <c r="D1890" s="162" t="s">
        <v>5688</v>
      </c>
      <c r="F1890" s="162">
        <v>276</v>
      </c>
      <c r="G1890" s="162">
        <v>1</v>
      </c>
    </row>
    <row r="1891" spans="2:7" ht="28.8">
      <c r="B1891" s="162" t="s">
        <v>5543</v>
      </c>
      <c r="C1891" s="162" t="s">
        <v>5689</v>
      </c>
      <c r="D1891" s="162" t="s">
        <v>5690</v>
      </c>
      <c r="F1891" s="162">
        <v>439</v>
      </c>
      <c r="G1891" s="162">
        <v>1</v>
      </c>
    </row>
    <row r="1892" spans="2:7" ht="43.2">
      <c r="B1892" s="162" t="s">
        <v>5543</v>
      </c>
      <c r="C1892" s="162" t="s">
        <v>5691</v>
      </c>
      <c r="D1892" s="162" t="s">
        <v>5692</v>
      </c>
      <c r="F1892" s="162">
        <v>368</v>
      </c>
      <c r="G1892" s="162">
        <v>1</v>
      </c>
    </row>
    <row r="1893" spans="2:7" ht="57.6">
      <c r="B1893" s="162" t="s">
        <v>5543</v>
      </c>
      <c r="C1893" s="162" t="s">
        <v>5693</v>
      </c>
      <c r="D1893" s="162" t="s">
        <v>5694</v>
      </c>
      <c r="F1893" s="162">
        <v>419</v>
      </c>
      <c r="G1893" s="162">
        <v>1</v>
      </c>
    </row>
    <row r="1894" spans="2:7" ht="57.6">
      <c r="B1894" s="162" t="s">
        <v>5543</v>
      </c>
      <c r="C1894" s="162" t="s">
        <v>5695</v>
      </c>
      <c r="D1894" s="162" t="s">
        <v>5696</v>
      </c>
      <c r="F1894" s="162">
        <v>392</v>
      </c>
      <c r="G1894" s="162">
        <v>1</v>
      </c>
    </row>
    <row r="1895" spans="2:7" ht="43.2">
      <c r="B1895" s="162" t="s">
        <v>5543</v>
      </c>
      <c r="C1895" s="162" t="s">
        <v>5697</v>
      </c>
      <c r="D1895" s="162" t="s">
        <v>5698</v>
      </c>
      <c r="F1895" s="162">
        <v>439</v>
      </c>
      <c r="G1895" s="162">
        <v>1</v>
      </c>
    </row>
    <row r="1896" spans="2:7" ht="57.6">
      <c r="B1896" s="162" t="s">
        <v>5543</v>
      </c>
      <c r="C1896" s="162" t="s">
        <v>5699</v>
      </c>
      <c r="D1896" s="162" t="s">
        <v>5700</v>
      </c>
      <c r="F1896" s="162">
        <v>419</v>
      </c>
      <c r="G1896" s="162">
        <v>1</v>
      </c>
    </row>
    <row r="1897" spans="2:7" ht="43.2">
      <c r="B1897" s="162" t="s">
        <v>5543</v>
      </c>
      <c r="C1897" s="162" t="s">
        <v>5701</v>
      </c>
      <c r="D1897" s="162" t="s">
        <v>5702</v>
      </c>
      <c r="F1897" s="162">
        <v>368</v>
      </c>
      <c r="G1897" s="162">
        <v>1</v>
      </c>
    </row>
    <row r="1898" spans="2:7" ht="57.6">
      <c r="B1898" s="162" t="s">
        <v>5543</v>
      </c>
      <c r="C1898" s="162" t="s">
        <v>5703</v>
      </c>
      <c r="D1898" s="162" t="s">
        <v>5704</v>
      </c>
      <c r="F1898" s="162">
        <v>392</v>
      </c>
      <c r="G1898" s="162">
        <v>1</v>
      </c>
    </row>
    <row r="1899" spans="2:7" ht="43.2">
      <c r="B1899" s="162" t="s">
        <v>5543</v>
      </c>
      <c r="C1899" s="162" t="s">
        <v>5705</v>
      </c>
      <c r="D1899" s="162" t="s">
        <v>5706</v>
      </c>
      <c r="F1899" s="162">
        <v>454</v>
      </c>
      <c r="G1899" s="162">
        <v>1</v>
      </c>
    </row>
    <row r="1900" spans="2:7" ht="43.2">
      <c r="B1900" s="162" t="s">
        <v>5543</v>
      </c>
      <c r="C1900" s="162" t="s">
        <v>5707</v>
      </c>
      <c r="D1900" s="162" t="s">
        <v>5708</v>
      </c>
      <c r="F1900" s="162">
        <v>378</v>
      </c>
      <c r="G1900" s="162">
        <v>1</v>
      </c>
    </row>
    <row r="1901" spans="2:7" ht="57.6">
      <c r="B1901" s="162" t="s">
        <v>5543</v>
      </c>
      <c r="C1901" s="162" t="s">
        <v>5709</v>
      </c>
      <c r="D1901" s="162" t="s">
        <v>5710</v>
      </c>
      <c r="F1901" s="162">
        <v>429</v>
      </c>
      <c r="G1901" s="162">
        <v>1</v>
      </c>
    </row>
    <row r="1902" spans="2:7" ht="57.6">
      <c r="B1902" s="162" t="s">
        <v>5543</v>
      </c>
      <c r="C1902" s="162" t="s">
        <v>5711</v>
      </c>
      <c r="D1902" s="162" t="s">
        <v>5712</v>
      </c>
      <c r="F1902" s="162">
        <v>470</v>
      </c>
      <c r="G1902" s="162">
        <v>1</v>
      </c>
    </row>
    <row r="1903" spans="2:7" ht="57.6">
      <c r="B1903" s="162" t="s">
        <v>5543</v>
      </c>
      <c r="C1903" s="162" t="s">
        <v>5713</v>
      </c>
      <c r="D1903" s="162" t="s">
        <v>5714</v>
      </c>
      <c r="F1903" s="162">
        <v>407</v>
      </c>
      <c r="G1903" s="162">
        <v>1</v>
      </c>
    </row>
    <row r="1904" spans="2:7" ht="43.2">
      <c r="B1904" s="162" t="s">
        <v>5543</v>
      </c>
      <c r="C1904" s="162" t="s">
        <v>5715</v>
      </c>
      <c r="D1904" s="162" t="s">
        <v>5716</v>
      </c>
      <c r="F1904" s="162">
        <v>472.99999999999994</v>
      </c>
      <c r="G1904" s="162">
        <v>1</v>
      </c>
    </row>
    <row r="1905" spans="2:7" ht="43.2">
      <c r="B1905" s="162" t="s">
        <v>5543</v>
      </c>
      <c r="C1905" s="162" t="s">
        <v>5717</v>
      </c>
      <c r="D1905" s="162" t="s">
        <v>5718</v>
      </c>
      <c r="F1905" s="162">
        <v>394</v>
      </c>
      <c r="G1905" s="162">
        <v>1</v>
      </c>
    </row>
    <row r="1906" spans="2:7" ht="57.6">
      <c r="B1906" s="162" t="s">
        <v>5543</v>
      </c>
      <c r="C1906" s="162" t="s">
        <v>5719</v>
      </c>
      <c r="D1906" s="162" t="s">
        <v>5720</v>
      </c>
      <c r="F1906" s="162">
        <v>446.00000000000006</v>
      </c>
      <c r="G1906" s="162">
        <v>1</v>
      </c>
    </row>
    <row r="1907" spans="2:7" ht="43.2">
      <c r="B1907" s="162" t="s">
        <v>5543</v>
      </c>
      <c r="C1907" s="162" t="s">
        <v>5721</v>
      </c>
      <c r="D1907" s="162" t="s">
        <v>5722</v>
      </c>
      <c r="F1907" s="162">
        <v>475</v>
      </c>
      <c r="G1907" s="162">
        <v>1</v>
      </c>
    </row>
    <row r="1908" spans="2:7" ht="57.6">
      <c r="B1908" s="162" t="s">
        <v>5543</v>
      </c>
      <c r="C1908" s="162" t="s">
        <v>5723</v>
      </c>
      <c r="D1908" s="162" t="s">
        <v>5724</v>
      </c>
      <c r="F1908" s="162">
        <v>419</v>
      </c>
      <c r="G1908" s="162">
        <v>1</v>
      </c>
    </row>
    <row r="1909" spans="2:7" ht="28.8">
      <c r="B1909" s="162" t="s">
        <v>5543</v>
      </c>
      <c r="C1909" s="162" t="s">
        <v>5725</v>
      </c>
      <c r="D1909" s="162" t="s">
        <v>5726</v>
      </c>
      <c r="F1909" s="162">
        <v>496.00000000000006</v>
      </c>
      <c r="G1909" s="162">
        <v>1</v>
      </c>
    </row>
    <row r="1910" spans="2:7" ht="43.2">
      <c r="B1910" s="162" t="s">
        <v>5543</v>
      </c>
      <c r="C1910" s="162" t="s">
        <v>5727</v>
      </c>
      <c r="D1910" s="162" t="s">
        <v>5728</v>
      </c>
      <c r="F1910" s="162">
        <v>415</v>
      </c>
      <c r="G1910" s="162">
        <v>1</v>
      </c>
    </row>
    <row r="1911" spans="2:7" ht="57.6">
      <c r="B1911" s="162" t="s">
        <v>5543</v>
      </c>
      <c r="C1911" s="162" t="s">
        <v>5729</v>
      </c>
      <c r="D1911" s="162" t="s">
        <v>5730</v>
      </c>
      <c r="F1911" s="162">
        <v>467</v>
      </c>
      <c r="G1911" s="162">
        <v>1</v>
      </c>
    </row>
    <row r="1912" spans="2:7" ht="57.6">
      <c r="B1912" s="162" t="s">
        <v>5543</v>
      </c>
      <c r="C1912" s="162" t="s">
        <v>5731</v>
      </c>
      <c r="D1912" s="162" t="s">
        <v>5732</v>
      </c>
      <c r="F1912" s="162">
        <v>436.00000000000006</v>
      </c>
      <c r="G1912" s="162">
        <v>1</v>
      </c>
    </row>
    <row r="1913" spans="2:7" ht="28.8">
      <c r="B1913" s="162" t="s">
        <v>5543</v>
      </c>
      <c r="C1913" s="162" t="s">
        <v>5733</v>
      </c>
      <c r="D1913" s="162" t="s">
        <v>5726</v>
      </c>
      <c r="F1913" s="162">
        <v>560</v>
      </c>
      <c r="G1913" s="162">
        <v>1</v>
      </c>
    </row>
    <row r="1914" spans="2:7" ht="43.2">
      <c r="B1914" s="162" t="s">
        <v>5543</v>
      </c>
      <c r="C1914" s="162" t="s">
        <v>5734</v>
      </c>
      <c r="D1914" s="162" t="s">
        <v>5735</v>
      </c>
      <c r="F1914" s="162">
        <v>445</v>
      </c>
      <c r="G1914" s="162">
        <v>1</v>
      </c>
    </row>
    <row r="1915" spans="2:7" ht="57.6">
      <c r="B1915" s="162" t="s">
        <v>5543</v>
      </c>
      <c r="C1915" s="162" t="s">
        <v>5736</v>
      </c>
      <c r="D1915" s="162" t="s">
        <v>5737</v>
      </c>
      <c r="F1915" s="162">
        <v>496.00000000000006</v>
      </c>
      <c r="G1915" s="162">
        <v>1</v>
      </c>
    </row>
    <row r="1916" spans="2:7" ht="57.6">
      <c r="B1916" s="162" t="s">
        <v>5543</v>
      </c>
      <c r="C1916" s="162" t="s">
        <v>5738</v>
      </c>
      <c r="D1916" s="162" t="s">
        <v>5739</v>
      </c>
      <c r="F1916" s="162">
        <v>470</v>
      </c>
      <c r="G1916" s="162">
        <v>1</v>
      </c>
    </row>
    <row r="1917" spans="2:7" ht="28.8">
      <c r="B1917" s="162" t="s">
        <v>5543</v>
      </c>
      <c r="C1917" s="162" t="s">
        <v>5740</v>
      </c>
      <c r="D1917" s="162" t="s">
        <v>5741</v>
      </c>
      <c r="F1917" s="162">
        <v>223.00000000000003</v>
      </c>
      <c r="G1917" s="162">
        <v>1</v>
      </c>
    </row>
    <row r="1918" spans="2:7" ht="43.2">
      <c r="B1918" s="162" t="s">
        <v>5543</v>
      </c>
      <c r="C1918" s="162" t="s">
        <v>5742</v>
      </c>
      <c r="D1918" s="162" t="s">
        <v>5743</v>
      </c>
      <c r="F1918" s="162">
        <v>408</v>
      </c>
      <c r="G1918" s="162">
        <v>1</v>
      </c>
    </row>
    <row r="1919" spans="2:7" ht="43.2">
      <c r="B1919" s="162" t="s">
        <v>5543</v>
      </c>
      <c r="C1919" s="162" t="s">
        <v>5744</v>
      </c>
      <c r="D1919" s="162" t="s">
        <v>5745</v>
      </c>
      <c r="F1919" s="162">
        <v>408</v>
      </c>
      <c r="G1919" s="162">
        <v>1</v>
      </c>
    </row>
    <row r="1920" spans="2:7" ht="43.2">
      <c r="B1920" s="162" t="s">
        <v>5543</v>
      </c>
      <c r="C1920" s="162" t="s">
        <v>5746</v>
      </c>
      <c r="D1920" s="162" t="s">
        <v>5747</v>
      </c>
      <c r="F1920" s="162">
        <v>408</v>
      </c>
      <c r="G1920" s="162">
        <v>1</v>
      </c>
    </row>
    <row r="1921" spans="2:7" ht="43.2">
      <c r="B1921" s="162" t="s">
        <v>5543</v>
      </c>
      <c r="C1921" s="162" t="s">
        <v>5748</v>
      </c>
      <c r="D1921" s="162" t="s">
        <v>5749</v>
      </c>
      <c r="F1921" s="162">
        <v>408</v>
      </c>
      <c r="G1921" s="162">
        <v>1</v>
      </c>
    </row>
    <row r="1922" spans="2:7" ht="43.2">
      <c r="B1922" s="162" t="s">
        <v>5543</v>
      </c>
      <c r="C1922" s="162" t="s">
        <v>5750</v>
      </c>
      <c r="D1922" s="162" t="s">
        <v>5751</v>
      </c>
      <c r="F1922" s="162">
        <v>710</v>
      </c>
      <c r="G1922" s="162">
        <v>1</v>
      </c>
    </row>
    <row r="1923" spans="2:7" ht="57.6">
      <c r="B1923" s="162" t="s">
        <v>5543</v>
      </c>
      <c r="C1923" s="162" t="s">
        <v>5752</v>
      </c>
      <c r="D1923" s="162" t="s">
        <v>5753</v>
      </c>
      <c r="F1923" s="162">
        <v>734</v>
      </c>
      <c r="G1923" s="162">
        <v>1</v>
      </c>
    </row>
    <row r="1924" spans="2:7" ht="28.8">
      <c r="B1924" s="162" t="s">
        <v>5543</v>
      </c>
      <c r="C1924" s="162" t="s">
        <v>5754</v>
      </c>
      <c r="D1924" s="162" t="s">
        <v>5755</v>
      </c>
      <c r="F1924" s="162">
        <v>376</v>
      </c>
      <c r="G1924" s="162">
        <v>1</v>
      </c>
    </row>
    <row r="1925" spans="2:7" ht="57.6">
      <c r="B1925" s="162" t="s">
        <v>5543</v>
      </c>
      <c r="C1925" s="162" t="s">
        <v>5756</v>
      </c>
      <c r="D1925" s="162" t="s">
        <v>5757</v>
      </c>
      <c r="F1925" s="162">
        <v>516.00000000000011</v>
      </c>
      <c r="G1925" s="162">
        <v>1</v>
      </c>
    </row>
    <row r="1926" spans="2:7" ht="43.2">
      <c r="B1926" s="162" t="s">
        <v>5543</v>
      </c>
      <c r="C1926" s="162" t="s">
        <v>5758</v>
      </c>
      <c r="D1926" s="162" t="s">
        <v>5759</v>
      </c>
      <c r="F1926" s="162">
        <v>500</v>
      </c>
      <c r="G1926" s="162">
        <v>1</v>
      </c>
    </row>
    <row r="1927" spans="2:7" ht="57.6">
      <c r="B1927" s="162" t="s">
        <v>5543</v>
      </c>
      <c r="C1927" s="162" t="s">
        <v>5760</v>
      </c>
      <c r="D1927" s="162" t="s">
        <v>5761</v>
      </c>
      <c r="F1927" s="162">
        <v>551.00000000000011</v>
      </c>
      <c r="G1927" s="162">
        <v>1</v>
      </c>
    </row>
    <row r="1928" spans="2:7" ht="28.8">
      <c r="B1928" s="162" t="s">
        <v>5543</v>
      </c>
      <c r="C1928" s="162" t="s">
        <v>5762</v>
      </c>
      <c r="D1928" s="162" t="s">
        <v>5763</v>
      </c>
      <c r="F1928" s="162">
        <v>376</v>
      </c>
      <c r="G1928" s="162">
        <v>1</v>
      </c>
    </row>
    <row r="1929" spans="2:7" ht="43.2">
      <c r="B1929" s="162" t="s">
        <v>5543</v>
      </c>
      <c r="C1929" s="162" t="s">
        <v>5764</v>
      </c>
      <c r="D1929" s="162" t="s">
        <v>5765</v>
      </c>
      <c r="F1929" s="162">
        <v>528</v>
      </c>
      <c r="G1929" s="162">
        <v>1</v>
      </c>
    </row>
    <row r="1930" spans="2:7" ht="43.2">
      <c r="B1930" s="162" t="s">
        <v>5543</v>
      </c>
      <c r="C1930" s="162" t="s">
        <v>5766</v>
      </c>
      <c r="D1930" s="162" t="s">
        <v>5767</v>
      </c>
      <c r="F1930" s="162">
        <v>500</v>
      </c>
      <c r="G1930" s="162">
        <v>1</v>
      </c>
    </row>
    <row r="1931" spans="2:7" ht="57.6">
      <c r="B1931" s="162" t="s">
        <v>5543</v>
      </c>
      <c r="C1931" s="162" t="s">
        <v>5768</v>
      </c>
      <c r="D1931" s="162" t="s">
        <v>5769</v>
      </c>
      <c r="F1931" s="162">
        <v>551.00000000000011</v>
      </c>
      <c r="G1931" s="162">
        <v>1</v>
      </c>
    </row>
    <row r="1932" spans="2:7" ht="43.2">
      <c r="B1932" s="162" t="s">
        <v>5543</v>
      </c>
      <c r="C1932" s="162" t="s">
        <v>5770</v>
      </c>
      <c r="D1932" s="162" t="s">
        <v>5771</v>
      </c>
      <c r="F1932" s="162">
        <v>528</v>
      </c>
      <c r="G1932" s="162">
        <v>1</v>
      </c>
    </row>
    <row r="1933" spans="2:7" ht="43.2">
      <c r="B1933" s="162" t="s">
        <v>5543</v>
      </c>
      <c r="C1933" s="162" t="s">
        <v>5772</v>
      </c>
      <c r="D1933" s="162" t="s">
        <v>5773</v>
      </c>
      <c r="F1933" s="162">
        <v>621.00000000000011</v>
      </c>
      <c r="G1933" s="162">
        <v>1</v>
      </c>
    </row>
    <row r="1934" spans="2:7" ht="43.2">
      <c r="B1934" s="162" t="s">
        <v>5543</v>
      </c>
      <c r="C1934" s="162" t="s">
        <v>5774</v>
      </c>
      <c r="D1934" s="162" t="s">
        <v>5775</v>
      </c>
      <c r="F1934" s="162">
        <v>650</v>
      </c>
      <c r="G1934" s="162">
        <v>1</v>
      </c>
    </row>
    <row r="1935" spans="2:7" ht="57.6">
      <c r="B1935" s="162" t="s">
        <v>5543</v>
      </c>
      <c r="C1935" s="162" t="s">
        <v>5776</v>
      </c>
      <c r="D1935" s="162" t="s">
        <v>5777</v>
      </c>
      <c r="F1935" s="162">
        <v>755</v>
      </c>
      <c r="G1935" s="162">
        <v>1</v>
      </c>
    </row>
    <row r="1936" spans="2:7" ht="57.6">
      <c r="B1936" s="162" t="s">
        <v>5543</v>
      </c>
      <c r="C1936" s="162" t="s">
        <v>5778</v>
      </c>
      <c r="D1936" s="162" t="s">
        <v>5779</v>
      </c>
      <c r="F1936" s="162">
        <v>482.99999999999994</v>
      </c>
      <c r="G1936" s="162">
        <v>1</v>
      </c>
    </row>
    <row r="1937" spans="2:7" ht="57.6">
      <c r="B1937" s="162" t="s">
        <v>5543</v>
      </c>
      <c r="C1937" s="162" t="s">
        <v>5780</v>
      </c>
      <c r="D1937" s="162" t="s">
        <v>5781</v>
      </c>
      <c r="F1937" s="162">
        <v>482.99999999999994</v>
      </c>
      <c r="G1937" s="162">
        <v>1</v>
      </c>
    </row>
    <row r="1938" spans="2:7" ht="57.6">
      <c r="B1938" s="162" t="s">
        <v>5543</v>
      </c>
      <c r="C1938" s="162" t="s">
        <v>5782</v>
      </c>
      <c r="D1938" s="162" t="s">
        <v>5783</v>
      </c>
      <c r="F1938" s="162">
        <v>482.99999999999994</v>
      </c>
      <c r="G1938" s="162">
        <v>1</v>
      </c>
    </row>
    <row r="1939" spans="2:7" ht="57.6">
      <c r="B1939" s="162" t="s">
        <v>5543</v>
      </c>
      <c r="C1939" s="162" t="s">
        <v>5784</v>
      </c>
      <c r="D1939" s="162" t="s">
        <v>5785</v>
      </c>
      <c r="F1939" s="162">
        <v>482.99999999999994</v>
      </c>
      <c r="G1939" s="162">
        <v>1</v>
      </c>
    </row>
    <row r="1940" spans="2:7" ht="43.2">
      <c r="B1940" s="162" t="s">
        <v>5543</v>
      </c>
      <c r="C1940" s="162" t="s">
        <v>5786</v>
      </c>
      <c r="D1940" s="162" t="s">
        <v>5787</v>
      </c>
      <c r="F1940" s="162">
        <v>299</v>
      </c>
      <c r="G1940" s="162">
        <v>1</v>
      </c>
    </row>
    <row r="1941" spans="2:7" ht="43.2">
      <c r="B1941" s="162" t="s">
        <v>5543</v>
      </c>
      <c r="C1941" s="162" t="s">
        <v>5788</v>
      </c>
      <c r="D1941" s="162" t="s">
        <v>5789</v>
      </c>
      <c r="F1941" s="162">
        <v>318.00000000000006</v>
      </c>
      <c r="G1941" s="162">
        <v>1</v>
      </c>
    </row>
    <row r="1942" spans="2:7" ht="43.2">
      <c r="B1942" s="162" t="s">
        <v>5543</v>
      </c>
      <c r="C1942" s="162" t="s">
        <v>5790</v>
      </c>
      <c r="D1942" s="162" t="s">
        <v>5791</v>
      </c>
      <c r="F1942" s="162">
        <v>427</v>
      </c>
      <c r="G1942" s="162">
        <v>1</v>
      </c>
    </row>
    <row r="1943" spans="2:7" ht="43.2">
      <c r="B1943" s="162" t="s">
        <v>5543</v>
      </c>
      <c r="C1943" s="162" t="s">
        <v>5792</v>
      </c>
      <c r="D1943" s="162" t="s">
        <v>5793</v>
      </c>
      <c r="F1943" s="162">
        <v>437</v>
      </c>
      <c r="G1943" s="162">
        <v>1</v>
      </c>
    </row>
    <row r="1944" spans="2:7" ht="28.8">
      <c r="B1944" s="162" t="s">
        <v>5543</v>
      </c>
      <c r="C1944" s="162" t="s">
        <v>5794</v>
      </c>
      <c r="D1944" s="162" t="s">
        <v>5795</v>
      </c>
      <c r="F1944" s="162">
        <v>309</v>
      </c>
      <c r="G1944" s="162">
        <v>1</v>
      </c>
    </row>
    <row r="1945" spans="2:7" ht="43.2">
      <c r="B1945" s="162" t="s">
        <v>5543</v>
      </c>
      <c r="C1945" s="162" t="s">
        <v>5796</v>
      </c>
      <c r="D1945" s="162" t="s">
        <v>5797</v>
      </c>
      <c r="F1945" s="162">
        <v>171</v>
      </c>
      <c r="G1945" s="162">
        <v>1</v>
      </c>
    </row>
    <row r="1946" spans="2:7">
      <c r="B1946" s="162" t="s">
        <v>5543</v>
      </c>
      <c r="C1946" s="162" t="s">
        <v>5798</v>
      </c>
      <c r="D1946" s="162" t="s">
        <v>5799</v>
      </c>
      <c r="F1946" s="162">
        <v>323</v>
      </c>
      <c r="G1946" s="162">
        <v>1</v>
      </c>
    </row>
    <row r="1947" spans="2:7" ht="72">
      <c r="B1947" s="162" t="s">
        <v>5543</v>
      </c>
      <c r="C1947" s="162" t="s">
        <v>5800</v>
      </c>
      <c r="D1947" s="162" t="s">
        <v>5801</v>
      </c>
      <c r="F1947" s="162">
        <v>4804</v>
      </c>
      <c r="G1947" s="162">
        <v>1</v>
      </c>
    </row>
    <row r="1948" spans="2:7" ht="72">
      <c r="B1948" s="162" t="s">
        <v>5543</v>
      </c>
      <c r="C1948" s="162" t="s">
        <v>5802</v>
      </c>
      <c r="D1948" s="162" t="s">
        <v>5803</v>
      </c>
      <c r="F1948" s="162">
        <v>4804</v>
      </c>
      <c r="G1948" s="162">
        <v>1</v>
      </c>
    </row>
    <row r="1949" spans="2:7" ht="72">
      <c r="B1949" s="162" t="s">
        <v>5543</v>
      </c>
      <c r="C1949" s="162" t="s">
        <v>5804</v>
      </c>
      <c r="D1949" s="162" t="s">
        <v>5805</v>
      </c>
      <c r="F1949" s="162">
        <v>5531</v>
      </c>
      <c r="G1949" s="162">
        <v>1</v>
      </c>
    </row>
    <row r="1950" spans="2:7" ht="57.6">
      <c r="B1950" s="162" t="s">
        <v>5543</v>
      </c>
      <c r="C1950" s="162" t="s">
        <v>5806</v>
      </c>
      <c r="D1950" s="162" t="s">
        <v>5807</v>
      </c>
      <c r="F1950" s="162">
        <v>4353.0000000000009</v>
      </c>
      <c r="G1950" s="162">
        <v>1</v>
      </c>
    </row>
    <row r="1951" spans="2:7" ht="57.6">
      <c r="B1951" s="162" t="s">
        <v>5543</v>
      </c>
      <c r="C1951" s="162" t="s">
        <v>5808</v>
      </c>
      <c r="D1951" s="162" t="s">
        <v>5809</v>
      </c>
      <c r="F1951" s="162">
        <v>4353.0000000000009</v>
      </c>
      <c r="G1951" s="162">
        <v>1</v>
      </c>
    </row>
    <row r="1952" spans="2:7" ht="72">
      <c r="B1952" s="162" t="s">
        <v>5543</v>
      </c>
      <c r="C1952" s="162" t="s">
        <v>5810</v>
      </c>
      <c r="D1952" s="162" t="s">
        <v>5811</v>
      </c>
      <c r="F1952" s="162">
        <v>5078.0000000000009</v>
      </c>
      <c r="G1952" s="162">
        <v>1</v>
      </c>
    </row>
    <row r="1953" spans="2:7" ht="43.2">
      <c r="B1953" s="162" t="s">
        <v>5543</v>
      </c>
      <c r="C1953" s="162" t="s">
        <v>5812</v>
      </c>
      <c r="D1953" s="162" t="s">
        <v>5813</v>
      </c>
      <c r="F1953" s="162">
        <v>198</v>
      </c>
      <c r="G1953" s="162">
        <v>1</v>
      </c>
    </row>
    <row r="1954" spans="2:7" ht="57.6">
      <c r="B1954" s="162" t="s">
        <v>5543</v>
      </c>
      <c r="C1954" s="162" t="s">
        <v>5814</v>
      </c>
      <c r="D1954" s="162" t="s">
        <v>5815</v>
      </c>
      <c r="F1954" s="162">
        <v>1364</v>
      </c>
      <c r="G1954" s="162">
        <v>1</v>
      </c>
    </row>
    <row r="1955" spans="2:7" ht="72">
      <c r="B1955" s="162" t="s">
        <v>5543</v>
      </c>
      <c r="C1955" s="162" t="s">
        <v>5816</v>
      </c>
      <c r="D1955" s="162" t="s">
        <v>5817</v>
      </c>
      <c r="F1955" s="162">
        <v>1528</v>
      </c>
      <c r="G1955" s="162">
        <v>1</v>
      </c>
    </row>
    <row r="1956" spans="2:7" ht="28.8">
      <c r="B1956" s="162" t="s">
        <v>5543</v>
      </c>
      <c r="C1956" s="162" t="s">
        <v>5818</v>
      </c>
      <c r="D1956" s="162" t="s">
        <v>5819</v>
      </c>
      <c r="F1956" s="162">
        <v>387</v>
      </c>
      <c r="G1956" s="162">
        <v>1</v>
      </c>
    </row>
    <row r="1957" spans="2:7" ht="28.8">
      <c r="B1957" s="162" t="s">
        <v>5543</v>
      </c>
      <c r="C1957" s="162" t="s">
        <v>5820</v>
      </c>
      <c r="D1957" s="162" t="s">
        <v>5821</v>
      </c>
      <c r="F1957" s="162">
        <v>538</v>
      </c>
      <c r="G1957" s="162">
        <v>1</v>
      </c>
    </row>
    <row r="1958" spans="2:7" ht="43.2">
      <c r="B1958" s="162" t="s">
        <v>5543</v>
      </c>
      <c r="C1958" s="162" t="s">
        <v>5822</v>
      </c>
      <c r="D1958" s="162" t="s">
        <v>5823</v>
      </c>
      <c r="F1958" s="162">
        <v>180</v>
      </c>
      <c r="G1958" s="162">
        <v>1</v>
      </c>
    </row>
    <row r="1959" spans="2:7" ht="43.2">
      <c r="B1959" s="162" t="s">
        <v>5543</v>
      </c>
      <c r="C1959" s="162" t="s">
        <v>5824</v>
      </c>
      <c r="D1959" s="162" t="s">
        <v>5825</v>
      </c>
      <c r="F1959" s="162">
        <v>633</v>
      </c>
      <c r="G1959" s="162">
        <v>1</v>
      </c>
    </row>
    <row r="1960" spans="2:7" ht="43.2">
      <c r="B1960" s="162" t="s">
        <v>5543</v>
      </c>
      <c r="C1960" s="162" t="s">
        <v>5826</v>
      </c>
      <c r="D1960" s="162" t="s">
        <v>5827</v>
      </c>
      <c r="F1960" s="162">
        <v>171</v>
      </c>
      <c r="G1960" s="162">
        <v>1</v>
      </c>
    </row>
    <row r="1961" spans="2:7" ht="43.2">
      <c r="B1961" s="162" t="s">
        <v>5543</v>
      </c>
      <c r="C1961" s="162" t="s">
        <v>5828</v>
      </c>
      <c r="D1961" s="162" t="s">
        <v>5829</v>
      </c>
      <c r="F1961" s="162">
        <v>223.00000000000003</v>
      </c>
      <c r="G1961" s="162">
        <v>1</v>
      </c>
    </row>
    <row r="1962" spans="2:7" ht="43.2">
      <c r="B1962" s="162" t="s">
        <v>5543</v>
      </c>
      <c r="C1962" s="162" t="s">
        <v>5830</v>
      </c>
      <c r="D1962" s="162" t="s">
        <v>5831</v>
      </c>
      <c r="F1962" s="162">
        <v>726</v>
      </c>
      <c r="G1962" s="162">
        <v>1</v>
      </c>
    </row>
    <row r="1963" spans="2:7" ht="43.2">
      <c r="B1963" s="162" t="s">
        <v>5543</v>
      </c>
      <c r="C1963" s="162" t="s">
        <v>5832</v>
      </c>
      <c r="D1963" s="162" t="s">
        <v>5833</v>
      </c>
      <c r="F1963" s="162">
        <v>726</v>
      </c>
      <c r="G1963" s="162">
        <v>1</v>
      </c>
    </row>
    <row r="1964" spans="2:7" ht="43.2">
      <c r="B1964" s="162" t="s">
        <v>5543</v>
      </c>
      <c r="C1964" s="162" t="s">
        <v>5834</v>
      </c>
      <c r="D1964" s="162" t="s">
        <v>5835</v>
      </c>
      <c r="F1964" s="162">
        <v>726</v>
      </c>
      <c r="G1964" s="162">
        <v>1</v>
      </c>
    </row>
    <row r="1965" spans="2:7" ht="43.2">
      <c r="B1965" s="162" t="s">
        <v>5543</v>
      </c>
      <c r="C1965" s="162" t="s">
        <v>5836</v>
      </c>
      <c r="D1965" s="162" t="s">
        <v>5837</v>
      </c>
      <c r="F1965" s="162">
        <v>726</v>
      </c>
      <c r="G1965" s="162">
        <v>1</v>
      </c>
    </row>
    <row r="1966" spans="2:7" ht="57.6">
      <c r="B1966" s="162" t="s">
        <v>5543</v>
      </c>
      <c r="C1966" s="162" t="s">
        <v>5838</v>
      </c>
      <c r="D1966" s="162" t="s">
        <v>5839</v>
      </c>
      <c r="F1966" s="162">
        <v>1268</v>
      </c>
      <c r="G1966" s="162">
        <v>1</v>
      </c>
    </row>
    <row r="1967" spans="2:7" ht="57.6">
      <c r="B1967" s="162" t="s">
        <v>5543</v>
      </c>
      <c r="C1967" s="162" t="s">
        <v>5840</v>
      </c>
      <c r="D1967" s="162" t="s">
        <v>5841</v>
      </c>
      <c r="F1967" s="162">
        <v>1268</v>
      </c>
      <c r="G1967" s="162">
        <v>1</v>
      </c>
    </row>
    <row r="1968" spans="2:7" ht="43.2">
      <c r="B1968" s="162" t="s">
        <v>5543</v>
      </c>
      <c r="C1968" s="162" t="s">
        <v>5842</v>
      </c>
      <c r="D1968" s="162" t="s">
        <v>5843</v>
      </c>
      <c r="F1968" s="162">
        <v>1058</v>
      </c>
      <c r="G1968" s="162">
        <v>1</v>
      </c>
    </row>
    <row r="1969" spans="2:7" ht="43.2">
      <c r="B1969" s="162" t="s">
        <v>5543</v>
      </c>
      <c r="C1969" s="162" t="s">
        <v>5844</v>
      </c>
      <c r="D1969" s="162" t="s">
        <v>5845</v>
      </c>
      <c r="F1969" s="162">
        <v>1058</v>
      </c>
      <c r="G1969" s="162">
        <v>1</v>
      </c>
    </row>
    <row r="1970" spans="2:7" ht="57.6">
      <c r="B1970" s="162" t="s">
        <v>5543</v>
      </c>
      <c r="C1970" s="162" t="s">
        <v>5846</v>
      </c>
      <c r="D1970" s="162" t="s">
        <v>5847</v>
      </c>
      <c r="F1970" s="162">
        <v>1267.0000000000002</v>
      </c>
      <c r="G1970" s="162">
        <v>1</v>
      </c>
    </row>
    <row r="1971" spans="2:7" ht="57.6">
      <c r="B1971" s="162" t="s">
        <v>5543</v>
      </c>
      <c r="C1971" s="162" t="s">
        <v>5848</v>
      </c>
      <c r="D1971" s="162" t="s">
        <v>5849</v>
      </c>
      <c r="F1971" s="162">
        <v>1267.0000000000002</v>
      </c>
      <c r="G1971" s="162">
        <v>1</v>
      </c>
    </row>
    <row r="1972" spans="2:7" ht="43.2">
      <c r="B1972" s="162" t="s">
        <v>5543</v>
      </c>
      <c r="C1972" s="162" t="s">
        <v>5850</v>
      </c>
      <c r="D1972" s="162" t="s">
        <v>5851</v>
      </c>
      <c r="F1972" s="162">
        <v>1522</v>
      </c>
      <c r="G1972" s="162">
        <v>1</v>
      </c>
    </row>
    <row r="1973" spans="2:7" ht="43.2">
      <c r="B1973" s="162" t="s">
        <v>5543</v>
      </c>
      <c r="C1973" s="162" t="s">
        <v>5852</v>
      </c>
      <c r="D1973" s="162" t="s">
        <v>5853</v>
      </c>
      <c r="F1973" s="162">
        <v>1522</v>
      </c>
      <c r="G1973" s="162">
        <v>1</v>
      </c>
    </row>
    <row r="1974" spans="2:7" ht="57.6">
      <c r="B1974" s="162" t="s">
        <v>5543</v>
      </c>
      <c r="C1974" s="162" t="s">
        <v>5854</v>
      </c>
      <c r="D1974" s="162" t="s">
        <v>5855</v>
      </c>
      <c r="F1974" s="162">
        <v>1728</v>
      </c>
      <c r="G1974" s="162">
        <v>1</v>
      </c>
    </row>
    <row r="1975" spans="2:7" ht="57.6">
      <c r="B1975" s="162" t="s">
        <v>5543</v>
      </c>
      <c r="C1975" s="162" t="s">
        <v>5856</v>
      </c>
      <c r="D1975" s="162" t="s">
        <v>5857</v>
      </c>
      <c r="F1975" s="162">
        <v>1728</v>
      </c>
      <c r="G1975" s="162">
        <v>1</v>
      </c>
    </row>
    <row r="1976" spans="2:7" ht="43.2">
      <c r="B1976" s="162" t="s">
        <v>5543</v>
      </c>
      <c r="C1976" s="162" t="s">
        <v>5858</v>
      </c>
      <c r="D1976" s="162" t="s">
        <v>5859</v>
      </c>
      <c r="F1976" s="162">
        <v>726</v>
      </c>
      <c r="G1976" s="162">
        <v>1</v>
      </c>
    </row>
    <row r="1977" spans="2:7" ht="43.2">
      <c r="B1977" s="162" t="s">
        <v>5543</v>
      </c>
      <c r="C1977" s="162" t="s">
        <v>5860</v>
      </c>
      <c r="D1977" s="162" t="s">
        <v>5861</v>
      </c>
      <c r="F1977" s="162">
        <v>726</v>
      </c>
      <c r="G1977" s="162">
        <v>1</v>
      </c>
    </row>
    <row r="1978" spans="2:7" ht="43.2">
      <c r="B1978" s="162" t="s">
        <v>5543</v>
      </c>
      <c r="C1978" s="162" t="s">
        <v>5862</v>
      </c>
      <c r="D1978" s="162" t="s">
        <v>5863</v>
      </c>
      <c r="F1978" s="162">
        <v>726</v>
      </c>
      <c r="G1978" s="162">
        <v>1</v>
      </c>
    </row>
    <row r="1979" spans="2:7" ht="43.2">
      <c r="B1979" s="162" t="s">
        <v>5543</v>
      </c>
      <c r="C1979" s="162" t="s">
        <v>5864</v>
      </c>
      <c r="D1979" s="162" t="s">
        <v>5865</v>
      </c>
      <c r="F1979" s="162">
        <v>726</v>
      </c>
      <c r="G1979" s="162">
        <v>1</v>
      </c>
    </row>
    <row r="1980" spans="2:7" ht="57.6">
      <c r="B1980" s="162" t="s">
        <v>5543</v>
      </c>
      <c r="C1980" s="162" t="s">
        <v>5866</v>
      </c>
      <c r="D1980" s="162" t="s">
        <v>5867</v>
      </c>
      <c r="F1980" s="162">
        <v>524</v>
      </c>
      <c r="G1980" s="162">
        <v>1</v>
      </c>
    </row>
    <row r="1981" spans="2:7" ht="57.6">
      <c r="B1981" s="162" t="s">
        <v>5543</v>
      </c>
      <c r="C1981" s="162" t="s">
        <v>5868</v>
      </c>
      <c r="D1981" s="162" t="s">
        <v>5869</v>
      </c>
      <c r="F1981" s="162">
        <v>524</v>
      </c>
      <c r="G1981" s="162">
        <v>1</v>
      </c>
    </row>
    <row r="1982" spans="2:7" ht="57.6">
      <c r="B1982" s="162" t="s">
        <v>5543</v>
      </c>
      <c r="C1982" s="162" t="s">
        <v>5870</v>
      </c>
      <c r="D1982" s="162" t="s">
        <v>5871</v>
      </c>
      <c r="F1982" s="162">
        <v>617</v>
      </c>
      <c r="G1982" s="162">
        <v>1</v>
      </c>
    </row>
    <row r="1983" spans="2:7" ht="57.6">
      <c r="B1983" s="162" t="s">
        <v>5543</v>
      </c>
      <c r="C1983" s="162" t="s">
        <v>5872</v>
      </c>
      <c r="D1983" s="162" t="s">
        <v>5873</v>
      </c>
      <c r="F1983" s="162">
        <v>617</v>
      </c>
      <c r="G1983" s="162">
        <v>1</v>
      </c>
    </row>
    <row r="1984" spans="2:7" ht="57.6">
      <c r="B1984" s="162" t="s">
        <v>5543</v>
      </c>
      <c r="C1984" s="162" t="s">
        <v>5874</v>
      </c>
      <c r="D1984" s="162" t="s">
        <v>5875</v>
      </c>
      <c r="F1984" s="162">
        <v>843</v>
      </c>
      <c r="G1984" s="162">
        <v>1</v>
      </c>
    </row>
    <row r="1985" spans="2:7" ht="57.6">
      <c r="B1985" s="162" t="s">
        <v>5543</v>
      </c>
      <c r="C1985" s="162" t="s">
        <v>5876</v>
      </c>
      <c r="D1985" s="162" t="s">
        <v>5877</v>
      </c>
      <c r="F1985" s="162">
        <v>843</v>
      </c>
      <c r="G1985" s="162">
        <v>1</v>
      </c>
    </row>
    <row r="1986" spans="2:7" ht="43.2">
      <c r="B1986" s="162" t="s">
        <v>5543</v>
      </c>
      <c r="C1986" s="162" t="s">
        <v>5878</v>
      </c>
      <c r="D1986" s="162" t="s">
        <v>5879</v>
      </c>
      <c r="F1986" s="162">
        <v>1056</v>
      </c>
      <c r="G1986" s="162">
        <v>1</v>
      </c>
    </row>
    <row r="1987" spans="2:7" ht="43.2">
      <c r="B1987" s="162" t="s">
        <v>5543</v>
      </c>
      <c r="C1987" s="162" t="s">
        <v>5880</v>
      </c>
      <c r="D1987" s="162" t="s">
        <v>5881</v>
      </c>
      <c r="F1987" s="162">
        <v>1056</v>
      </c>
      <c r="G1987" s="162">
        <v>1</v>
      </c>
    </row>
    <row r="1988" spans="2:7" ht="57.6">
      <c r="B1988" s="162" t="s">
        <v>5543</v>
      </c>
      <c r="C1988" s="162" t="s">
        <v>5882</v>
      </c>
      <c r="D1988" s="162" t="s">
        <v>5883</v>
      </c>
      <c r="F1988" s="162">
        <v>1056</v>
      </c>
      <c r="G1988" s="162">
        <v>1</v>
      </c>
    </row>
    <row r="1989" spans="2:7" ht="57.6">
      <c r="B1989" s="162" t="s">
        <v>5543</v>
      </c>
      <c r="C1989" s="162" t="s">
        <v>5884</v>
      </c>
      <c r="D1989" s="162" t="s">
        <v>5885</v>
      </c>
      <c r="F1989" s="162">
        <v>1056</v>
      </c>
      <c r="G1989" s="162">
        <v>1</v>
      </c>
    </row>
    <row r="1990" spans="2:7" ht="57.6">
      <c r="B1990" s="162" t="s">
        <v>5543</v>
      </c>
      <c r="C1990" s="162" t="s">
        <v>5886</v>
      </c>
      <c r="D1990" s="162" t="s">
        <v>5887</v>
      </c>
      <c r="F1990" s="162">
        <v>1304</v>
      </c>
      <c r="G1990" s="162">
        <v>1</v>
      </c>
    </row>
    <row r="1991" spans="2:7" ht="57.6">
      <c r="B1991" s="162" t="s">
        <v>5543</v>
      </c>
      <c r="C1991" s="162" t="s">
        <v>5888</v>
      </c>
      <c r="D1991" s="162" t="s">
        <v>5889</v>
      </c>
      <c r="F1991" s="162">
        <v>1304</v>
      </c>
      <c r="G1991" s="162">
        <v>1</v>
      </c>
    </row>
    <row r="1992" spans="2:7" ht="43.2">
      <c r="B1992" s="162" t="s">
        <v>5543</v>
      </c>
      <c r="C1992" s="162" t="s">
        <v>5890</v>
      </c>
      <c r="D1992" s="162" t="s">
        <v>5891</v>
      </c>
      <c r="F1992" s="162">
        <v>1512</v>
      </c>
      <c r="G1992" s="162">
        <v>1</v>
      </c>
    </row>
    <row r="1993" spans="2:7" ht="43.2">
      <c r="B1993" s="162" t="s">
        <v>5543</v>
      </c>
      <c r="C1993" s="162" t="s">
        <v>5892</v>
      </c>
      <c r="D1993" s="162" t="s">
        <v>5893</v>
      </c>
      <c r="F1993" s="162">
        <v>1512</v>
      </c>
      <c r="G1993" s="162">
        <v>1</v>
      </c>
    </row>
    <row r="1994" spans="2:7" ht="57.6">
      <c r="B1994" s="162" t="s">
        <v>5543</v>
      </c>
      <c r="C1994" s="162" t="s">
        <v>5894</v>
      </c>
      <c r="D1994" s="162" t="s">
        <v>5895</v>
      </c>
      <c r="F1994" s="162">
        <v>1676</v>
      </c>
      <c r="G1994" s="162">
        <v>1</v>
      </c>
    </row>
    <row r="1995" spans="2:7" ht="57.6">
      <c r="B1995" s="162" t="s">
        <v>5543</v>
      </c>
      <c r="C1995" s="162" t="s">
        <v>5896</v>
      </c>
      <c r="D1995" s="162" t="s">
        <v>5897</v>
      </c>
      <c r="F1995" s="162">
        <v>1676</v>
      </c>
      <c r="G1995" s="162">
        <v>1</v>
      </c>
    </row>
    <row r="1996" spans="2:7" ht="43.2">
      <c r="B1996" s="162" t="s">
        <v>5543</v>
      </c>
      <c r="C1996" s="162" t="s">
        <v>5898</v>
      </c>
      <c r="D1996" s="162" t="s">
        <v>5899</v>
      </c>
      <c r="F1996" s="162">
        <v>1867</v>
      </c>
      <c r="G1996" s="162">
        <v>1</v>
      </c>
    </row>
    <row r="1997" spans="2:7" ht="43.2">
      <c r="B1997" s="162" t="s">
        <v>5543</v>
      </c>
      <c r="C1997" s="162" t="s">
        <v>5900</v>
      </c>
      <c r="D1997" s="162" t="s">
        <v>5901</v>
      </c>
      <c r="F1997" s="162">
        <v>1867</v>
      </c>
      <c r="G1997" s="162">
        <v>1</v>
      </c>
    </row>
    <row r="1998" spans="2:7" ht="115.2">
      <c r="B1998" s="162" t="s">
        <v>5543</v>
      </c>
      <c r="C1998" s="162" t="s">
        <v>5902</v>
      </c>
      <c r="D1998" s="162" t="s">
        <v>5903</v>
      </c>
      <c r="F1998" s="162">
        <v>665</v>
      </c>
      <c r="G1998" s="162">
        <v>1</v>
      </c>
    </row>
    <row r="1999" spans="2:7" ht="172.8">
      <c r="B1999" s="162" t="s">
        <v>5543</v>
      </c>
      <c r="C1999" s="162" t="s">
        <v>5904</v>
      </c>
      <c r="D1999" s="162" t="s">
        <v>5905</v>
      </c>
      <c r="F1999" s="162">
        <v>490</v>
      </c>
      <c r="G1999" s="162">
        <v>1</v>
      </c>
    </row>
    <row r="2000" spans="2:7" ht="57.6">
      <c r="B2000" s="162" t="s">
        <v>5543</v>
      </c>
      <c r="C2000" s="162" t="s">
        <v>5906</v>
      </c>
      <c r="D2000" s="162" t="s">
        <v>5907</v>
      </c>
      <c r="F2000" s="162">
        <v>42</v>
      </c>
      <c r="G2000" s="162">
        <v>1</v>
      </c>
    </row>
    <row r="2001" spans="2:7" ht="72">
      <c r="B2001" s="162" t="s">
        <v>5543</v>
      </c>
      <c r="C2001" s="162" t="s">
        <v>5908</v>
      </c>
      <c r="D2001" s="162" t="s">
        <v>5909</v>
      </c>
      <c r="F2001" s="162">
        <v>1136</v>
      </c>
      <c r="G2001" s="162">
        <v>1</v>
      </c>
    </row>
    <row r="2002" spans="2:7" ht="57.6">
      <c r="B2002" s="162" t="s">
        <v>5543</v>
      </c>
      <c r="C2002" s="162" t="s">
        <v>5910</v>
      </c>
      <c r="D2002" s="162" t="s">
        <v>5911</v>
      </c>
      <c r="F2002" s="162">
        <v>1136</v>
      </c>
      <c r="G2002" s="162">
        <v>1</v>
      </c>
    </row>
    <row r="2003" spans="2:7" ht="28.8">
      <c r="B2003" s="162" t="s">
        <v>5543</v>
      </c>
      <c r="C2003" s="162" t="s">
        <v>5912</v>
      </c>
      <c r="D2003" s="162" t="s">
        <v>5913</v>
      </c>
      <c r="F2003" s="162">
        <v>225</v>
      </c>
      <c r="G2003" s="162">
        <v>1</v>
      </c>
    </row>
    <row r="2004" spans="2:7" ht="28.8">
      <c r="B2004" s="162" t="s">
        <v>5543</v>
      </c>
      <c r="C2004" s="162" t="s">
        <v>5914</v>
      </c>
      <c r="D2004" s="162" t="s">
        <v>5915</v>
      </c>
      <c r="F2004" s="162">
        <v>262</v>
      </c>
      <c r="G2004" s="162">
        <v>1</v>
      </c>
    </row>
    <row r="2005" spans="2:7" ht="28.8">
      <c r="B2005" s="162" t="s">
        <v>5543</v>
      </c>
      <c r="C2005" s="162" t="s">
        <v>5916</v>
      </c>
      <c r="D2005" s="162" t="s">
        <v>5917</v>
      </c>
      <c r="F2005" s="162">
        <v>237</v>
      </c>
      <c r="G2005" s="162">
        <v>1</v>
      </c>
    </row>
    <row r="2006" spans="2:7" ht="28.8">
      <c r="B2006" s="162" t="s">
        <v>5543</v>
      </c>
      <c r="C2006" s="162" t="s">
        <v>5918</v>
      </c>
      <c r="D2006" s="162" t="s">
        <v>5919</v>
      </c>
      <c r="F2006" s="162">
        <v>272</v>
      </c>
      <c r="G2006" s="162">
        <v>1</v>
      </c>
    </row>
    <row r="2007" spans="2:7" ht="28.8">
      <c r="B2007" s="162" t="s">
        <v>5543</v>
      </c>
      <c r="C2007" s="162" t="s">
        <v>5920</v>
      </c>
      <c r="D2007" s="162" t="s">
        <v>5913</v>
      </c>
      <c r="F2007" s="162">
        <v>198</v>
      </c>
      <c r="G2007" s="162">
        <v>1</v>
      </c>
    </row>
    <row r="2008" spans="2:7" ht="28.8">
      <c r="B2008" s="162" t="s">
        <v>5543</v>
      </c>
      <c r="C2008" s="162" t="s">
        <v>5921</v>
      </c>
      <c r="D2008" s="162" t="s">
        <v>5915</v>
      </c>
      <c r="F2008" s="162">
        <v>237</v>
      </c>
      <c r="G2008" s="162">
        <v>1</v>
      </c>
    </row>
    <row r="2009" spans="2:7" ht="28.8">
      <c r="B2009" s="162" t="s">
        <v>5543</v>
      </c>
      <c r="C2009" s="162" t="s">
        <v>5922</v>
      </c>
      <c r="D2009" s="162" t="s">
        <v>5917</v>
      </c>
      <c r="F2009" s="162">
        <v>203</v>
      </c>
      <c r="G2009" s="162">
        <v>1</v>
      </c>
    </row>
    <row r="2010" spans="2:7" ht="28.8">
      <c r="B2010" s="162" t="s">
        <v>5543</v>
      </c>
      <c r="C2010" s="162" t="s">
        <v>5923</v>
      </c>
      <c r="D2010" s="162" t="s">
        <v>5919</v>
      </c>
      <c r="F2010" s="162">
        <v>238.99999999999997</v>
      </c>
      <c r="G2010" s="162">
        <v>1</v>
      </c>
    </row>
    <row r="2011" spans="2:7" ht="28.8">
      <c r="B2011" s="162" t="s">
        <v>5543</v>
      </c>
      <c r="C2011" s="162" t="s">
        <v>5924</v>
      </c>
      <c r="D2011" s="162" t="s">
        <v>5925</v>
      </c>
      <c r="F2011" s="162">
        <v>203</v>
      </c>
      <c r="G2011" s="162">
        <v>1</v>
      </c>
    </row>
    <row r="2012" spans="2:7" ht="43.2">
      <c r="B2012" s="162" t="s">
        <v>5543</v>
      </c>
      <c r="C2012" s="162" t="s">
        <v>5926</v>
      </c>
      <c r="D2012" s="162" t="s">
        <v>5927</v>
      </c>
      <c r="F2012" s="162">
        <v>305</v>
      </c>
      <c r="G2012" s="162">
        <v>1</v>
      </c>
    </row>
    <row r="2013" spans="2:7" ht="43.2">
      <c r="B2013" s="162" t="s">
        <v>5543</v>
      </c>
      <c r="C2013" s="162" t="s">
        <v>5928</v>
      </c>
      <c r="D2013" s="162" t="s">
        <v>5929</v>
      </c>
      <c r="F2013" s="162">
        <v>305</v>
      </c>
      <c r="G2013" s="162">
        <v>1</v>
      </c>
    </row>
    <row r="2014" spans="2:7" ht="28.8">
      <c r="B2014" s="162" t="s">
        <v>5543</v>
      </c>
      <c r="C2014" s="162" t="s">
        <v>5930</v>
      </c>
      <c r="D2014" s="162" t="s">
        <v>5931</v>
      </c>
      <c r="F2014" s="162">
        <v>207</v>
      </c>
      <c r="G2014" s="162">
        <v>1</v>
      </c>
    </row>
    <row r="2015" spans="2:7" ht="43.2">
      <c r="B2015" s="162" t="s">
        <v>5543</v>
      </c>
      <c r="C2015" s="162" t="s">
        <v>5932</v>
      </c>
      <c r="D2015" s="162" t="s">
        <v>5933</v>
      </c>
      <c r="F2015" s="162">
        <v>216</v>
      </c>
      <c r="G2015" s="162">
        <v>1</v>
      </c>
    </row>
    <row r="2016" spans="2:7" ht="28.8">
      <c r="B2016" s="162" t="s">
        <v>5543</v>
      </c>
      <c r="C2016" s="162" t="s">
        <v>5934</v>
      </c>
      <c r="D2016" s="162" t="s">
        <v>5935</v>
      </c>
      <c r="F2016" s="162">
        <v>298.00000000000006</v>
      </c>
      <c r="G2016" s="162">
        <v>1</v>
      </c>
    </row>
    <row r="2017" spans="2:7" ht="28.8">
      <c r="B2017" s="162" t="s">
        <v>5543</v>
      </c>
      <c r="C2017" s="162" t="s">
        <v>5936</v>
      </c>
      <c r="D2017" s="162" t="s">
        <v>5937</v>
      </c>
      <c r="F2017" s="162">
        <v>298.00000000000006</v>
      </c>
      <c r="G2017" s="162">
        <v>1</v>
      </c>
    </row>
    <row r="2018" spans="2:7" ht="28.8">
      <c r="B2018" s="162" t="s">
        <v>5543</v>
      </c>
      <c r="C2018" s="162" t="s">
        <v>5938</v>
      </c>
      <c r="D2018" s="162" t="s">
        <v>5939</v>
      </c>
      <c r="F2018" s="162">
        <v>393</v>
      </c>
      <c r="G2018" s="162">
        <v>1</v>
      </c>
    </row>
    <row r="2019" spans="2:7" ht="28.8">
      <c r="B2019" s="162" t="s">
        <v>5543</v>
      </c>
      <c r="C2019" s="162" t="s">
        <v>5940</v>
      </c>
      <c r="D2019" s="162" t="s">
        <v>5941</v>
      </c>
      <c r="F2019" s="162">
        <v>393</v>
      </c>
      <c r="G2019" s="162">
        <v>1</v>
      </c>
    </row>
    <row r="2020" spans="2:7" ht="28.8">
      <c r="B2020" s="162" t="s">
        <v>5543</v>
      </c>
      <c r="C2020" s="162" t="s">
        <v>5942</v>
      </c>
      <c r="D2020" s="162" t="s">
        <v>5943</v>
      </c>
      <c r="F2020" s="162">
        <v>192</v>
      </c>
      <c r="G2020" s="162">
        <v>1</v>
      </c>
    </row>
    <row r="2021" spans="2:7" ht="43.2">
      <c r="B2021" s="162" t="s">
        <v>5543</v>
      </c>
      <c r="C2021" s="162" t="s">
        <v>5944</v>
      </c>
      <c r="D2021" s="162" t="s">
        <v>5945</v>
      </c>
      <c r="F2021" s="162">
        <v>299</v>
      </c>
      <c r="G2021" s="162">
        <v>1</v>
      </c>
    </row>
    <row r="2022" spans="2:7" ht="57.6">
      <c r="B2022" s="162" t="s">
        <v>5543</v>
      </c>
      <c r="C2022" s="162" t="s">
        <v>5946</v>
      </c>
      <c r="D2022" s="162" t="s">
        <v>5947</v>
      </c>
      <c r="F2022" s="162">
        <v>341</v>
      </c>
      <c r="G2022" s="162">
        <v>1</v>
      </c>
    </row>
    <row r="2023" spans="2:7">
      <c r="B2023" s="162" t="s">
        <v>5543</v>
      </c>
      <c r="C2023" s="162" t="s">
        <v>5948</v>
      </c>
      <c r="D2023" s="162" t="s">
        <v>5949</v>
      </c>
      <c r="F2023" s="162">
        <v>298.00000000000006</v>
      </c>
      <c r="G2023" s="162">
        <v>1</v>
      </c>
    </row>
    <row r="2024" spans="2:7" ht="28.8">
      <c r="B2024" s="162" t="s">
        <v>5543</v>
      </c>
      <c r="C2024" s="162" t="s">
        <v>5950</v>
      </c>
      <c r="D2024" s="162" t="s">
        <v>5951</v>
      </c>
      <c r="F2024" s="162">
        <v>171</v>
      </c>
      <c r="G2024" s="162">
        <v>1</v>
      </c>
    </row>
    <row r="2025" spans="2:7" ht="28.8">
      <c r="B2025" s="162" t="s">
        <v>5543</v>
      </c>
      <c r="C2025" s="162" t="s">
        <v>5952</v>
      </c>
      <c r="D2025" s="162" t="s">
        <v>5951</v>
      </c>
      <c r="F2025" s="162">
        <v>223.00000000000003</v>
      </c>
      <c r="G2025" s="162">
        <v>1</v>
      </c>
    </row>
    <row r="2026" spans="2:7">
      <c r="B2026" s="162" t="s">
        <v>5543</v>
      </c>
      <c r="C2026" s="162" t="s">
        <v>5953</v>
      </c>
      <c r="D2026" s="162" t="s">
        <v>5954</v>
      </c>
      <c r="F2026" s="162">
        <v>172</v>
      </c>
      <c r="G2026" s="162">
        <v>1</v>
      </c>
    </row>
    <row r="2027" spans="2:7" ht="43.2">
      <c r="B2027" s="162" t="s">
        <v>5543</v>
      </c>
      <c r="C2027" s="162" t="s">
        <v>5955</v>
      </c>
      <c r="D2027" s="162" t="s">
        <v>5956</v>
      </c>
      <c r="F2027" s="162">
        <v>166</v>
      </c>
      <c r="G2027" s="162">
        <v>1</v>
      </c>
    </row>
    <row r="2028" spans="2:7" ht="43.2">
      <c r="B2028" s="162" t="s">
        <v>5543</v>
      </c>
      <c r="C2028" s="162" t="s">
        <v>5957</v>
      </c>
      <c r="D2028" s="162" t="s">
        <v>5958</v>
      </c>
      <c r="F2028" s="162">
        <v>82</v>
      </c>
      <c r="G2028" s="162">
        <v>1</v>
      </c>
    </row>
    <row r="2029" spans="2:7">
      <c r="B2029" s="162" t="s">
        <v>5543</v>
      </c>
      <c r="C2029" s="162" t="s">
        <v>5959</v>
      </c>
      <c r="D2029" s="162" t="s">
        <v>5960</v>
      </c>
      <c r="F2029" s="162">
        <v>154.00000000000003</v>
      </c>
      <c r="G2029" s="162">
        <v>1</v>
      </c>
    </row>
    <row r="2030" spans="2:7">
      <c r="B2030" s="162" t="s">
        <v>5543</v>
      </c>
      <c r="C2030" s="162" t="s">
        <v>5961</v>
      </c>
      <c r="D2030" s="162" t="s">
        <v>5962</v>
      </c>
      <c r="F2030" s="162">
        <v>177</v>
      </c>
      <c r="G2030" s="162">
        <v>1</v>
      </c>
    </row>
    <row r="2031" spans="2:7">
      <c r="B2031" s="162" t="s">
        <v>5543</v>
      </c>
      <c r="C2031" s="162" t="s">
        <v>5963</v>
      </c>
      <c r="D2031" s="162" t="s">
        <v>5964</v>
      </c>
      <c r="F2031" s="162">
        <v>206</v>
      </c>
      <c r="G2031" s="162">
        <v>1</v>
      </c>
    </row>
    <row r="2032" spans="2:7" ht="28.8">
      <c r="B2032" s="162" t="s">
        <v>5543</v>
      </c>
      <c r="C2032" s="162" t="s">
        <v>5965</v>
      </c>
      <c r="D2032" s="162" t="s">
        <v>5966</v>
      </c>
      <c r="F2032" s="162">
        <v>213.99999999999997</v>
      </c>
      <c r="G2032" s="162">
        <v>1</v>
      </c>
    </row>
    <row r="2033" spans="2:7" ht="28.8">
      <c r="B2033" s="162" t="s">
        <v>5543</v>
      </c>
      <c r="C2033" s="162" t="s">
        <v>5967</v>
      </c>
      <c r="D2033" s="162" t="s">
        <v>5968</v>
      </c>
      <c r="F2033" s="162">
        <v>213.99999999999997</v>
      </c>
      <c r="G2033" s="162">
        <v>1</v>
      </c>
    </row>
    <row r="2034" spans="2:7" ht="28.8">
      <c r="B2034" s="162" t="s">
        <v>5543</v>
      </c>
      <c r="C2034" s="162" t="s">
        <v>5969</v>
      </c>
      <c r="D2034" s="162" t="s">
        <v>5970</v>
      </c>
      <c r="F2034" s="162">
        <v>184</v>
      </c>
      <c r="G2034" s="162">
        <v>1</v>
      </c>
    </row>
    <row r="2035" spans="2:7" ht="28.8">
      <c r="B2035" s="162" t="s">
        <v>5543</v>
      </c>
      <c r="C2035" s="162" t="s">
        <v>5971</v>
      </c>
      <c r="D2035" s="162" t="s">
        <v>5972</v>
      </c>
      <c r="F2035" s="162">
        <v>184</v>
      </c>
      <c r="G2035" s="162">
        <v>1</v>
      </c>
    </row>
    <row r="2036" spans="2:7" ht="43.2">
      <c r="B2036" s="162" t="s">
        <v>5543</v>
      </c>
      <c r="C2036" s="162" t="s">
        <v>5973</v>
      </c>
      <c r="D2036" s="162" t="s">
        <v>5974</v>
      </c>
      <c r="F2036" s="162">
        <v>325</v>
      </c>
      <c r="G2036" s="162">
        <v>1</v>
      </c>
    </row>
    <row r="2037" spans="2:7" ht="43.2">
      <c r="B2037" s="162" t="s">
        <v>5543</v>
      </c>
      <c r="C2037" s="162" t="s">
        <v>5975</v>
      </c>
      <c r="D2037" s="162" t="s">
        <v>5976</v>
      </c>
      <c r="F2037" s="162">
        <v>325</v>
      </c>
      <c r="G2037" s="162">
        <v>1</v>
      </c>
    </row>
    <row r="2038" spans="2:7" ht="43.2">
      <c r="B2038" s="162" t="s">
        <v>5543</v>
      </c>
      <c r="C2038" s="162" t="s">
        <v>5977</v>
      </c>
      <c r="D2038" s="162" t="s">
        <v>5978</v>
      </c>
      <c r="F2038" s="162">
        <v>325</v>
      </c>
      <c r="G2038" s="162">
        <v>1</v>
      </c>
    </row>
    <row r="2039" spans="2:7" ht="43.2">
      <c r="B2039" s="162" t="s">
        <v>5543</v>
      </c>
      <c r="C2039" s="162" t="s">
        <v>5979</v>
      </c>
      <c r="D2039" s="162" t="s">
        <v>5980</v>
      </c>
      <c r="F2039" s="162">
        <v>352</v>
      </c>
      <c r="G2039" s="162">
        <v>1</v>
      </c>
    </row>
    <row r="2040" spans="2:7" ht="57.6">
      <c r="B2040" s="162" t="s">
        <v>5543</v>
      </c>
      <c r="C2040" s="162" t="s">
        <v>5981</v>
      </c>
      <c r="D2040" s="162" t="s">
        <v>5982</v>
      </c>
      <c r="F2040" s="162">
        <v>378</v>
      </c>
      <c r="G2040" s="162">
        <v>1</v>
      </c>
    </row>
    <row r="2041" spans="2:7" ht="43.2">
      <c r="B2041" s="162" t="s">
        <v>5543</v>
      </c>
      <c r="C2041" s="162" t="s">
        <v>5983</v>
      </c>
      <c r="D2041" s="162" t="s">
        <v>5984</v>
      </c>
      <c r="F2041" s="162">
        <v>235</v>
      </c>
      <c r="G2041" s="162">
        <v>1</v>
      </c>
    </row>
    <row r="2042" spans="2:7" ht="43.2">
      <c r="B2042" s="162" t="s">
        <v>5543</v>
      </c>
      <c r="C2042" s="162" t="s">
        <v>5985</v>
      </c>
      <c r="D2042" s="162" t="s">
        <v>5986</v>
      </c>
      <c r="F2042" s="162">
        <v>204</v>
      </c>
      <c r="G2042" s="162">
        <v>1</v>
      </c>
    </row>
    <row r="2043" spans="2:7" ht="28.8">
      <c r="B2043" s="162" t="s">
        <v>5543</v>
      </c>
      <c r="C2043" s="162" t="s">
        <v>5987</v>
      </c>
      <c r="D2043" s="162" t="s">
        <v>5988</v>
      </c>
      <c r="F2043" s="162">
        <v>25</v>
      </c>
      <c r="G2043" s="162">
        <v>1</v>
      </c>
    </row>
    <row r="2044" spans="2:7" ht="28.8">
      <c r="B2044" s="162" t="s">
        <v>5543</v>
      </c>
      <c r="C2044" s="162" t="s">
        <v>5989</v>
      </c>
      <c r="D2044" s="162" t="s">
        <v>5990</v>
      </c>
      <c r="F2044" s="162">
        <v>25</v>
      </c>
      <c r="G2044" s="162">
        <v>1</v>
      </c>
    </row>
    <row r="2045" spans="2:7" ht="43.2">
      <c r="B2045" s="162" t="s">
        <v>5543</v>
      </c>
      <c r="C2045" s="162" t="s">
        <v>5991</v>
      </c>
      <c r="D2045" s="162" t="s">
        <v>5992</v>
      </c>
      <c r="F2045" s="162">
        <v>223.00000000000003</v>
      </c>
      <c r="G2045" s="162">
        <v>1</v>
      </c>
    </row>
    <row r="2046" spans="2:7" ht="28.8">
      <c r="B2046" s="162" t="s">
        <v>5543</v>
      </c>
      <c r="C2046" s="162" t="s">
        <v>5993</v>
      </c>
      <c r="D2046" s="162" t="s">
        <v>5994</v>
      </c>
      <c r="F2046" s="162">
        <v>199</v>
      </c>
      <c r="G2046" s="162">
        <v>1</v>
      </c>
    </row>
    <row r="2047" spans="2:7" ht="28.8">
      <c r="B2047" s="162" t="s">
        <v>5543</v>
      </c>
      <c r="C2047" s="162" t="s">
        <v>5995</v>
      </c>
      <c r="D2047" s="162" t="s">
        <v>5996</v>
      </c>
      <c r="F2047" s="162">
        <v>208</v>
      </c>
      <c r="G2047" s="162">
        <v>1</v>
      </c>
    </row>
    <row r="2048" spans="2:7" ht="28.8">
      <c r="B2048" s="162" t="s">
        <v>5543</v>
      </c>
      <c r="C2048" s="162" t="s">
        <v>5997</v>
      </c>
      <c r="D2048" s="162" t="s">
        <v>5998</v>
      </c>
      <c r="F2048" s="162">
        <v>203</v>
      </c>
      <c r="G2048" s="162">
        <v>1</v>
      </c>
    </row>
    <row r="2049" spans="2:7" ht="28.8">
      <c r="B2049" s="162" t="s">
        <v>5543</v>
      </c>
      <c r="C2049" s="162" t="s">
        <v>5999</v>
      </c>
      <c r="D2049" s="162" t="s">
        <v>6000</v>
      </c>
      <c r="F2049" s="162">
        <v>142</v>
      </c>
      <c r="G2049" s="162">
        <v>1</v>
      </c>
    </row>
    <row r="2050" spans="2:7">
      <c r="B2050" s="162" t="s">
        <v>5543</v>
      </c>
      <c r="C2050" s="162" t="s">
        <v>6001</v>
      </c>
      <c r="D2050" s="162" t="s">
        <v>6002</v>
      </c>
      <c r="F2050" s="162">
        <v>297</v>
      </c>
      <c r="G2050" s="162">
        <v>1</v>
      </c>
    </row>
    <row r="2051" spans="2:7" ht="43.2">
      <c r="B2051" s="162" t="s">
        <v>5543</v>
      </c>
      <c r="C2051" s="162" t="s">
        <v>6003</v>
      </c>
      <c r="D2051" s="162" t="s">
        <v>6004</v>
      </c>
      <c r="F2051" s="162">
        <v>344</v>
      </c>
      <c r="G2051" s="162">
        <v>1</v>
      </c>
    </row>
    <row r="2052" spans="2:7">
      <c r="B2052" s="162" t="s">
        <v>5543</v>
      </c>
      <c r="C2052" s="162" t="s">
        <v>6005</v>
      </c>
      <c r="D2052" s="162" t="s">
        <v>6006</v>
      </c>
      <c r="F2052" s="162">
        <v>47</v>
      </c>
      <c r="G2052" s="162">
        <v>1</v>
      </c>
    </row>
    <row r="2053" spans="2:7" ht="28.8">
      <c r="B2053" s="162" t="s">
        <v>5543</v>
      </c>
      <c r="C2053" s="162" t="s">
        <v>6007</v>
      </c>
      <c r="D2053" s="162" t="s">
        <v>6008</v>
      </c>
      <c r="F2053" s="162">
        <v>167</v>
      </c>
      <c r="G2053" s="162">
        <v>1</v>
      </c>
    </row>
    <row r="2054" spans="2:7" ht="28.8">
      <c r="B2054" s="162" t="s">
        <v>5543</v>
      </c>
      <c r="C2054" s="162" t="s">
        <v>6009</v>
      </c>
      <c r="D2054" s="162" t="s">
        <v>6010</v>
      </c>
      <c r="F2054" s="162">
        <v>189</v>
      </c>
      <c r="G2054" s="162">
        <v>1</v>
      </c>
    </row>
    <row r="2055" spans="2:7" ht="28.8">
      <c r="B2055" s="162" t="s">
        <v>5543</v>
      </c>
      <c r="C2055" s="162" t="s">
        <v>6011</v>
      </c>
      <c r="D2055" s="162" t="s">
        <v>6012</v>
      </c>
      <c r="F2055" s="162">
        <v>263.00000000000006</v>
      </c>
      <c r="G2055" s="162">
        <v>1</v>
      </c>
    </row>
    <row r="2056" spans="2:7" ht="28.8">
      <c r="B2056" s="162" t="s">
        <v>5543</v>
      </c>
      <c r="C2056" s="162" t="s">
        <v>6013</v>
      </c>
      <c r="D2056" s="162" t="s">
        <v>6012</v>
      </c>
      <c r="F2056" s="162">
        <v>263.00000000000006</v>
      </c>
      <c r="G2056" s="162">
        <v>1</v>
      </c>
    </row>
    <row r="2057" spans="2:7" ht="28.8">
      <c r="B2057" s="162" t="s">
        <v>5543</v>
      </c>
      <c r="C2057" s="162" t="s">
        <v>6014</v>
      </c>
      <c r="D2057" s="162" t="s">
        <v>6012</v>
      </c>
      <c r="F2057" s="162">
        <v>263.00000000000006</v>
      </c>
      <c r="G2057" s="162">
        <v>1</v>
      </c>
    </row>
    <row r="2058" spans="2:7" ht="72">
      <c r="B2058" s="162" t="s">
        <v>5543</v>
      </c>
      <c r="C2058" s="162" t="s">
        <v>6015</v>
      </c>
      <c r="D2058" s="162" t="s">
        <v>6016</v>
      </c>
      <c r="F2058" s="162">
        <v>492</v>
      </c>
      <c r="G2058" s="162">
        <v>1</v>
      </c>
    </row>
    <row r="2059" spans="2:7" ht="72">
      <c r="B2059" s="162" t="s">
        <v>5543</v>
      </c>
      <c r="C2059" s="162" t="s">
        <v>6017</v>
      </c>
      <c r="D2059" s="162" t="s">
        <v>6016</v>
      </c>
      <c r="F2059" s="162">
        <v>492</v>
      </c>
      <c r="G2059" s="162">
        <v>1</v>
      </c>
    </row>
    <row r="2060" spans="2:7" ht="72">
      <c r="B2060" s="162" t="s">
        <v>5543</v>
      </c>
      <c r="C2060" s="162" t="s">
        <v>6018</v>
      </c>
      <c r="D2060" s="162" t="s">
        <v>6016</v>
      </c>
      <c r="F2060" s="162">
        <v>492</v>
      </c>
      <c r="G2060" s="162">
        <v>1</v>
      </c>
    </row>
    <row r="2061" spans="2:7" ht="43.2">
      <c r="B2061" s="162" t="s">
        <v>5543</v>
      </c>
      <c r="C2061" s="162" t="s">
        <v>6019</v>
      </c>
      <c r="D2061" s="162" t="s">
        <v>6020</v>
      </c>
      <c r="F2061" s="162">
        <v>371</v>
      </c>
      <c r="G2061" s="162">
        <v>1</v>
      </c>
    </row>
    <row r="2062" spans="2:7" ht="43.2">
      <c r="B2062" s="162" t="s">
        <v>5543</v>
      </c>
      <c r="C2062" s="162" t="s">
        <v>6021</v>
      </c>
      <c r="D2062" s="162" t="s">
        <v>6022</v>
      </c>
      <c r="F2062" s="162">
        <v>371</v>
      </c>
      <c r="G2062" s="162">
        <v>1</v>
      </c>
    </row>
    <row r="2063" spans="2:7" ht="72">
      <c r="B2063" s="162" t="s">
        <v>5543</v>
      </c>
      <c r="C2063" s="162" t="s">
        <v>6023</v>
      </c>
      <c r="D2063" s="162" t="s">
        <v>6024</v>
      </c>
      <c r="F2063" s="162">
        <v>596.00000000000011</v>
      </c>
      <c r="G2063" s="162">
        <v>1</v>
      </c>
    </row>
    <row r="2064" spans="2:7" ht="72">
      <c r="B2064" s="162" t="s">
        <v>5543</v>
      </c>
      <c r="C2064" s="162" t="s">
        <v>6025</v>
      </c>
      <c r="D2064" s="162" t="s">
        <v>6024</v>
      </c>
      <c r="F2064" s="162">
        <v>596.00000000000011</v>
      </c>
      <c r="G2064" s="162">
        <v>1</v>
      </c>
    </row>
    <row r="2065" spans="2:7" ht="43.2">
      <c r="B2065" s="162" t="s">
        <v>5543</v>
      </c>
      <c r="C2065" s="162" t="s">
        <v>6026</v>
      </c>
      <c r="D2065" s="162" t="s">
        <v>6027</v>
      </c>
      <c r="F2065" s="162">
        <v>393</v>
      </c>
      <c r="G2065" s="162">
        <v>1</v>
      </c>
    </row>
    <row r="2066" spans="2:7" ht="43.2">
      <c r="B2066" s="162" t="s">
        <v>5543</v>
      </c>
      <c r="C2066" s="162" t="s">
        <v>6028</v>
      </c>
      <c r="D2066" s="162" t="s">
        <v>6029</v>
      </c>
      <c r="F2066" s="162">
        <v>393</v>
      </c>
      <c r="G2066" s="162">
        <v>1</v>
      </c>
    </row>
    <row r="2067" spans="2:7" ht="43.2">
      <c r="B2067" s="162" t="s">
        <v>5543</v>
      </c>
      <c r="C2067" s="162" t="s">
        <v>6030</v>
      </c>
      <c r="D2067" s="162" t="s">
        <v>6031</v>
      </c>
      <c r="F2067" s="162">
        <v>290</v>
      </c>
      <c r="G2067" s="162">
        <v>1</v>
      </c>
    </row>
    <row r="2068" spans="2:7" ht="43.2">
      <c r="B2068" s="162" t="s">
        <v>5543</v>
      </c>
      <c r="C2068" s="162" t="s">
        <v>6032</v>
      </c>
      <c r="D2068" s="162" t="s">
        <v>6033</v>
      </c>
      <c r="F2068" s="162">
        <v>290</v>
      </c>
      <c r="G2068" s="162">
        <v>1</v>
      </c>
    </row>
    <row r="2069" spans="2:7">
      <c r="B2069" s="162" t="s">
        <v>5543</v>
      </c>
      <c r="C2069" s="162" t="s">
        <v>6034</v>
      </c>
      <c r="D2069" s="162" t="s">
        <v>6035</v>
      </c>
      <c r="F2069" s="162">
        <v>72.000000000000014</v>
      </c>
      <c r="G2069" s="162">
        <v>1</v>
      </c>
    </row>
    <row r="2070" spans="2:7">
      <c r="B2070" s="162" t="s">
        <v>5543</v>
      </c>
      <c r="C2070" s="162" t="s">
        <v>6036</v>
      </c>
      <c r="D2070" s="162" t="s">
        <v>6037</v>
      </c>
      <c r="F2070" s="162">
        <v>82</v>
      </c>
      <c r="G2070" s="162">
        <v>1</v>
      </c>
    </row>
    <row r="2071" spans="2:7" ht="57.6">
      <c r="B2071" s="162" t="s">
        <v>5543</v>
      </c>
      <c r="C2071" s="162" t="s">
        <v>6038</v>
      </c>
      <c r="D2071" s="162" t="s">
        <v>6039</v>
      </c>
      <c r="F2071" s="162">
        <v>393</v>
      </c>
      <c r="G2071" s="162">
        <v>1</v>
      </c>
    </row>
    <row r="2072" spans="2:7" ht="57.6">
      <c r="B2072" s="162" t="s">
        <v>5543</v>
      </c>
      <c r="C2072" s="162" t="s">
        <v>6040</v>
      </c>
      <c r="D2072" s="162" t="s">
        <v>6041</v>
      </c>
      <c r="F2072" s="162">
        <v>393</v>
      </c>
      <c r="G2072" s="162">
        <v>1</v>
      </c>
    </row>
    <row r="2073" spans="2:7" ht="43.2">
      <c r="B2073" s="162" t="s">
        <v>5543</v>
      </c>
      <c r="C2073" s="162" t="s">
        <v>6042</v>
      </c>
      <c r="D2073" s="162" t="s">
        <v>6043</v>
      </c>
      <c r="F2073" s="162">
        <v>3532</v>
      </c>
      <c r="G2073" s="162">
        <v>1</v>
      </c>
    </row>
    <row r="2074" spans="2:7" ht="43.2">
      <c r="B2074" s="162" t="s">
        <v>5543</v>
      </c>
      <c r="C2074" s="162" t="s">
        <v>6044</v>
      </c>
      <c r="D2074" s="162" t="s">
        <v>6045</v>
      </c>
      <c r="F2074" s="162">
        <v>275</v>
      </c>
      <c r="G2074" s="162">
        <v>1</v>
      </c>
    </row>
    <row r="2075" spans="2:7" ht="57.6">
      <c r="B2075" s="162" t="s">
        <v>5543</v>
      </c>
      <c r="C2075" s="162" t="s">
        <v>6046</v>
      </c>
      <c r="D2075" s="162" t="s">
        <v>6047</v>
      </c>
      <c r="F2075" s="162">
        <v>29</v>
      </c>
      <c r="G2075" s="162">
        <v>1</v>
      </c>
    </row>
    <row r="2076" spans="2:7">
      <c r="B2076" s="162" t="s">
        <v>5543</v>
      </c>
      <c r="C2076" s="162" t="s">
        <v>6048</v>
      </c>
      <c r="D2076" s="162" t="s">
        <v>6049</v>
      </c>
      <c r="F2076" s="162">
        <v>29</v>
      </c>
      <c r="G2076" s="162">
        <v>1</v>
      </c>
    </row>
    <row r="2077" spans="2:7" ht="28.8">
      <c r="B2077" s="162" t="s">
        <v>5543</v>
      </c>
      <c r="C2077" s="162" t="s">
        <v>6050</v>
      </c>
      <c r="D2077" s="162" t="s">
        <v>6051</v>
      </c>
      <c r="F2077" s="162">
        <v>90</v>
      </c>
      <c r="G2077" s="162">
        <v>1</v>
      </c>
    </row>
    <row r="2078" spans="2:7" ht="43.2">
      <c r="B2078" s="162" t="s">
        <v>5543</v>
      </c>
      <c r="C2078" s="162" t="s">
        <v>6052</v>
      </c>
      <c r="D2078" s="162" t="s">
        <v>6053</v>
      </c>
      <c r="F2078" s="162">
        <v>217</v>
      </c>
      <c r="G2078" s="162">
        <v>1</v>
      </c>
    </row>
    <row r="2079" spans="2:7" ht="57.6">
      <c r="B2079" s="162" t="s">
        <v>5543</v>
      </c>
      <c r="C2079" s="162" t="s">
        <v>6054</v>
      </c>
      <c r="D2079" s="162" t="s">
        <v>6055</v>
      </c>
      <c r="F2079" s="162">
        <v>217</v>
      </c>
      <c r="G2079" s="162">
        <v>1</v>
      </c>
    </row>
    <row r="2080" spans="2:7" ht="57.6">
      <c r="B2080" s="162" t="s">
        <v>5543</v>
      </c>
      <c r="C2080" s="162" t="s">
        <v>6056</v>
      </c>
      <c r="D2080" s="162" t="s">
        <v>6057</v>
      </c>
      <c r="F2080" s="162">
        <v>217</v>
      </c>
      <c r="G2080" s="162">
        <v>1</v>
      </c>
    </row>
    <row r="2081" spans="2:7">
      <c r="B2081" s="162" t="s">
        <v>5543</v>
      </c>
      <c r="C2081" s="162" t="s">
        <v>6058</v>
      </c>
      <c r="D2081" s="162" t="s">
        <v>6059</v>
      </c>
      <c r="F2081" s="162">
        <v>418</v>
      </c>
      <c r="G2081" s="162">
        <v>1</v>
      </c>
    </row>
    <row r="2082" spans="2:7">
      <c r="B2082" s="162" t="s">
        <v>5543</v>
      </c>
      <c r="C2082" s="162" t="s">
        <v>6060</v>
      </c>
      <c r="D2082" s="162" t="s">
        <v>6061</v>
      </c>
      <c r="F2082" s="162">
        <v>281</v>
      </c>
      <c r="G2082" s="162">
        <v>1</v>
      </c>
    </row>
    <row r="2083" spans="2:7">
      <c r="B2083" s="162" t="s">
        <v>5543</v>
      </c>
      <c r="C2083" s="162" t="s">
        <v>6062</v>
      </c>
      <c r="D2083" s="162" t="s">
        <v>6063</v>
      </c>
      <c r="F2083" s="162">
        <v>180</v>
      </c>
      <c r="G2083" s="162">
        <v>1</v>
      </c>
    </row>
    <row r="2084" spans="2:7" ht="28.8">
      <c r="B2084" s="162" t="s">
        <v>5543</v>
      </c>
      <c r="C2084" s="162" t="s">
        <v>6064</v>
      </c>
      <c r="D2084" s="162" t="s">
        <v>6065</v>
      </c>
      <c r="F2084" s="162">
        <v>13</v>
      </c>
      <c r="G2084" s="162">
        <v>1</v>
      </c>
    </row>
    <row r="2085" spans="2:7">
      <c r="B2085" s="162" t="s">
        <v>5543</v>
      </c>
      <c r="C2085" s="162" t="s">
        <v>6066</v>
      </c>
      <c r="D2085" s="162" t="s">
        <v>6067</v>
      </c>
      <c r="F2085" s="162">
        <v>23</v>
      </c>
      <c r="G2085" s="162">
        <v>1</v>
      </c>
    </row>
    <row r="2086" spans="2:7">
      <c r="B2086" s="162" t="s">
        <v>5543</v>
      </c>
      <c r="C2086" s="162" t="s">
        <v>6068</v>
      </c>
      <c r="D2086" s="162" t="s">
        <v>6069</v>
      </c>
      <c r="F2086" s="162">
        <v>36.000000000000007</v>
      </c>
      <c r="G2086" s="162">
        <v>1</v>
      </c>
    </row>
    <row r="2087" spans="2:7" ht="43.2">
      <c r="B2087" s="162" t="s">
        <v>6070</v>
      </c>
      <c r="C2087" s="162" t="s">
        <v>6071</v>
      </c>
      <c r="D2087" s="162" t="s">
        <v>6072</v>
      </c>
      <c r="F2087" s="162">
        <v>1130</v>
      </c>
      <c r="G2087" s="162">
        <v>1</v>
      </c>
    </row>
    <row r="2088" spans="2:7" ht="43.2">
      <c r="B2088" s="162" t="s">
        <v>6070</v>
      </c>
      <c r="C2088" s="162" t="s">
        <v>6073</v>
      </c>
      <c r="D2088" s="162" t="s">
        <v>6074</v>
      </c>
      <c r="F2088" s="162">
        <v>1497</v>
      </c>
      <c r="G2088" s="162">
        <v>1</v>
      </c>
    </row>
    <row r="2089" spans="2:7" ht="43.2">
      <c r="B2089" s="162" t="s">
        <v>6070</v>
      </c>
      <c r="C2089" s="162" t="s">
        <v>6075</v>
      </c>
      <c r="D2089" s="162" t="s">
        <v>6076</v>
      </c>
      <c r="F2089" s="162">
        <v>950</v>
      </c>
      <c r="G2089" s="162">
        <v>1</v>
      </c>
    </row>
    <row r="2090" spans="2:7" ht="43.2">
      <c r="B2090" s="162" t="s">
        <v>6070</v>
      </c>
      <c r="C2090" s="162" t="s">
        <v>6077</v>
      </c>
      <c r="D2090" s="162" t="s">
        <v>6078</v>
      </c>
      <c r="F2090" s="162">
        <v>14782</v>
      </c>
      <c r="G2090" s="162">
        <v>1</v>
      </c>
    </row>
    <row r="2091" spans="2:7" ht="57.6">
      <c r="B2091" s="162" t="s">
        <v>6070</v>
      </c>
      <c r="C2091" s="162" t="s">
        <v>6079</v>
      </c>
      <c r="D2091" s="162" t="s">
        <v>6080</v>
      </c>
      <c r="F2091" s="162">
        <v>19995</v>
      </c>
      <c r="G2091" s="162">
        <v>1</v>
      </c>
    </row>
    <row r="2092" spans="2:7" ht="57.6">
      <c r="B2092" s="162" t="s">
        <v>6070</v>
      </c>
      <c r="C2092" s="162" t="s">
        <v>6081</v>
      </c>
      <c r="D2092" s="162" t="s">
        <v>6082</v>
      </c>
      <c r="F2092" s="162">
        <v>2226</v>
      </c>
      <c r="G2092" s="162">
        <v>1</v>
      </c>
    </row>
    <row r="2093" spans="2:7" ht="43.2">
      <c r="B2093" s="162" t="s">
        <v>6070</v>
      </c>
      <c r="C2093" s="162" t="s">
        <v>6083</v>
      </c>
      <c r="D2093" s="162" t="s">
        <v>6084</v>
      </c>
      <c r="F2093" s="162">
        <v>2226</v>
      </c>
      <c r="G2093" s="162">
        <v>1</v>
      </c>
    </row>
    <row r="2094" spans="2:7" ht="43.2">
      <c r="B2094" s="162" t="s">
        <v>6070</v>
      </c>
      <c r="C2094" s="162" t="s">
        <v>6085</v>
      </c>
      <c r="D2094" s="162" t="s">
        <v>6086</v>
      </c>
      <c r="F2094" s="162">
        <v>2745</v>
      </c>
      <c r="G2094" s="162">
        <v>1</v>
      </c>
    </row>
    <row r="2095" spans="2:7" ht="43.2">
      <c r="B2095" s="162" t="s">
        <v>6070</v>
      </c>
      <c r="C2095" s="162" t="s">
        <v>6087</v>
      </c>
      <c r="D2095" s="162" t="s">
        <v>6088</v>
      </c>
      <c r="F2095" s="162">
        <v>3205</v>
      </c>
      <c r="G2095" s="162">
        <v>1</v>
      </c>
    </row>
    <row r="2096" spans="2:7" ht="43.2">
      <c r="B2096" s="162" t="s">
        <v>6070</v>
      </c>
      <c r="C2096" s="162" t="s">
        <v>6089</v>
      </c>
      <c r="D2096" s="162" t="s">
        <v>6090</v>
      </c>
      <c r="F2096" s="162">
        <v>2226</v>
      </c>
      <c r="G2096" s="162">
        <v>1</v>
      </c>
    </row>
    <row r="2097" spans="2:7" ht="43.2">
      <c r="B2097" s="162" t="s">
        <v>6070</v>
      </c>
      <c r="C2097" s="162" t="s">
        <v>6091</v>
      </c>
      <c r="D2097" s="162" t="s">
        <v>6092</v>
      </c>
      <c r="F2097" s="162">
        <v>2150</v>
      </c>
      <c r="G2097" s="162">
        <v>1</v>
      </c>
    </row>
    <row r="2098" spans="2:7" ht="43.2">
      <c r="B2098" s="162" t="s">
        <v>6070</v>
      </c>
      <c r="C2098" s="162" t="s">
        <v>6093</v>
      </c>
      <c r="D2098" s="162" t="s">
        <v>6094</v>
      </c>
      <c r="F2098" s="162">
        <v>2977</v>
      </c>
      <c r="G2098" s="162">
        <v>1</v>
      </c>
    </row>
    <row r="2099" spans="2:7" ht="43.2">
      <c r="B2099" s="162" t="s">
        <v>6070</v>
      </c>
      <c r="C2099" s="162" t="s">
        <v>6095</v>
      </c>
      <c r="D2099" s="162" t="s">
        <v>6096</v>
      </c>
      <c r="F2099" s="162">
        <v>2526</v>
      </c>
      <c r="G2099" s="162">
        <v>1</v>
      </c>
    </row>
    <row r="2100" spans="2:7" ht="43.2">
      <c r="B2100" s="162" t="s">
        <v>6070</v>
      </c>
      <c r="C2100" s="162" t="s">
        <v>6097</v>
      </c>
      <c r="D2100" s="162" t="s">
        <v>6098</v>
      </c>
      <c r="F2100" s="162">
        <v>2150</v>
      </c>
      <c r="G2100" s="162">
        <v>1</v>
      </c>
    </row>
    <row r="2101" spans="2:7" ht="43.2">
      <c r="B2101" s="162" t="s">
        <v>6070</v>
      </c>
      <c r="C2101" s="162" t="s">
        <v>6099</v>
      </c>
      <c r="D2101" s="162" t="s">
        <v>6100</v>
      </c>
      <c r="F2101" s="162">
        <v>1474</v>
      </c>
      <c r="G2101" s="162">
        <v>1</v>
      </c>
    </row>
    <row r="2102" spans="2:7" ht="43.2">
      <c r="B2102" s="162" t="s">
        <v>6070</v>
      </c>
      <c r="C2102" s="162" t="s">
        <v>6101</v>
      </c>
      <c r="D2102" s="162" t="s">
        <v>6102</v>
      </c>
      <c r="F2102" s="162">
        <v>1429</v>
      </c>
      <c r="G2102" s="162">
        <v>1</v>
      </c>
    </row>
    <row r="2103" spans="2:7" ht="43.2">
      <c r="B2103" s="162" t="s">
        <v>6070</v>
      </c>
      <c r="C2103" s="162" t="s">
        <v>6103</v>
      </c>
      <c r="D2103" s="162" t="s">
        <v>6104</v>
      </c>
      <c r="F2103" s="162">
        <v>368</v>
      </c>
      <c r="G2103" s="162">
        <v>1</v>
      </c>
    </row>
    <row r="2104" spans="2:7" ht="43.2">
      <c r="B2104" s="162" t="s">
        <v>6070</v>
      </c>
      <c r="C2104" s="162" t="s">
        <v>6105</v>
      </c>
      <c r="D2104" s="162" t="s">
        <v>6106</v>
      </c>
      <c r="F2104" s="162">
        <v>299</v>
      </c>
      <c r="G2104" s="162">
        <v>1</v>
      </c>
    </row>
    <row r="2105" spans="2:7" ht="43.2">
      <c r="B2105" s="162" t="s">
        <v>6070</v>
      </c>
      <c r="C2105" s="162" t="s">
        <v>6107</v>
      </c>
      <c r="D2105" s="162" t="s">
        <v>6108</v>
      </c>
      <c r="F2105" s="162">
        <v>481</v>
      </c>
      <c r="G2105" s="162">
        <v>1</v>
      </c>
    </row>
    <row r="2106" spans="2:7" ht="43.2">
      <c r="B2106" s="162" t="s">
        <v>6070</v>
      </c>
      <c r="C2106" s="162" t="s">
        <v>6109</v>
      </c>
      <c r="D2106" s="162" t="s">
        <v>6110</v>
      </c>
      <c r="F2106" s="162">
        <v>1804.5112781954888</v>
      </c>
      <c r="G2106" s="162">
        <v>1</v>
      </c>
    </row>
    <row r="2107" spans="2:7" ht="43.2">
      <c r="B2107" s="162" t="s">
        <v>6070</v>
      </c>
      <c r="C2107" s="162" t="s">
        <v>6111</v>
      </c>
      <c r="D2107" s="162" t="s">
        <v>6112</v>
      </c>
      <c r="F2107" s="162">
        <v>3510</v>
      </c>
      <c r="G2107" s="162">
        <v>1</v>
      </c>
    </row>
    <row r="2108" spans="2:7" ht="43.2">
      <c r="B2108" s="162" t="s">
        <v>6070</v>
      </c>
      <c r="C2108" s="162" t="s">
        <v>6113</v>
      </c>
      <c r="D2108" s="162" t="s">
        <v>6114</v>
      </c>
      <c r="F2108" s="162">
        <v>1500</v>
      </c>
      <c r="G2108" s="162">
        <v>1</v>
      </c>
    </row>
    <row r="2109" spans="2:7" ht="43.2">
      <c r="B2109" s="162" t="s">
        <v>6070</v>
      </c>
      <c r="C2109" s="162" t="s">
        <v>6115</v>
      </c>
      <c r="D2109" s="162" t="s">
        <v>6116</v>
      </c>
      <c r="F2109" s="162">
        <v>1053</v>
      </c>
      <c r="G2109" s="162">
        <v>1</v>
      </c>
    </row>
    <row r="2110" spans="2:7" ht="43.2">
      <c r="B2110" s="162" t="s">
        <v>6070</v>
      </c>
      <c r="C2110" s="162" t="s">
        <v>6117</v>
      </c>
      <c r="D2110" s="162" t="s">
        <v>6118</v>
      </c>
      <c r="F2110" s="162">
        <v>1015</v>
      </c>
      <c r="G2110" s="162">
        <v>1</v>
      </c>
    </row>
    <row r="2111" spans="2:7" ht="43.2">
      <c r="B2111" s="162" t="s">
        <v>6070</v>
      </c>
      <c r="C2111" s="162" t="s">
        <v>6119</v>
      </c>
      <c r="D2111" s="162" t="s">
        <v>6120</v>
      </c>
      <c r="F2111" s="162">
        <v>355</v>
      </c>
      <c r="G2111" s="162">
        <v>1</v>
      </c>
    </row>
    <row r="2112" spans="2:7" ht="43.2">
      <c r="B2112" s="162" t="s">
        <v>6070</v>
      </c>
      <c r="C2112" s="162" t="s">
        <v>6121</v>
      </c>
      <c r="D2112" s="162" t="s">
        <v>6122</v>
      </c>
      <c r="F2112" s="162">
        <v>355</v>
      </c>
      <c r="G2112" s="162">
        <v>1</v>
      </c>
    </row>
    <row r="2113" spans="1:7" ht="43.2">
      <c r="B2113" s="162" t="s">
        <v>6070</v>
      </c>
      <c r="C2113" s="162" t="s">
        <v>6123</v>
      </c>
      <c r="D2113" s="162" t="s">
        <v>6124</v>
      </c>
      <c r="F2113" s="162">
        <v>655</v>
      </c>
      <c r="G2113" s="162">
        <v>1</v>
      </c>
    </row>
    <row r="2114" spans="1:7" ht="43.2">
      <c r="B2114" s="162" t="s">
        <v>6070</v>
      </c>
      <c r="C2114" s="162" t="s">
        <v>6125</v>
      </c>
      <c r="D2114" s="162" t="s">
        <v>6126</v>
      </c>
      <c r="F2114" s="162">
        <v>353</v>
      </c>
      <c r="G2114" s="162">
        <v>1</v>
      </c>
    </row>
    <row r="2115" spans="1:7" ht="43.2">
      <c r="B2115" s="162" t="s">
        <v>6070</v>
      </c>
      <c r="C2115" s="162" t="s">
        <v>6127</v>
      </c>
      <c r="D2115" s="162" t="s">
        <v>6128</v>
      </c>
      <c r="F2115" s="162">
        <v>353</v>
      </c>
      <c r="G2115" s="162">
        <v>1</v>
      </c>
    </row>
    <row r="2116" spans="1:7" ht="43.2">
      <c r="B2116" s="162" t="s">
        <v>6070</v>
      </c>
      <c r="C2116" s="162" t="s">
        <v>6129</v>
      </c>
      <c r="D2116" s="162" t="s">
        <v>6130</v>
      </c>
      <c r="F2116" s="162">
        <v>496</v>
      </c>
      <c r="G2116" s="162">
        <v>1</v>
      </c>
    </row>
    <row r="2117" spans="1:7" ht="43.2">
      <c r="B2117" s="162" t="s">
        <v>6070</v>
      </c>
      <c r="C2117" s="162" t="s">
        <v>6131</v>
      </c>
      <c r="D2117" s="162" t="s">
        <v>6132</v>
      </c>
      <c r="F2117" s="162">
        <v>30.075187969924812</v>
      </c>
      <c r="G2117" s="162">
        <v>1</v>
      </c>
    </row>
    <row r="2118" spans="1:7" ht="43.2">
      <c r="B2118" s="162" t="s">
        <v>6070</v>
      </c>
      <c r="C2118" s="162" t="s">
        <v>6133</v>
      </c>
      <c r="D2118" s="162" t="s">
        <v>6134</v>
      </c>
      <c r="F2118" s="162">
        <v>30.075187969924812</v>
      </c>
      <c r="G2118" s="162">
        <v>1</v>
      </c>
    </row>
    <row r="2119" spans="1:7" ht="43.2">
      <c r="B2119" s="162" t="s">
        <v>6070</v>
      </c>
      <c r="C2119" s="162" t="s">
        <v>6135</v>
      </c>
      <c r="D2119" s="162" t="s">
        <v>6136</v>
      </c>
      <c r="F2119" s="162">
        <v>30.075187969924812</v>
      </c>
      <c r="G2119" s="162">
        <v>1</v>
      </c>
    </row>
    <row r="2120" spans="1:7" ht="43.2">
      <c r="A2120" s="162" t="s">
        <v>6137</v>
      </c>
      <c r="B2120" s="162" t="s">
        <v>6070</v>
      </c>
      <c r="C2120" s="162" t="s">
        <v>6138</v>
      </c>
      <c r="D2120" s="162" t="s">
        <v>6139</v>
      </c>
      <c r="F2120" s="162">
        <v>75</v>
      </c>
      <c r="G2120" s="162">
        <v>1</v>
      </c>
    </row>
    <row r="2121" spans="1:7" ht="43.2">
      <c r="B2121" s="162" t="s">
        <v>6070</v>
      </c>
      <c r="C2121" s="162" t="s">
        <v>6140</v>
      </c>
      <c r="D2121" s="162" t="s">
        <v>6141</v>
      </c>
      <c r="F2121" s="162">
        <v>22.556390977443609</v>
      </c>
      <c r="G2121" s="162">
        <v>1</v>
      </c>
    </row>
    <row r="2122" spans="1:7" ht="43.2">
      <c r="B2122" s="162" t="s">
        <v>6070</v>
      </c>
      <c r="C2122" s="162" t="s">
        <v>6142</v>
      </c>
      <c r="D2122" s="162" t="s">
        <v>6143</v>
      </c>
      <c r="F2122" s="162">
        <v>45.112781954887218</v>
      </c>
      <c r="G2122" s="162">
        <v>1</v>
      </c>
    </row>
    <row r="2123" spans="1:7" ht="43.2">
      <c r="B2123" s="162" t="s">
        <v>6070</v>
      </c>
      <c r="C2123" s="162" t="s">
        <v>6144</v>
      </c>
      <c r="D2123" s="162" t="s">
        <v>6145</v>
      </c>
      <c r="F2123" s="162">
        <v>45.112781954887218</v>
      </c>
      <c r="G2123" s="162">
        <v>1</v>
      </c>
    </row>
    <row r="2124" spans="1:7" ht="43.2">
      <c r="B2124" s="162" t="s">
        <v>6070</v>
      </c>
      <c r="C2124" s="162" t="s">
        <v>6146</v>
      </c>
      <c r="D2124" s="162" t="s">
        <v>6147</v>
      </c>
      <c r="F2124" s="162">
        <v>45.112781954887218</v>
      </c>
      <c r="G2124" s="162">
        <v>1</v>
      </c>
    </row>
    <row r="2125" spans="1:7" ht="43.2">
      <c r="B2125" s="162" t="s">
        <v>6070</v>
      </c>
      <c r="C2125" s="162" t="s">
        <v>6148</v>
      </c>
      <c r="D2125" s="162" t="s">
        <v>6149</v>
      </c>
      <c r="F2125" s="162">
        <v>45.112781954887218</v>
      </c>
      <c r="G2125" s="162">
        <v>1</v>
      </c>
    </row>
    <row r="2126" spans="1:7" ht="43.2">
      <c r="B2126" s="162" t="s">
        <v>6070</v>
      </c>
      <c r="C2126" s="162" t="s">
        <v>6150</v>
      </c>
      <c r="D2126" s="162" t="s">
        <v>6151</v>
      </c>
      <c r="F2126" s="162">
        <v>45.112781954887218</v>
      </c>
      <c r="G2126" s="162">
        <v>1</v>
      </c>
    </row>
    <row r="2127" spans="1:7" ht="43.2">
      <c r="B2127" s="162" t="s">
        <v>6070</v>
      </c>
      <c r="C2127" s="162" t="s">
        <v>6152</v>
      </c>
      <c r="D2127" s="162" t="s">
        <v>6153</v>
      </c>
      <c r="F2127" s="162">
        <v>100</v>
      </c>
      <c r="G2127" s="162">
        <v>1</v>
      </c>
    </row>
    <row r="2128" spans="1:7" ht="43.2">
      <c r="B2128" s="162" t="s">
        <v>6070</v>
      </c>
      <c r="C2128" s="162" t="s">
        <v>6154</v>
      </c>
      <c r="D2128" s="162" t="s">
        <v>6155</v>
      </c>
      <c r="F2128" s="162">
        <v>22.556390977443609</v>
      </c>
      <c r="G2128" s="162">
        <v>1</v>
      </c>
    </row>
    <row r="2129" spans="2:7" ht="43.2">
      <c r="B2129" s="162" t="s">
        <v>6070</v>
      </c>
      <c r="C2129" s="162" t="s">
        <v>6156</v>
      </c>
      <c r="D2129" s="162" t="s">
        <v>6157</v>
      </c>
      <c r="F2129" s="162">
        <v>22.556390977443609</v>
      </c>
      <c r="G2129" s="162">
        <v>1</v>
      </c>
    </row>
    <row r="2130" spans="2:7" ht="43.2">
      <c r="B2130" s="162" t="s">
        <v>6070</v>
      </c>
      <c r="C2130" s="162" t="s">
        <v>6158</v>
      </c>
      <c r="D2130" s="162" t="s">
        <v>6159</v>
      </c>
      <c r="F2130" s="162">
        <v>113</v>
      </c>
      <c r="G2130" s="162">
        <v>1</v>
      </c>
    </row>
    <row r="2131" spans="2:7" ht="43.2">
      <c r="B2131" s="162" t="s">
        <v>6070</v>
      </c>
      <c r="C2131" s="162" t="s">
        <v>6160</v>
      </c>
      <c r="D2131" s="162" t="s">
        <v>6161</v>
      </c>
      <c r="F2131" s="162">
        <v>23</v>
      </c>
      <c r="G2131" s="162">
        <v>1</v>
      </c>
    </row>
    <row r="2132" spans="2:7" ht="43.2">
      <c r="B2132" s="162" t="s">
        <v>6070</v>
      </c>
      <c r="C2132" s="162" t="s">
        <v>6162</v>
      </c>
      <c r="D2132" s="162" t="s">
        <v>6163</v>
      </c>
      <c r="F2132" s="162">
        <v>23</v>
      </c>
      <c r="G2132" s="162">
        <v>1</v>
      </c>
    </row>
    <row r="2133" spans="2:7">
      <c r="B2133" s="162" t="s">
        <v>34</v>
      </c>
      <c r="C2133" s="162" t="s">
        <v>35</v>
      </c>
      <c r="D2133" s="162" t="s">
        <v>506</v>
      </c>
      <c r="F2133" s="162">
        <v>1800</v>
      </c>
      <c r="G2133" s="162">
        <v>1</v>
      </c>
    </row>
    <row r="2134" spans="2:7">
      <c r="B2134" s="162" t="s">
        <v>34</v>
      </c>
      <c r="C2134" s="162" t="s">
        <v>507</v>
      </c>
      <c r="D2134" s="162" t="s">
        <v>508</v>
      </c>
      <c r="G2134" s="162">
        <v>1</v>
      </c>
    </row>
    <row r="2135" spans="2:7" ht="28.8">
      <c r="B2135" s="162" t="s">
        <v>34</v>
      </c>
      <c r="C2135" s="162" t="s">
        <v>509</v>
      </c>
      <c r="D2135" s="162" t="s">
        <v>510</v>
      </c>
      <c r="F2135" s="162">
        <v>60</v>
      </c>
      <c r="G2135" s="162">
        <v>1</v>
      </c>
    </row>
    <row r="2136" spans="2:7">
      <c r="B2136" s="162" t="s">
        <v>34</v>
      </c>
      <c r="C2136" s="162" t="s">
        <v>36</v>
      </c>
      <c r="D2136" s="162" t="s">
        <v>511</v>
      </c>
      <c r="F2136" s="162">
        <v>700</v>
      </c>
      <c r="G2136" s="162">
        <v>1</v>
      </c>
    </row>
    <row r="2137" spans="2:7" ht="28.8">
      <c r="B2137" s="162" t="s">
        <v>34</v>
      </c>
      <c r="C2137" s="162" t="s">
        <v>37</v>
      </c>
      <c r="D2137" s="162" t="s">
        <v>512</v>
      </c>
      <c r="F2137" s="162">
        <v>1998</v>
      </c>
      <c r="G2137" s="162">
        <v>1</v>
      </c>
    </row>
    <row r="2138" spans="2:7" ht="28.8">
      <c r="B2138" s="162" t="s">
        <v>34</v>
      </c>
      <c r="C2138" s="162" t="s">
        <v>39</v>
      </c>
      <c r="D2138" s="162" t="s">
        <v>38</v>
      </c>
      <c r="F2138" s="162">
        <v>3200</v>
      </c>
      <c r="G2138" s="162">
        <v>1</v>
      </c>
    </row>
    <row r="2139" spans="2:7" ht="28.8">
      <c r="B2139" s="162" t="s">
        <v>34</v>
      </c>
      <c r="C2139" s="162" t="s">
        <v>41</v>
      </c>
      <c r="D2139" s="162" t="s">
        <v>40</v>
      </c>
      <c r="F2139" s="162">
        <v>3400</v>
      </c>
      <c r="G2139" s="162">
        <v>1</v>
      </c>
    </row>
    <row r="2140" spans="2:7" ht="28.8">
      <c r="B2140" s="162" t="s">
        <v>34</v>
      </c>
      <c r="C2140" s="162" t="s">
        <v>43</v>
      </c>
      <c r="D2140" s="162" t="s">
        <v>42</v>
      </c>
      <c r="F2140" s="162">
        <v>2198</v>
      </c>
      <c r="G2140" s="162">
        <v>1</v>
      </c>
    </row>
    <row r="2141" spans="2:7">
      <c r="B2141" s="162" t="s">
        <v>34</v>
      </c>
      <c r="C2141" s="162" t="s">
        <v>44</v>
      </c>
      <c r="D2141" s="162" t="s">
        <v>513</v>
      </c>
      <c r="F2141" s="162">
        <v>0</v>
      </c>
      <c r="G2141" s="162">
        <v>1</v>
      </c>
    </row>
    <row r="2142" spans="2:7">
      <c r="B2142" s="162" t="s">
        <v>34</v>
      </c>
      <c r="C2142" s="162" t="s">
        <v>46</v>
      </c>
      <c r="D2142" s="162" t="s">
        <v>45</v>
      </c>
      <c r="F2142" s="162">
        <v>600</v>
      </c>
      <c r="G2142" s="162">
        <v>1</v>
      </c>
    </row>
    <row r="2143" spans="2:7" ht="28.8">
      <c r="B2143" s="162" t="s">
        <v>34</v>
      </c>
      <c r="C2143" s="162" t="s">
        <v>47</v>
      </c>
      <c r="D2143" s="162" t="s">
        <v>514</v>
      </c>
      <c r="F2143" s="162">
        <v>500</v>
      </c>
      <c r="G2143" s="162">
        <v>1</v>
      </c>
    </row>
    <row r="2144" spans="2:7" ht="28.8">
      <c r="B2144" s="162" t="s">
        <v>34</v>
      </c>
      <c r="C2144" s="162" t="s">
        <v>48</v>
      </c>
      <c r="D2144" s="162" t="s">
        <v>515</v>
      </c>
      <c r="F2144" s="162">
        <v>1800</v>
      </c>
      <c r="G2144" s="162">
        <v>1</v>
      </c>
    </row>
    <row r="2145" spans="2:7" ht="28.8">
      <c r="B2145" s="162" t="s">
        <v>34</v>
      </c>
      <c r="C2145" s="162" t="s">
        <v>49</v>
      </c>
      <c r="D2145" s="162" t="s">
        <v>516</v>
      </c>
      <c r="F2145" s="162">
        <v>450</v>
      </c>
      <c r="G2145" s="162">
        <v>1</v>
      </c>
    </row>
    <row r="2146" spans="2:7">
      <c r="B2146" s="162" t="s">
        <v>34</v>
      </c>
      <c r="C2146" s="162" t="s">
        <v>50</v>
      </c>
      <c r="D2146" s="162" t="s">
        <v>517</v>
      </c>
      <c r="F2146" s="162">
        <v>370</v>
      </c>
      <c r="G2146" s="162">
        <v>1</v>
      </c>
    </row>
    <row r="2147" spans="2:7" ht="28.8">
      <c r="B2147" s="162" t="s">
        <v>34</v>
      </c>
      <c r="C2147" s="162" t="s">
        <v>51</v>
      </c>
      <c r="D2147" s="162" t="s">
        <v>518</v>
      </c>
      <c r="F2147" s="162">
        <v>500</v>
      </c>
      <c r="G2147" s="162">
        <v>1</v>
      </c>
    </row>
    <row r="2148" spans="2:7">
      <c r="B2148" s="162" t="s">
        <v>34</v>
      </c>
      <c r="C2148" s="162" t="s">
        <v>52</v>
      </c>
      <c r="D2148" s="162" t="s">
        <v>519</v>
      </c>
      <c r="F2148" s="162">
        <v>2600</v>
      </c>
      <c r="G2148" s="162">
        <v>1</v>
      </c>
    </row>
    <row r="2149" spans="2:7" ht="43.2">
      <c r="B2149" s="162" t="s">
        <v>34</v>
      </c>
      <c r="C2149" s="162" t="s">
        <v>53</v>
      </c>
      <c r="D2149" s="162" t="s">
        <v>520</v>
      </c>
      <c r="F2149" s="162">
        <v>7000</v>
      </c>
      <c r="G2149" s="162">
        <v>1</v>
      </c>
    </row>
    <row r="2150" spans="2:7" ht="28.8">
      <c r="B2150" s="162" t="s">
        <v>34</v>
      </c>
      <c r="C2150" s="162" t="s">
        <v>54</v>
      </c>
      <c r="D2150" s="162" t="s">
        <v>521</v>
      </c>
      <c r="F2150" s="162">
        <v>5000</v>
      </c>
      <c r="G2150" s="162">
        <v>1</v>
      </c>
    </row>
    <row r="2151" spans="2:7" ht="28.8">
      <c r="B2151" s="162" t="s">
        <v>34</v>
      </c>
      <c r="C2151" s="162" t="s">
        <v>55</v>
      </c>
      <c r="D2151" s="162" t="s">
        <v>522</v>
      </c>
      <c r="F2151" s="162">
        <v>7000</v>
      </c>
      <c r="G2151" s="162">
        <v>1</v>
      </c>
    </row>
    <row r="2152" spans="2:7" ht="43.2">
      <c r="B2152" s="162" t="s">
        <v>34</v>
      </c>
      <c r="C2152" s="162" t="s">
        <v>56</v>
      </c>
      <c r="D2152" s="162" t="s">
        <v>523</v>
      </c>
      <c r="F2152" s="162">
        <v>7000</v>
      </c>
      <c r="G2152" s="162">
        <v>1</v>
      </c>
    </row>
    <row r="2153" spans="2:7" ht="28.8">
      <c r="B2153" s="162" t="s">
        <v>34</v>
      </c>
      <c r="C2153" s="162" t="s">
        <v>57</v>
      </c>
      <c r="D2153" s="162" t="s">
        <v>524</v>
      </c>
      <c r="F2153" s="162">
        <v>8000</v>
      </c>
      <c r="G2153" s="162">
        <v>1</v>
      </c>
    </row>
    <row r="2154" spans="2:7" ht="28.8">
      <c r="B2154" s="162" t="s">
        <v>34</v>
      </c>
      <c r="C2154" s="162" t="s">
        <v>58</v>
      </c>
      <c r="D2154" s="162" t="s">
        <v>525</v>
      </c>
      <c r="F2154" s="162">
        <v>9000</v>
      </c>
      <c r="G2154" s="162">
        <v>1</v>
      </c>
    </row>
    <row r="2155" spans="2:7" ht="28.8">
      <c r="B2155" s="162" t="s">
        <v>34</v>
      </c>
      <c r="C2155" s="162" t="s">
        <v>59</v>
      </c>
      <c r="D2155" s="162" t="s">
        <v>526</v>
      </c>
      <c r="F2155" s="162">
        <v>9000</v>
      </c>
      <c r="G2155" s="162">
        <v>1</v>
      </c>
    </row>
    <row r="2156" spans="2:7" ht="28.8">
      <c r="B2156" s="162" t="s">
        <v>34</v>
      </c>
      <c r="C2156" s="162" t="s">
        <v>60</v>
      </c>
      <c r="D2156" s="162" t="s">
        <v>527</v>
      </c>
      <c r="F2156" s="162">
        <v>16000</v>
      </c>
      <c r="G2156" s="162">
        <v>1</v>
      </c>
    </row>
    <row r="2157" spans="2:7" ht="28.8">
      <c r="B2157" s="162" t="s">
        <v>34</v>
      </c>
      <c r="C2157" s="162" t="s">
        <v>61</v>
      </c>
      <c r="D2157" s="162" t="s">
        <v>528</v>
      </c>
      <c r="F2157" s="162">
        <v>9000</v>
      </c>
      <c r="G2157" s="162">
        <v>1</v>
      </c>
    </row>
    <row r="2158" spans="2:7" ht="28.8">
      <c r="B2158" s="162" t="s">
        <v>34</v>
      </c>
      <c r="C2158" s="162" t="s">
        <v>62</v>
      </c>
      <c r="D2158" s="162" t="s">
        <v>529</v>
      </c>
      <c r="F2158" s="162">
        <v>16000</v>
      </c>
      <c r="G2158" s="162">
        <v>1</v>
      </c>
    </row>
    <row r="2159" spans="2:7" ht="43.2">
      <c r="B2159" s="162" t="s">
        <v>34</v>
      </c>
      <c r="C2159" s="162" t="s">
        <v>530</v>
      </c>
      <c r="D2159" s="162" t="s">
        <v>531</v>
      </c>
      <c r="G2159" s="162">
        <v>1</v>
      </c>
    </row>
    <row r="2160" spans="2:7" ht="43.2">
      <c r="B2160" s="162" t="s">
        <v>34</v>
      </c>
      <c r="C2160" s="162" t="s">
        <v>532</v>
      </c>
      <c r="D2160" s="162" t="s">
        <v>533</v>
      </c>
      <c r="G2160" s="162">
        <v>1</v>
      </c>
    </row>
    <row r="2161" spans="2:7" ht="28.8">
      <c r="B2161" s="162" t="s">
        <v>34</v>
      </c>
      <c r="C2161" s="162" t="s">
        <v>534</v>
      </c>
      <c r="D2161" s="162" t="s">
        <v>535</v>
      </c>
      <c r="G2161" s="162">
        <v>1</v>
      </c>
    </row>
    <row r="2162" spans="2:7" ht="28.8">
      <c r="B2162" s="162" t="s">
        <v>34</v>
      </c>
      <c r="C2162" s="162" t="s">
        <v>536</v>
      </c>
      <c r="D2162" s="162" t="s">
        <v>537</v>
      </c>
      <c r="G2162" s="162">
        <v>1</v>
      </c>
    </row>
    <row r="2163" spans="2:7" ht="28.8">
      <c r="B2163" s="162" t="s">
        <v>34</v>
      </c>
      <c r="C2163" s="162" t="s">
        <v>538</v>
      </c>
      <c r="D2163" s="162" t="s">
        <v>539</v>
      </c>
      <c r="G2163" s="162">
        <v>1</v>
      </c>
    </row>
    <row r="2164" spans="2:7" ht="28.8">
      <c r="B2164" s="162" t="s">
        <v>34</v>
      </c>
      <c r="C2164" s="162" t="s">
        <v>540</v>
      </c>
      <c r="D2164" s="162" t="s">
        <v>541</v>
      </c>
      <c r="F2164" s="162">
        <v>1800</v>
      </c>
      <c r="G2164" s="162">
        <v>1</v>
      </c>
    </row>
    <row r="2165" spans="2:7">
      <c r="B2165" s="162" t="s">
        <v>34</v>
      </c>
      <c r="C2165" s="162" t="s">
        <v>63</v>
      </c>
      <c r="D2165" s="162" t="s">
        <v>542</v>
      </c>
      <c r="F2165" s="162">
        <v>1000</v>
      </c>
      <c r="G2165" s="162">
        <v>1</v>
      </c>
    </row>
    <row r="2166" spans="2:7" ht="28.8">
      <c r="B2166" s="162" t="s">
        <v>34</v>
      </c>
      <c r="C2166" s="162" t="s">
        <v>64</v>
      </c>
      <c r="D2166" s="162" t="s">
        <v>543</v>
      </c>
      <c r="F2166" s="162">
        <v>700</v>
      </c>
      <c r="G2166" s="162">
        <v>1</v>
      </c>
    </row>
    <row r="2167" spans="2:7" ht="28.8">
      <c r="B2167" s="162" t="s">
        <v>34</v>
      </c>
      <c r="C2167" s="162" t="s">
        <v>65</v>
      </c>
      <c r="D2167" s="162" t="s">
        <v>544</v>
      </c>
      <c r="F2167" s="162">
        <v>1500</v>
      </c>
      <c r="G2167" s="162">
        <v>1</v>
      </c>
    </row>
    <row r="2168" spans="2:7" ht="28.8">
      <c r="B2168" s="162" t="s">
        <v>34</v>
      </c>
      <c r="C2168" s="162" t="s">
        <v>66</v>
      </c>
      <c r="D2168" s="162" t="s">
        <v>545</v>
      </c>
      <c r="F2168" s="162">
        <v>2400</v>
      </c>
      <c r="G2168" s="162">
        <v>1</v>
      </c>
    </row>
    <row r="2169" spans="2:7">
      <c r="B2169" s="162" t="s">
        <v>34</v>
      </c>
      <c r="C2169" s="162" t="s">
        <v>67</v>
      </c>
      <c r="D2169" s="162" t="s">
        <v>546</v>
      </c>
      <c r="F2169" s="162">
        <v>1000</v>
      </c>
      <c r="G2169" s="162">
        <v>1</v>
      </c>
    </row>
    <row r="2170" spans="2:7">
      <c r="B2170" s="162" t="s">
        <v>34</v>
      </c>
      <c r="C2170" s="162" t="s">
        <v>68</v>
      </c>
      <c r="D2170" s="162" t="s">
        <v>547</v>
      </c>
      <c r="F2170" s="162">
        <v>1500</v>
      </c>
      <c r="G2170" s="162">
        <v>1</v>
      </c>
    </row>
    <row r="2171" spans="2:7">
      <c r="B2171" s="162" t="s">
        <v>34</v>
      </c>
      <c r="C2171" s="162" t="s">
        <v>69</v>
      </c>
      <c r="D2171" s="162" t="s">
        <v>548</v>
      </c>
      <c r="F2171" s="162">
        <v>3000</v>
      </c>
      <c r="G2171" s="162">
        <v>1</v>
      </c>
    </row>
    <row r="2172" spans="2:7">
      <c r="B2172" s="162" t="s">
        <v>34</v>
      </c>
      <c r="C2172" s="162" t="s">
        <v>70</v>
      </c>
      <c r="D2172" s="162" t="s">
        <v>549</v>
      </c>
      <c r="F2172" s="162">
        <v>1000</v>
      </c>
      <c r="G2172" s="162">
        <v>1</v>
      </c>
    </row>
    <row r="2173" spans="2:7">
      <c r="B2173" s="162" t="s">
        <v>34</v>
      </c>
      <c r="C2173" s="162" t="s">
        <v>71</v>
      </c>
      <c r="D2173" s="162" t="s">
        <v>550</v>
      </c>
      <c r="F2173" s="162">
        <v>650</v>
      </c>
      <c r="G2173" s="162">
        <v>1</v>
      </c>
    </row>
    <row r="2174" spans="2:7" ht="28.8">
      <c r="B2174" s="162" t="s">
        <v>34</v>
      </c>
      <c r="C2174" s="162" t="s">
        <v>72</v>
      </c>
      <c r="D2174" s="162" t="s">
        <v>551</v>
      </c>
      <c r="F2174" s="162">
        <v>800</v>
      </c>
      <c r="G2174" s="162">
        <v>1</v>
      </c>
    </row>
    <row r="2175" spans="2:7" ht="28.8">
      <c r="B2175" s="162" t="s">
        <v>34</v>
      </c>
      <c r="C2175" s="162" t="s">
        <v>73</v>
      </c>
      <c r="D2175" s="162" t="s">
        <v>552</v>
      </c>
      <c r="F2175" s="162">
        <v>650</v>
      </c>
      <c r="G2175" s="162">
        <v>1</v>
      </c>
    </row>
    <row r="2176" spans="2:7" ht="28.8">
      <c r="B2176" s="162" t="s">
        <v>34</v>
      </c>
      <c r="C2176" s="162" t="s">
        <v>74</v>
      </c>
      <c r="D2176" s="162" t="s">
        <v>553</v>
      </c>
      <c r="F2176" s="162">
        <v>650</v>
      </c>
      <c r="G2176" s="162">
        <v>1</v>
      </c>
    </row>
    <row r="2177" spans="2:7" ht="28.8">
      <c r="B2177" s="162" t="s">
        <v>34</v>
      </c>
      <c r="C2177" s="162" t="s">
        <v>75</v>
      </c>
      <c r="D2177" s="162" t="s">
        <v>554</v>
      </c>
      <c r="F2177" s="162">
        <v>3200</v>
      </c>
      <c r="G2177" s="162">
        <v>1</v>
      </c>
    </row>
    <row r="2178" spans="2:7" ht="43.2">
      <c r="B2178" s="162" t="s">
        <v>34</v>
      </c>
      <c r="C2178" s="162" t="s">
        <v>555</v>
      </c>
      <c r="D2178" s="162" t="s">
        <v>76</v>
      </c>
      <c r="F2178" s="162">
        <v>2000</v>
      </c>
      <c r="G2178" s="162">
        <v>1</v>
      </c>
    </row>
    <row r="2179" spans="2:7" ht="43.2">
      <c r="B2179" s="162" t="s">
        <v>34</v>
      </c>
      <c r="C2179" s="162" t="s">
        <v>556</v>
      </c>
      <c r="D2179" s="162" t="s">
        <v>77</v>
      </c>
      <c r="F2179" s="162">
        <v>72000</v>
      </c>
      <c r="G2179" s="162">
        <v>1</v>
      </c>
    </row>
    <row r="2180" spans="2:7" ht="28.8">
      <c r="B2180" s="162" t="s">
        <v>34</v>
      </c>
      <c r="C2180" s="162" t="s">
        <v>557</v>
      </c>
      <c r="D2180" s="162" t="s">
        <v>78</v>
      </c>
      <c r="F2180" s="162">
        <v>8600</v>
      </c>
      <c r="G2180" s="162">
        <v>1</v>
      </c>
    </row>
    <row r="2181" spans="2:7" ht="57.6">
      <c r="B2181" s="162" t="s">
        <v>34</v>
      </c>
      <c r="C2181" s="162" t="s">
        <v>558</v>
      </c>
      <c r="D2181" s="162" t="s">
        <v>79</v>
      </c>
      <c r="F2181" s="162">
        <v>9800</v>
      </c>
      <c r="G2181" s="162">
        <v>1</v>
      </c>
    </row>
    <row r="2182" spans="2:7" ht="28.8">
      <c r="B2182" s="162" t="s">
        <v>34</v>
      </c>
      <c r="C2182" s="162" t="s">
        <v>559</v>
      </c>
      <c r="D2182" s="162" t="s">
        <v>80</v>
      </c>
      <c r="F2182" s="162">
        <v>17200</v>
      </c>
      <c r="G2182" s="162">
        <v>1</v>
      </c>
    </row>
    <row r="2183" spans="2:7" ht="57.6">
      <c r="B2183" s="162" t="s">
        <v>34</v>
      </c>
      <c r="C2183" s="162" t="s">
        <v>560</v>
      </c>
      <c r="D2183" s="162" t="s">
        <v>81</v>
      </c>
      <c r="F2183" s="162">
        <v>18400</v>
      </c>
      <c r="G2183" s="162">
        <v>1</v>
      </c>
    </row>
    <row r="2184" spans="2:7" ht="28.8">
      <c r="B2184" s="162" t="s">
        <v>34</v>
      </c>
      <c r="C2184" s="162" t="s">
        <v>561</v>
      </c>
      <c r="D2184" s="162" t="s">
        <v>82</v>
      </c>
      <c r="F2184" s="162">
        <v>36000</v>
      </c>
      <c r="G2184" s="162">
        <v>1</v>
      </c>
    </row>
    <row r="2185" spans="2:7">
      <c r="B2185" s="162" t="s">
        <v>34</v>
      </c>
      <c r="C2185" s="162" t="s">
        <v>83</v>
      </c>
      <c r="D2185" s="162" t="s">
        <v>562</v>
      </c>
      <c r="F2185" s="162">
        <v>4300</v>
      </c>
      <c r="G2185" s="162">
        <v>1</v>
      </c>
    </row>
    <row r="2186" spans="2:7" ht="28.8">
      <c r="B2186" s="162" t="s">
        <v>34</v>
      </c>
      <c r="C2186" s="162" t="s">
        <v>84</v>
      </c>
      <c r="D2186" s="162" t="s">
        <v>563</v>
      </c>
      <c r="F2186" s="162">
        <v>5500</v>
      </c>
      <c r="G2186" s="162">
        <v>1</v>
      </c>
    </row>
    <row r="2187" spans="2:7" ht="28.8">
      <c r="B2187" s="162" t="s">
        <v>34</v>
      </c>
      <c r="C2187" s="162" t="s">
        <v>85</v>
      </c>
      <c r="D2187" s="162" t="s">
        <v>564</v>
      </c>
      <c r="F2187" s="162">
        <v>3600</v>
      </c>
      <c r="G2187" s="162">
        <v>1</v>
      </c>
    </row>
    <row r="2188" spans="2:7" ht="28.8">
      <c r="B2188" s="162" t="s">
        <v>34</v>
      </c>
      <c r="C2188" s="162" t="s">
        <v>86</v>
      </c>
      <c r="D2188" s="162" t="s">
        <v>565</v>
      </c>
      <c r="F2188" s="162">
        <v>3400</v>
      </c>
      <c r="G2188" s="162">
        <v>1</v>
      </c>
    </row>
    <row r="2189" spans="2:7" ht="28.8">
      <c r="B2189" s="162" t="s">
        <v>34</v>
      </c>
      <c r="C2189" s="162" t="s">
        <v>87</v>
      </c>
      <c r="D2189" s="162" t="s">
        <v>566</v>
      </c>
      <c r="F2189" s="162">
        <v>3800</v>
      </c>
      <c r="G2189" s="162">
        <v>1</v>
      </c>
    </row>
    <row r="2190" spans="2:7" ht="43.2">
      <c r="B2190" s="162" t="s">
        <v>34</v>
      </c>
      <c r="C2190" s="162" t="s">
        <v>88</v>
      </c>
      <c r="D2190" s="162" t="s">
        <v>567</v>
      </c>
      <c r="F2190" s="162">
        <v>3600</v>
      </c>
      <c r="G2190" s="162">
        <v>1</v>
      </c>
    </row>
    <row r="2191" spans="2:7" ht="28.8">
      <c r="B2191" s="162" t="s">
        <v>34</v>
      </c>
      <c r="C2191" s="162" t="s">
        <v>89</v>
      </c>
      <c r="D2191" s="162" t="s">
        <v>568</v>
      </c>
      <c r="F2191" s="162">
        <v>1900</v>
      </c>
      <c r="G2191" s="162">
        <v>1</v>
      </c>
    </row>
    <row r="2192" spans="2:7" ht="28.8">
      <c r="B2192" s="162" t="s">
        <v>34</v>
      </c>
      <c r="C2192" s="162" t="s">
        <v>90</v>
      </c>
      <c r="D2192" s="162" t="s">
        <v>569</v>
      </c>
      <c r="F2192" s="162">
        <v>6400</v>
      </c>
      <c r="G2192" s="162">
        <v>1</v>
      </c>
    </row>
    <row r="2193" spans="2:7" ht="28.8">
      <c r="B2193" s="162" t="s">
        <v>34</v>
      </c>
      <c r="C2193" s="162" t="s">
        <v>91</v>
      </c>
      <c r="D2193" s="162" t="s">
        <v>570</v>
      </c>
      <c r="F2193" s="162">
        <v>4000</v>
      </c>
      <c r="G2193" s="162">
        <v>1</v>
      </c>
    </row>
    <row r="2194" spans="2:7" ht="28.8">
      <c r="B2194" s="162" t="s">
        <v>34</v>
      </c>
      <c r="C2194" s="162" t="s">
        <v>92</v>
      </c>
      <c r="D2194" s="162" t="s">
        <v>571</v>
      </c>
      <c r="F2194" s="162">
        <v>5000</v>
      </c>
      <c r="G2194" s="162">
        <v>1</v>
      </c>
    </row>
    <row r="2195" spans="2:7" ht="28.8">
      <c r="B2195" s="162" t="s">
        <v>34</v>
      </c>
      <c r="C2195" s="162" t="s">
        <v>93</v>
      </c>
      <c r="D2195" s="162" t="s">
        <v>572</v>
      </c>
      <c r="F2195" s="162">
        <v>9000</v>
      </c>
      <c r="G2195" s="162">
        <v>1</v>
      </c>
    </row>
    <row r="2196" spans="2:7" ht="28.8">
      <c r="B2196" s="162" t="s">
        <v>34</v>
      </c>
      <c r="C2196" s="162" t="s">
        <v>573</v>
      </c>
      <c r="D2196" s="162" t="s">
        <v>574</v>
      </c>
      <c r="F2196" s="162">
        <v>10000</v>
      </c>
      <c r="G2196" s="162">
        <v>1</v>
      </c>
    </row>
    <row r="2197" spans="2:7" ht="28.8">
      <c r="B2197" s="162" t="s">
        <v>34</v>
      </c>
      <c r="C2197" s="162" t="s">
        <v>94</v>
      </c>
      <c r="D2197" s="162" t="s">
        <v>575</v>
      </c>
      <c r="F2197" s="162">
        <v>11000</v>
      </c>
      <c r="G2197" s="162">
        <v>1</v>
      </c>
    </row>
    <row r="2198" spans="2:7" ht="28.8">
      <c r="B2198" s="162" t="s">
        <v>34</v>
      </c>
      <c r="C2198" s="162" t="s">
        <v>576</v>
      </c>
      <c r="D2198" s="162" t="s">
        <v>577</v>
      </c>
      <c r="G2198" s="162">
        <v>1</v>
      </c>
    </row>
    <row r="2199" spans="2:7" ht="28.8">
      <c r="B2199" s="162" t="s">
        <v>34</v>
      </c>
      <c r="C2199" s="162" t="s">
        <v>95</v>
      </c>
      <c r="D2199" s="162" t="s">
        <v>578</v>
      </c>
      <c r="F2199" s="162">
        <v>3000</v>
      </c>
      <c r="G2199" s="162">
        <v>1</v>
      </c>
    </row>
    <row r="2200" spans="2:7" ht="28.8">
      <c r="B2200" s="162" t="s">
        <v>34</v>
      </c>
      <c r="C2200" s="162" t="s">
        <v>96</v>
      </c>
      <c r="D2200" s="162" t="s">
        <v>579</v>
      </c>
      <c r="F2200" s="162">
        <v>2000</v>
      </c>
      <c r="G2200" s="162">
        <v>1</v>
      </c>
    </row>
    <row r="2201" spans="2:7" ht="28.8">
      <c r="B2201" s="162" t="s">
        <v>34</v>
      </c>
      <c r="C2201" s="162" t="s">
        <v>97</v>
      </c>
      <c r="D2201" s="162" t="s">
        <v>580</v>
      </c>
      <c r="F2201" s="162">
        <v>700</v>
      </c>
      <c r="G2201" s="162">
        <v>1</v>
      </c>
    </row>
    <row r="2202" spans="2:7" ht="28.8">
      <c r="B2202" s="162" t="s">
        <v>34</v>
      </c>
      <c r="C2202" s="162" t="s">
        <v>581</v>
      </c>
      <c r="D2202" s="162" t="s">
        <v>582</v>
      </c>
      <c r="F2202" s="162">
        <v>1800</v>
      </c>
      <c r="G2202" s="162">
        <v>1</v>
      </c>
    </row>
    <row r="2203" spans="2:7" ht="28.8">
      <c r="B2203" s="162" t="s">
        <v>34</v>
      </c>
      <c r="C2203" s="162" t="s">
        <v>98</v>
      </c>
      <c r="D2203" s="162" t="s">
        <v>583</v>
      </c>
      <c r="F2203" s="162">
        <v>900</v>
      </c>
      <c r="G2203" s="162">
        <v>1</v>
      </c>
    </row>
    <row r="2204" spans="2:7" ht="28.8">
      <c r="B2204" s="162" t="s">
        <v>34</v>
      </c>
      <c r="C2204" s="162" t="s">
        <v>584</v>
      </c>
      <c r="D2204" s="162" t="s">
        <v>585</v>
      </c>
      <c r="F2204" s="162">
        <v>4000</v>
      </c>
      <c r="G2204" s="162">
        <v>1</v>
      </c>
    </row>
    <row r="2205" spans="2:7" ht="28.8">
      <c r="B2205" s="162" t="s">
        <v>34</v>
      </c>
      <c r="C2205" s="162" t="s">
        <v>586</v>
      </c>
      <c r="D2205" s="162" t="s">
        <v>587</v>
      </c>
      <c r="F2205" s="162">
        <v>1800</v>
      </c>
      <c r="G2205" s="162">
        <v>1</v>
      </c>
    </row>
    <row r="2206" spans="2:7" ht="28.8">
      <c r="B2206" s="162" t="s">
        <v>34</v>
      </c>
      <c r="C2206" s="162" t="s">
        <v>99</v>
      </c>
      <c r="D2206" s="162" t="s">
        <v>588</v>
      </c>
      <c r="F2206" s="162">
        <v>1400</v>
      </c>
      <c r="G2206" s="162">
        <v>1</v>
      </c>
    </row>
    <row r="2207" spans="2:7">
      <c r="B2207" s="162" t="s">
        <v>34</v>
      </c>
      <c r="C2207" s="162" t="s">
        <v>100</v>
      </c>
      <c r="D2207" s="162" t="s">
        <v>589</v>
      </c>
      <c r="F2207" s="162">
        <v>1300</v>
      </c>
      <c r="G2207" s="162">
        <v>1</v>
      </c>
    </row>
    <row r="2208" spans="2:7">
      <c r="B2208" s="162" t="s">
        <v>34</v>
      </c>
      <c r="C2208" s="162" t="s">
        <v>101</v>
      </c>
      <c r="D2208" s="162" t="s">
        <v>590</v>
      </c>
      <c r="F2208" s="162">
        <v>2000</v>
      </c>
      <c r="G2208" s="162">
        <v>1</v>
      </c>
    </row>
    <row r="2209" spans="2:7" ht="28.8">
      <c r="B2209" s="162" t="s">
        <v>34</v>
      </c>
      <c r="C2209" s="162" t="s">
        <v>591</v>
      </c>
      <c r="D2209" s="162" t="s">
        <v>592</v>
      </c>
      <c r="F2209" s="162">
        <v>700</v>
      </c>
      <c r="G2209" s="162">
        <v>1</v>
      </c>
    </row>
    <row r="2210" spans="2:7" ht="28.8">
      <c r="B2210" s="162" t="s">
        <v>34</v>
      </c>
      <c r="C2210" s="162" t="s">
        <v>102</v>
      </c>
      <c r="D2210" s="162" t="s">
        <v>593</v>
      </c>
      <c r="F2210" s="162">
        <v>1500</v>
      </c>
      <c r="G2210" s="162">
        <v>1</v>
      </c>
    </row>
    <row r="2211" spans="2:7" ht="28.8">
      <c r="B2211" s="162" t="s">
        <v>34</v>
      </c>
      <c r="C2211" s="162" t="s">
        <v>103</v>
      </c>
      <c r="D2211" s="162" t="s">
        <v>594</v>
      </c>
      <c r="F2211" s="162">
        <v>2000</v>
      </c>
      <c r="G2211" s="162">
        <v>1</v>
      </c>
    </row>
    <row r="2212" spans="2:7" ht="28.8">
      <c r="B2212" s="162" t="s">
        <v>34</v>
      </c>
      <c r="C2212" s="162" t="s">
        <v>595</v>
      </c>
      <c r="D2212" s="162" t="s">
        <v>596</v>
      </c>
      <c r="F2212" s="162">
        <v>300</v>
      </c>
      <c r="G2212" s="162">
        <v>1</v>
      </c>
    </row>
    <row r="2213" spans="2:7">
      <c r="B2213" s="162" t="s">
        <v>34</v>
      </c>
      <c r="C2213" s="162" t="s">
        <v>104</v>
      </c>
      <c r="D2213" s="162" t="s">
        <v>597</v>
      </c>
      <c r="F2213" s="162">
        <v>2400</v>
      </c>
      <c r="G2213" s="162">
        <v>1</v>
      </c>
    </row>
    <row r="2214" spans="2:7" ht="28.8">
      <c r="B2214" s="162" t="s">
        <v>34</v>
      </c>
      <c r="C2214" s="162" t="s">
        <v>598</v>
      </c>
      <c r="D2214" s="162" t="s">
        <v>599</v>
      </c>
      <c r="F2214" s="162">
        <v>500</v>
      </c>
      <c r="G2214" s="162">
        <v>1</v>
      </c>
    </row>
    <row r="2215" spans="2:7" ht="28.8">
      <c r="B2215" s="162" t="s">
        <v>34</v>
      </c>
      <c r="C2215" s="162" t="s">
        <v>600</v>
      </c>
      <c r="D2215" s="162" t="s">
        <v>601</v>
      </c>
      <c r="F2215" s="162">
        <v>1000</v>
      </c>
      <c r="G2215" s="162">
        <v>1</v>
      </c>
    </row>
    <row r="2216" spans="2:7">
      <c r="B2216" s="162" t="s">
        <v>34</v>
      </c>
      <c r="C2216" s="162" t="s">
        <v>602</v>
      </c>
      <c r="D2216" s="162" t="s">
        <v>603</v>
      </c>
      <c r="G2216" s="162">
        <v>1</v>
      </c>
    </row>
    <row r="2217" spans="2:7">
      <c r="B2217" s="162" t="s">
        <v>34</v>
      </c>
      <c r="C2217" s="162" t="s">
        <v>604</v>
      </c>
      <c r="D2217" s="162" t="s">
        <v>605</v>
      </c>
      <c r="G2217" s="162">
        <v>1</v>
      </c>
    </row>
    <row r="2218" spans="2:7">
      <c r="B2218" s="162" t="s">
        <v>34</v>
      </c>
      <c r="C2218" s="162" t="s">
        <v>606</v>
      </c>
      <c r="D2218" s="162" t="s">
        <v>607</v>
      </c>
      <c r="F2218" s="162">
        <v>700</v>
      </c>
      <c r="G2218" s="162">
        <v>1</v>
      </c>
    </row>
    <row r="2219" spans="2:7">
      <c r="B2219" s="162" t="s">
        <v>34</v>
      </c>
      <c r="C2219" s="162" t="s">
        <v>608</v>
      </c>
      <c r="D2219" s="162" t="s">
        <v>609</v>
      </c>
      <c r="F2219" s="162">
        <v>900</v>
      </c>
      <c r="G2219" s="162">
        <v>1</v>
      </c>
    </row>
    <row r="2220" spans="2:7">
      <c r="B2220" s="162" t="s">
        <v>34</v>
      </c>
      <c r="C2220" s="162" t="s">
        <v>610</v>
      </c>
      <c r="D2220" s="162" t="s">
        <v>611</v>
      </c>
      <c r="F2220" s="162">
        <v>1100</v>
      </c>
      <c r="G2220" s="162">
        <v>1</v>
      </c>
    </row>
    <row r="2221" spans="2:7" ht="28.8">
      <c r="B2221" s="162" t="s">
        <v>34</v>
      </c>
      <c r="C2221" s="162" t="s">
        <v>105</v>
      </c>
      <c r="D2221" s="162" t="s">
        <v>612</v>
      </c>
      <c r="F2221" s="162">
        <v>330</v>
      </c>
      <c r="G2221" s="162">
        <v>1</v>
      </c>
    </row>
    <row r="2222" spans="2:7" ht="28.8">
      <c r="B2222" s="162" t="s">
        <v>34</v>
      </c>
      <c r="C2222" s="162" t="s">
        <v>106</v>
      </c>
      <c r="D2222" s="162" t="s">
        <v>613</v>
      </c>
      <c r="F2222" s="162">
        <v>1700</v>
      </c>
      <c r="G2222" s="162">
        <v>1</v>
      </c>
    </row>
    <row r="2223" spans="2:7" ht="43.2">
      <c r="B2223" s="162" t="s">
        <v>34</v>
      </c>
      <c r="C2223" s="162" t="s">
        <v>107</v>
      </c>
      <c r="D2223" s="162" t="s">
        <v>614</v>
      </c>
      <c r="F2223" s="162">
        <v>380</v>
      </c>
      <c r="G2223" s="162">
        <v>1</v>
      </c>
    </row>
    <row r="2224" spans="2:7" ht="28.8">
      <c r="B2224" s="162" t="s">
        <v>34</v>
      </c>
      <c r="C2224" s="162" t="s">
        <v>108</v>
      </c>
      <c r="D2224" s="162" t="s">
        <v>615</v>
      </c>
      <c r="F2224" s="162">
        <v>330</v>
      </c>
      <c r="G2224" s="162">
        <v>1</v>
      </c>
    </row>
    <row r="2225" spans="2:7" ht="28.8">
      <c r="B2225" s="162" t="s">
        <v>34</v>
      </c>
      <c r="C2225" s="162" t="s">
        <v>109</v>
      </c>
      <c r="D2225" s="162" t="s">
        <v>616</v>
      </c>
      <c r="F2225" s="162">
        <v>180</v>
      </c>
      <c r="G2225" s="162">
        <v>1</v>
      </c>
    </row>
    <row r="2226" spans="2:7" ht="28.8">
      <c r="B2226" s="162" t="s">
        <v>34</v>
      </c>
      <c r="C2226" s="162" t="s">
        <v>110</v>
      </c>
      <c r="D2226" s="162" t="s">
        <v>617</v>
      </c>
      <c r="F2226" s="162">
        <v>1090</v>
      </c>
      <c r="G2226" s="162">
        <v>1</v>
      </c>
    </row>
    <row r="2227" spans="2:7" ht="43.2">
      <c r="B2227" s="162" t="s">
        <v>34</v>
      </c>
      <c r="C2227" s="162" t="s">
        <v>88</v>
      </c>
      <c r="D2227" s="162" t="s">
        <v>567</v>
      </c>
      <c r="F2227" s="162">
        <v>3600</v>
      </c>
      <c r="G2227" s="162">
        <v>1</v>
      </c>
    </row>
    <row r="2228" spans="2:7" ht="28.8">
      <c r="B2228" s="162" t="s">
        <v>34</v>
      </c>
      <c r="C2228" s="162" t="s">
        <v>85</v>
      </c>
      <c r="D2228" s="162" t="s">
        <v>564</v>
      </c>
      <c r="F2228" s="162">
        <v>3800</v>
      </c>
      <c r="G2228" s="162">
        <v>1</v>
      </c>
    </row>
    <row r="2229" spans="2:7">
      <c r="B2229" s="162" t="s">
        <v>34</v>
      </c>
      <c r="C2229" s="162" t="s">
        <v>111</v>
      </c>
      <c r="D2229" s="162" t="s">
        <v>519</v>
      </c>
      <c r="F2229" s="162">
        <v>5300</v>
      </c>
      <c r="G2229" s="162">
        <v>1</v>
      </c>
    </row>
    <row r="2230" spans="2:7">
      <c r="B2230" s="162" t="s">
        <v>34</v>
      </c>
      <c r="C2230" s="162" t="s">
        <v>112</v>
      </c>
      <c r="D2230" s="162" t="s">
        <v>519</v>
      </c>
      <c r="F2230" s="162">
        <v>1000</v>
      </c>
      <c r="G2230" s="162">
        <v>1</v>
      </c>
    </row>
    <row r="2231" spans="2:7">
      <c r="B2231" s="162" t="s">
        <v>34</v>
      </c>
      <c r="C2231" s="162" t="s">
        <v>114</v>
      </c>
      <c r="D2231" s="162" t="s">
        <v>113</v>
      </c>
      <c r="F2231" s="162">
        <v>350</v>
      </c>
      <c r="G2231" s="162">
        <v>1</v>
      </c>
    </row>
    <row r="2232" spans="2:7">
      <c r="B2232" s="162" t="s">
        <v>34</v>
      </c>
      <c r="C2232" s="162" t="s">
        <v>115</v>
      </c>
      <c r="D2232" s="162" t="s">
        <v>618</v>
      </c>
      <c r="F2232" s="162">
        <v>3000</v>
      </c>
      <c r="G2232" s="162">
        <v>1</v>
      </c>
    </row>
    <row r="2233" spans="2:7" ht="28.8">
      <c r="B2233" s="162" t="s">
        <v>34</v>
      </c>
      <c r="C2233" s="162" t="s">
        <v>116</v>
      </c>
      <c r="D2233" s="162" t="s">
        <v>619</v>
      </c>
      <c r="F2233" s="162">
        <v>5800</v>
      </c>
      <c r="G2233" s="162">
        <v>1</v>
      </c>
    </row>
    <row r="2234" spans="2:7" ht="28.8">
      <c r="B2234" s="162" t="s">
        <v>34</v>
      </c>
      <c r="C2234" s="162" t="s">
        <v>117</v>
      </c>
      <c r="D2234" s="162" t="s">
        <v>620</v>
      </c>
      <c r="F2234" s="162">
        <v>5800</v>
      </c>
      <c r="G2234" s="162">
        <v>1</v>
      </c>
    </row>
    <row r="2235" spans="2:7">
      <c r="B2235" s="162" t="s">
        <v>34</v>
      </c>
      <c r="C2235" s="162" t="s">
        <v>118</v>
      </c>
      <c r="D2235" s="162" t="s">
        <v>621</v>
      </c>
      <c r="F2235" s="162">
        <v>4800</v>
      </c>
      <c r="G2235" s="162">
        <v>1</v>
      </c>
    </row>
    <row r="2236" spans="2:7">
      <c r="B2236" s="162" t="s">
        <v>34</v>
      </c>
      <c r="C2236" s="162" t="s">
        <v>120</v>
      </c>
      <c r="D2236" s="162" t="s">
        <v>119</v>
      </c>
      <c r="F2236" s="162">
        <v>4800</v>
      </c>
      <c r="G2236" s="162">
        <v>1</v>
      </c>
    </row>
    <row r="2237" spans="2:7">
      <c r="B2237" s="162" t="s">
        <v>34</v>
      </c>
      <c r="C2237" s="162" t="s">
        <v>121</v>
      </c>
      <c r="D2237" s="162" t="s">
        <v>622</v>
      </c>
      <c r="F2237" s="162">
        <v>2000</v>
      </c>
      <c r="G2237" s="162">
        <v>1</v>
      </c>
    </row>
    <row r="2238" spans="2:7">
      <c r="B2238" s="162" t="s">
        <v>34</v>
      </c>
      <c r="C2238" s="162" t="s">
        <v>623</v>
      </c>
      <c r="D2238" s="162" t="s">
        <v>624</v>
      </c>
      <c r="F2238" s="162">
        <v>2000</v>
      </c>
      <c r="G2238" s="162">
        <v>1</v>
      </c>
    </row>
    <row r="2239" spans="2:7" ht="43.2">
      <c r="B2239" s="162" t="s">
        <v>34</v>
      </c>
      <c r="C2239" s="162" t="s">
        <v>122</v>
      </c>
      <c r="D2239" s="162" t="s">
        <v>625</v>
      </c>
      <c r="F2239" s="162">
        <v>2000</v>
      </c>
      <c r="G2239" s="162">
        <v>1</v>
      </c>
    </row>
    <row r="2240" spans="2:7" ht="57.6">
      <c r="B2240" s="162" t="s">
        <v>34</v>
      </c>
      <c r="C2240" s="162" t="s">
        <v>626</v>
      </c>
      <c r="D2240" s="162" t="s">
        <v>627</v>
      </c>
      <c r="G2240" s="162">
        <v>1</v>
      </c>
    </row>
    <row r="2241" spans="2:7" ht="57.6">
      <c r="B2241" s="162" t="s">
        <v>34</v>
      </c>
      <c r="C2241" s="162" t="s">
        <v>628</v>
      </c>
      <c r="D2241" s="162" t="s">
        <v>629</v>
      </c>
      <c r="F2241" s="162">
        <v>1800</v>
      </c>
      <c r="G2241" s="162">
        <v>1</v>
      </c>
    </row>
    <row r="2242" spans="2:7" ht="43.2">
      <c r="B2242" s="162" t="s">
        <v>34</v>
      </c>
      <c r="C2242" s="162" t="s">
        <v>123</v>
      </c>
      <c r="D2242" s="162" t="s">
        <v>630</v>
      </c>
      <c r="F2242" s="162">
        <v>1700</v>
      </c>
      <c r="G2242" s="162">
        <v>1</v>
      </c>
    </row>
    <row r="2243" spans="2:7">
      <c r="B2243" s="162" t="s">
        <v>34</v>
      </c>
      <c r="C2243" s="162" t="s">
        <v>631</v>
      </c>
      <c r="D2243" s="162" t="s">
        <v>632</v>
      </c>
      <c r="G2243" s="162">
        <v>1</v>
      </c>
    </row>
    <row r="2244" spans="2:7">
      <c r="B2244" s="162" t="s">
        <v>34</v>
      </c>
      <c r="C2244" s="162" t="s">
        <v>633</v>
      </c>
      <c r="D2244" s="162" t="s">
        <v>634</v>
      </c>
      <c r="G2244" s="162">
        <v>1</v>
      </c>
    </row>
    <row r="2245" spans="2:7">
      <c r="B2245" s="162" t="s">
        <v>34</v>
      </c>
      <c r="C2245" s="162" t="s">
        <v>124</v>
      </c>
      <c r="D2245" s="162" t="s">
        <v>635</v>
      </c>
      <c r="F2245" s="162">
        <v>3800</v>
      </c>
      <c r="G2245" s="162">
        <v>1</v>
      </c>
    </row>
    <row r="2246" spans="2:7">
      <c r="B2246" s="162" t="s">
        <v>34</v>
      </c>
      <c r="C2246" s="162" t="s">
        <v>125</v>
      </c>
      <c r="D2246" s="162" t="s">
        <v>636</v>
      </c>
      <c r="F2246" s="162">
        <v>1500</v>
      </c>
      <c r="G2246" s="162">
        <v>1</v>
      </c>
    </row>
    <row r="2247" spans="2:7">
      <c r="B2247" s="162" t="s">
        <v>34</v>
      </c>
      <c r="C2247" s="162" t="s">
        <v>126</v>
      </c>
      <c r="D2247" s="162" t="s">
        <v>637</v>
      </c>
      <c r="F2247" s="162">
        <v>2800</v>
      </c>
      <c r="G2247" s="162">
        <v>1</v>
      </c>
    </row>
    <row r="2248" spans="2:7">
      <c r="B2248" s="162" t="s">
        <v>34</v>
      </c>
      <c r="C2248" s="162" t="s">
        <v>638</v>
      </c>
      <c r="D2248" s="162" t="s">
        <v>639</v>
      </c>
      <c r="F2248" s="162">
        <v>1300</v>
      </c>
      <c r="G2248" s="162">
        <v>1</v>
      </c>
    </row>
    <row r="2249" spans="2:7" ht="28.8">
      <c r="B2249" s="162" t="s">
        <v>34</v>
      </c>
      <c r="C2249" s="162" t="s">
        <v>640</v>
      </c>
      <c r="D2249" s="162" t="s">
        <v>641</v>
      </c>
      <c r="F2249" s="162">
        <v>200</v>
      </c>
      <c r="G2249" s="162">
        <v>1</v>
      </c>
    </row>
    <row r="2250" spans="2:7">
      <c r="B2250" s="162" t="s">
        <v>34</v>
      </c>
      <c r="C2250" s="162" t="s">
        <v>127</v>
      </c>
      <c r="D2250" s="162" t="s">
        <v>642</v>
      </c>
      <c r="F2250" s="162">
        <v>1400</v>
      </c>
      <c r="G2250" s="162">
        <v>1</v>
      </c>
    </row>
    <row r="2251" spans="2:7" ht="28.8">
      <c r="B2251" s="162" t="s">
        <v>34</v>
      </c>
      <c r="C2251" s="162" t="s">
        <v>643</v>
      </c>
      <c r="D2251" s="162" t="s">
        <v>644</v>
      </c>
      <c r="F2251" s="162">
        <v>200</v>
      </c>
      <c r="G2251" s="162">
        <v>1</v>
      </c>
    </row>
    <row r="2252" spans="2:7" ht="43.2">
      <c r="B2252" s="162" t="s">
        <v>34</v>
      </c>
      <c r="C2252" s="162" t="s">
        <v>645</v>
      </c>
      <c r="D2252" s="162" t="s">
        <v>646</v>
      </c>
      <c r="F2252" s="162">
        <v>8000</v>
      </c>
      <c r="G2252" s="162">
        <v>1</v>
      </c>
    </row>
    <row r="2253" spans="2:7" ht="28.8">
      <c r="B2253" s="162" t="s">
        <v>34</v>
      </c>
      <c r="C2253" s="162" t="s">
        <v>647</v>
      </c>
      <c r="D2253" s="162" t="s">
        <v>648</v>
      </c>
      <c r="F2253" s="162">
        <v>8000</v>
      </c>
      <c r="G2253" s="162">
        <v>1</v>
      </c>
    </row>
    <row r="2254" spans="2:7" ht="43.2">
      <c r="B2254" s="162" t="s">
        <v>34</v>
      </c>
      <c r="C2254" s="162" t="s">
        <v>128</v>
      </c>
      <c r="D2254" s="162" t="s">
        <v>649</v>
      </c>
      <c r="F2254" s="162">
        <v>6666</v>
      </c>
      <c r="G2254" s="162">
        <v>1</v>
      </c>
    </row>
    <row r="2255" spans="2:7" ht="57.6">
      <c r="B2255" s="162" t="s">
        <v>34</v>
      </c>
      <c r="C2255" s="162" t="s">
        <v>650</v>
      </c>
      <c r="D2255" s="162" t="s">
        <v>651</v>
      </c>
      <c r="F2255" s="162">
        <v>5000</v>
      </c>
      <c r="G2255" s="162">
        <v>1</v>
      </c>
    </row>
    <row r="2256" spans="2:7" ht="28.8">
      <c r="B2256" s="162" t="s">
        <v>34</v>
      </c>
      <c r="C2256" s="162" t="s">
        <v>652</v>
      </c>
      <c r="D2256" s="162" t="s">
        <v>653</v>
      </c>
      <c r="F2256" s="162">
        <v>0</v>
      </c>
      <c r="G2256" s="162">
        <v>1</v>
      </c>
    </row>
    <row r="2257" spans="2:7" ht="28.8">
      <c r="B2257" s="162" t="s">
        <v>679</v>
      </c>
      <c r="C2257" s="162" t="s">
        <v>6164</v>
      </c>
      <c r="D2257" s="162" t="s">
        <v>6165</v>
      </c>
      <c r="F2257" s="162">
        <v>4260.3500000000004</v>
      </c>
      <c r="G2257" s="162">
        <v>1</v>
      </c>
    </row>
    <row r="2258" spans="2:7" ht="28.8">
      <c r="B2258" s="162" t="s">
        <v>679</v>
      </c>
      <c r="C2258" s="162" t="s">
        <v>6166</v>
      </c>
      <c r="D2258" s="162" t="s">
        <v>6167</v>
      </c>
      <c r="F2258" s="162">
        <v>3453.9</v>
      </c>
      <c r="G2258" s="162">
        <v>1</v>
      </c>
    </row>
    <row r="2259" spans="2:7" ht="28.8">
      <c r="B2259" s="162" t="s">
        <v>679</v>
      </c>
      <c r="C2259" s="162" t="s">
        <v>6168</v>
      </c>
      <c r="D2259" s="162" t="s">
        <v>6169</v>
      </c>
      <c r="F2259" s="162">
        <v>6449.28</v>
      </c>
      <c r="G2259" s="162">
        <v>1</v>
      </c>
    </row>
    <row r="2260" spans="2:7" ht="28.8">
      <c r="B2260" s="162" t="s">
        <v>679</v>
      </c>
      <c r="C2260" s="162" t="s">
        <v>6170</v>
      </c>
      <c r="D2260" s="162" t="s">
        <v>6171</v>
      </c>
      <c r="F2260" s="162">
        <v>2301.83</v>
      </c>
      <c r="G2260" s="162">
        <v>1</v>
      </c>
    </row>
    <row r="2261" spans="2:7" ht="28.8">
      <c r="B2261" s="162" t="s">
        <v>679</v>
      </c>
      <c r="C2261" s="162" t="s">
        <v>6172</v>
      </c>
      <c r="D2261" s="162" t="s">
        <v>6173</v>
      </c>
      <c r="F2261" s="162">
        <v>1555.29</v>
      </c>
      <c r="G2261" s="162">
        <v>1</v>
      </c>
    </row>
    <row r="2262" spans="2:7" ht="28.8">
      <c r="B2262" s="162" t="s">
        <v>679</v>
      </c>
      <c r="C2262" s="162" t="s">
        <v>6174</v>
      </c>
      <c r="D2262" s="162" t="s">
        <v>6175</v>
      </c>
      <c r="F2262" s="162">
        <v>2990.77</v>
      </c>
      <c r="G2262" s="162">
        <v>1</v>
      </c>
    </row>
    <row r="2263" spans="2:7" ht="28.8">
      <c r="B2263" s="162" t="s">
        <v>679</v>
      </c>
      <c r="C2263" s="162" t="s">
        <v>6176</v>
      </c>
      <c r="D2263" s="162" t="s">
        <v>6177</v>
      </c>
      <c r="F2263" s="162">
        <v>2301.83</v>
      </c>
      <c r="G2263" s="162">
        <v>1</v>
      </c>
    </row>
    <row r="2264" spans="2:7" ht="57.6">
      <c r="B2264" s="162" t="s">
        <v>679</v>
      </c>
      <c r="C2264" s="162" t="s">
        <v>6178</v>
      </c>
      <c r="D2264" s="162" t="s">
        <v>6179</v>
      </c>
      <c r="F2264" s="162">
        <v>6449.28</v>
      </c>
      <c r="G2264" s="162">
        <v>1</v>
      </c>
    </row>
    <row r="2265" spans="2:7" ht="28.8">
      <c r="B2265" s="162" t="s">
        <v>679</v>
      </c>
      <c r="C2265" s="162" t="s">
        <v>6180</v>
      </c>
      <c r="D2265" s="162" t="s">
        <v>6181</v>
      </c>
      <c r="F2265" s="162">
        <v>7094.44</v>
      </c>
      <c r="G2265" s="162">
        <v>1</v>
      </c>
    </row>
    <row r="2266" spans="2:7" ht="28.8">
      <c r="B2266" s="162" t="s">
        <v>679</v>
      </c>
      <c r="C2266" s="162" t="s">
        <v>6182</v>
      </c>
      <c r="D2266" s="162" t="s">
        <v>6183</v>
      </c>
      <c r="F2266" s="162">
        <v>6449.28</v>
      </c>
      <c r="G2266" s="162">
        <v>1</v>
      </c>
    </row>
    <row r="2267" spans="2:7" ht="28.8">
      <c r="B2267" s="162" t="s">
        <v>679</v>
      </c>
      <c r="C2267" s="162" t="s">
        <v>6184</v>
      </c>
      <c r="D2267" s="162" t="s">
        <v>6185</v>
      </c>
      <c r="F2267" s="162">
        <v>5354.82</v>
      </c>
      <c r="G2267" s="162">
        <v>1</v>
      </c>
    </row>
    <row r="2268" spans="2:7" ht="28.8">
      <c r="B2268" s="162" t="s">
        <v>679</v>
      </c>
      <c r="C2268" s="162" t="s">
        <v>6186</v>
      </c>
      <c r="D2268" s="162" t="s">
        <v>6187</v>
      </c>
      <c r="F2268" s="162">
        <v>10366.32</v>
      </c>
      <c r="G2268" s="162">
        <v>1</v>
      </c>
    </row>
    <row r="2269" spans="2:7">
      <c r="B2269" s="162" t="s">
        <v>679</v>
      </c>
      <c r="C2269" s="162" t="s">
        <v>6188</v>
      </c>
      <c r="D2269" s="162" t="s">
        <v>6189</v>
      </c>
      <c r="F2269" s="162">
        <v>3511.51</v>
      </c>
      <c r="G2269" s="162">
        <v>1</v>
      </c>
    </row>
    <row r="2270" spans="2:7" ht="28.8">
      <c r="B2270" s="162" t="s">
        <v>679</v>
      </c>
      <c r="C2270" s="162" t="s">
        <v>6190</v>
      </c>
      <c r="D2270" s="162" t="s">
        <v>6191</v>
      </c>
      <c r="F2270" s="162">
        <v>3511.51</v>
      </c>
      <c r="G2270" s="162">
        <v>1</v>
      </c>
    </row>
    <row r="2271" spans="2:7" ht="28.8">
      <c r="B2271" s="162" t="s">
        <v>679</v>
      </c>
      <c r="C2271" s="162" t="s">
        <v>6192</v>
      </c>
      <c r="D2271" s="162" t="s">
        <v>6193</v>
      </c>
      <c r="F2271" s="162">
        <v>2532.25</v>
      </c>
      <c r="G2271" s="162">
        <v>1</v>
      </c>
    </row>
    <row r="2272" spans="2:7">
      <c r="B2272" s="162" t="s">
        <v>679</v>
      </c>
      <c r="C2272" s="162" t="s">
        <v>6194</v>
      </c>
      <c r="D2272" s="162" t="s">
        <v>6195</v>
      </c>
      <c r="F2272" s="162">
        <v>4893.99</v>
      </c>
      <c r="G2272" s="162">
        <v>1</v>
      </c>
    </row>
    <row r="2273" spans="2:7" ht="28.8">
      <c r="B2273" s="162" t="s">
        <v>679</v>
      </c>
      <c r="C2273" s="162" t="s">
        <v>6196</v>
      </c>
      <c r="D2273" s="162" t="s">
        <v>6197</v>
      </c>
      <c r="F2273" s="162">
        <v>4893.99</v>
      </c>
      <c r="G2273" s="162">
        <v>1</v>
      </c>
    </row>
    <row r="2274" spans="2:7" ht="28.8">
      <c r="B2274" s="162" t="s">
        <v>679</v>
      </c>
      <c r="C2274" s="162" t="s">
        <v>6198</v>
      </c>
      <c r="D2274" s="162" t="s">
        <v>6199</v>
      </c>
      <c r="F2274" s="162">
        <v>3799.52</v>
      </c>
      <c r="G2274" s="162">
        <v>1</v>
      </c>
    </row>
    <row r="2275" spans="2:7">
      <c r="B2275" s="162" t="s">
        <v>679</v>
      </c>
      <c r="C2275" s="162" t="s">
        <v>6200</v>
      </c>
      <c r="D2275" s="162" t="s">
        <v>6201</v>
      </c>
      <c r="F2275" s="162">
        <v>6336.38</v>
      </c>
      <c r="G2275" s="162">
        <v>1</v>
      </c>
    </row>
    <row r="2276" spans="2:7" ht="28.8">
      <c r="B2276" s="162" t="s">
        <v>679</v>
      </c>
      <c r="C2276" s="162" t="s">
        <v>6202</v>
      </c>
      <c r="D2276" s="162" t="s">
        <v>6203</v>
      </c>
      <c r="F2276" s="162">
        <v>6336.38</v>
      </c>
      <c r="G2276" s="162">
        <v>1</v>
      </c>
    </row>
    <row r="2277" spans="2:7" ht="28.8">
      <c r="B2277" s="162" t="s">
        <v>679</v>
      </c>
      <c r="C2277" s="162" t="s">
        <v>6204</v>
      </c>
      <c r="D2277" s="162" t="s">
        <v>6205</v>
      </c>
      <c r="F2277" s="162">
        <v>5066.8</v>
      </c>
      <c r="G2277" s="162">
        <v>1</v>
      </c>
    </row>
    <row r="2278" spans="2:7" ht="57.6">
      <c r="B2278" s="162" t="s">
        <v>679</v>
      </c>
      <c r="C2278" s="162" t="s">
        <v>6206</v>
      </c>
      <c r="D2278" s="162" t="s">
        <v>6207</v>
      </c>
      <c r="F2278" s="162">
        <v>9444.66</v>
      </c>
      <c r="G2278" s="162">
        <v>1</v>
      </c>
    </row>
    <row r="2279" spans="2:7" ht="28.8">
      <c r="B2279" s="162" t="s">
        <v>679</v>
      </c>
      <c r="C2279" s="162" t="s">
        <v>6208</v>
      </c>
      <c r="D2279" s="162" t="s">
        <v>6209</v>
      </c>
      <c r="F2279" s="162">
        <v>10389.36</v>
      </c>
      <c r="G2279" s="162">
        <v>1</v>
      </c>
    </row>
    <row r="2280" spans="2:7" ht="28.8">
      <c r="B2280" s="162" t="s">
        <v>679</v>
      </c>
      <c r="C2280" s="162" t="s">
        <v>6210</v>
      </c>
      <c r="D2280" s="162" t="s">
        <v>6211</v>
      </c>
      <c r="F2280" s="162">
        <v>9444.66</v>
      </c>
      <c r="G2280" s="162">
        <v>1</v>
      </c>
    </row>
    <row r="2281" spans="2:7" ht="28.8">
      <c r="B2281" s="162" t="s">
        <v>679</v>
      </c>
      <c r="C2281" s="162" t="s">
        <v>6212</v>
      </c>
      <c r="D2281" s="162" t="s">
        <v>6213</v>
      </c>
      <c r="F2281" s="162">
        <v>7601.35</v>
      </c>
      <c r="G2281" s="162">
        <v>1</v>
      </c>
    </row>
    <row r="2282" spans="2:7" ht="28.8">
      <c r="B2282" s="162" t="s">
        <v>679</v>
      </c>
      <c r="C2282" s="162" t="s">
        <v>6214</v>
      </c>
      <c r="D2282" s="162" t="s">
        <v>6215</v>
      </c>
      <c r="F2282" s="162">
        <v>1634.25</v>
      </c>
      <c r="G2282" s="162">
        <v>1</v>
      </c>
    </row>
    <row r="2283" spans="2:7" ht="28.8">
      <c r="B2283" s="162" t="s">
        <v>679</v>
      </c>
      <c r="C2283" s="162" t="s">
        <v>6216</v>
      </c>
      <c r="D2283" s="162" t="s">
        <v>6217</v>
      </c>
      <c r="F2283" s="162">
        <v>1300.8599999999999</v>
      </c>
      <c r="G2283" s="162">
        <v>1</v>
      </c>
    </row>
    <row r="2284" spans="2:7" ht="28.8">
      <c r="B2284" s="162" t="s">
        <v>679</v>
      </c>
      <c r="C2284" s="162" t="s">
        <v>6218</v>
      </c>
      <c r="D2284" s="162" t="s">
        <v>6219</v>
      </c>
      <c r="F2284" s="162">
        <v>3136.45</v>
      </c>
      <c r="G2284" s="162">
        <v>1</v>
      </c>
    </row>
    <row r="2285" spans="2:7" ht="28.8">
      <c r="B2285" s="162" t="s">
        <v>679</v>
      </c>
      <c r="C2285" s="162" t="s">
        <v>6220</v>
      </c>
      <c r="D2285" s="162" t="s">
        <v>6221</v>
      </c>
      <c r="F2285" s="162">
        <v>2252.09</v>
      </c>
      <c r="G2285" s="162">
        <v>1</v>
      </c>
    </row>
    <row r="2286" spans="2:7" ht="28.8">
      <c r="B2286" s="162" t="s">
        <v>679</v>
      </c>
      <c r="C2286" s="162" t="s">
        <v>6222</v>
      </c>
      <c r="D2286" s="162" t="s">
        <v>6223</v>
      </c>
      <c r="F2286" s="162">
        <v>685.39</v>
      </c>
      <c r="G2286" s="162">
        <v>1</v>
      </c>
    </row>
    <row r="2287" spans="2:7" ht="28.8">
      <c r="B2287" s="162" t="s">
        <v>679</v>
      </c>
      <c r="C2287" s="162" t="s">
        <v>6224</v>
      </c>
      <c r="D2287" s="162" t="s">
        <v>6225</v>
      </c>
      <c r="F2287" s="162">
        <v>826.65</v>
      </c>
      <c r="G2287" s="162">
        <v>1</v>
      </c>
    </row>
    <row r="2288" spans="2:7" ht="28.8">
      <c r="B2288" s="162" t="s">
        <v>679</v>
      </c>
      <c r="C2288" s="162" t="s">
        <v>6226</v>
      </c>
      <c r="D2288" s="162" t="s">
        <v>6227</v>
      </c>
      <c r="F2288" s="162">
        <v>830.36</v>
      </c>
      <c r="G2288" s="162">
        <v>1</v>
      </c>
    </row>
    <row r="2289" spans="2:7" ht="28.8">
      <c r="B2289" s="162" t="s">
        <v>679</v>
      </c>
      <c r="C2289" s="162" t="s">
        <v>6228</v>
      </c>
      <c r="D2289" s="162" t="s">
        <v>6229</v>
      </c>
      <c r="F2289" s="162">
        <v>1442.52</v>
      </c>
      <c r="G2289" s="162">
        <v>1</v>
      </c>
    </row>
    <row r="2290" spans="2:7" ht="28.8">
      <c r="B2290" s="162" t="s">
        <v>680</v>
      </c>
      <c r="C2290" s="162" t="s">
        <v>1185</v>
      </c>
      <c r="D2290" s="162" t="s">
        <v>1186</v>
      </c>
      <c r="E2290" s="162" t="s">
        <v>6230</v>
      </c>
      <c r="F2290" s="162">
        <v>5210</v>
      </c>
      <c r="G2290" s="162">
        <v>1</v>
      </c>
    </row>
    <row r="2291" spans="2:7" ht="28.8">
      <c r="B2291" s="162" t="s">
        <v>680</v>
      </c>
      <c r="C2291" s="162" t="s">
        <v>1187</v>
      </c>
      <c r="D2291" s="162" t="s">
        <v>1188</v>
      </c>
      <c r="E2291" s="162" t="s">
        <v>6230</v>
      </c>
      <c r="F2291" s="162">
        <v>5476</v>
      </c>
      <c r="G2291" s="162">
        <v>1</v>
      </c>
    </row>
    <row r="2292" spans="2:7" ht="43.2">
      <c r="B2292" s="162" t="s">
        <v>680</v>
      </c>
      <c r="C2292" s="162" t="s">
        <v>1189</v>
      </c>
      <c r="D2292" s="162" t="s">
        <v>1190</v>
      </c>
      <c r="E2292" s="162" t="s">
        <v>6230</v>
      </c>
      <c r="F2292" s="162">
        <v>5608</v>
      </c>
      <c r="G2292" s="162">
        <v>1</v>
      </c>
    </row>
    <row r="2293" spans="2:7" ht="43.2">
      <c r="B2293" s="162" t="s">
        <v>680</v>
      </c>
      <c r="C2293" s="162" t="s">
        <v>1191</v>
      </c>
      <c r="D2293" s="162" t="s">
        <v>1192</v>
      </c>
      <c r="E2293" s="162" t="s">
        <v>6230</v>
      </c>
      <c r="F2293" s="162">
        <v>5874</v>
      </c>
      <c r="G2293" s="162">
        <v>1</v>
      </c>
    </row>
    <row r="2294" spans="2:7" ht="28.8">
      <c r="B2294" s="162" t="s">
        <v>680</v>
      </c>
      <c r="C2294" s="162" t="s">
        <v>1193</v>
      </c>
      <c r="D2294" s="162" t="s">
        <v>1194</v>
      </c>
      <c r="E2294" s="162" t="s">
        <v>6230</v>
      </c>
      <c r="F2294" s="162">
        <v>5722</v>
      </c>
      <c r="G2294" s="162">
        <v>1</v>
      </c>
    </row>
    <row r="2295" spans="2:7" ht="43.2">
      <c r="B2295" s="162" t="s">
        <v>680</v>
      </c>
      <c r="C2295" s="162" t="s">
        <v>1195</v>
      </c>
      <c r="D2295" s="162" t="s">
        <v>1196</v>
      </c>
      <c r="E2295" s="162" t="s">
        <v>6230</v>
      </c>
      <c r="F2295" s="162">
        <v>5854</v>
      </c>
      <c r="G2295" s="162">
        <v>1</v>
      </c>
    </row>
    <row r="2296" spans="2:7" ht="43.2">
      <c r="B2296" s="162" t="s">
        <v>680</v>
      </c>
      <c r="C2296" s="162" t="s">
        <v>1197</v>
      </c>
      <c r="D2296" s="162" t="s">
        <v>1198</v>
      </c>
      <c r="E2296" s="162" t="s">
        <v>6230</v>
      </c>
      <c r="F2296" s="162">
        <v>6120</v>
      </c>
      <c r="G2296" s="162">
        <v>1</v>
      </c>
    </row>
    <row r="2297" spans="2:7" ht="28.8">
      <c r="B2297" s="162" t="s">
        <v>680</v>
      </c>
      <c r="C2297" s="162" t="s">
        <v>1199</v>
      </c>
      <c r="D2297" s="162" t="s">
        <v>1200</v>
      </c>
      <c r="E2297" s="162" t="s">
        <v>6230</v>
      </c>
      <c r="F2297" s="162">
        <v>5456</v>
      </c>
      <c r="G2297" s="162">
        <v>1</v>
      </c>
    </row>
    <row r="2298" spans="2:7" ht="28.8">
      <c r="B2298" s="162" t="s">
        <v>680</v>
      </c>
      <c r="C2298" s="162" t="s">
        <v>1201</v>
      </c>
      <c r="D2298" s="162" t="s">
        <v>1202</v>
      </c>
      <c r="E2298" s="162" t="s">
        <v>6230</v>
      </c>
      <c r="F2298" s="162">
        <v>5668</v>
      </c>
      <c r="G2298" s="162">
        <v>1</v>
      </c>
    </row>
    <row r="2299" spans="2:7" ht="28.8">
      <c r="B2299" s="162" t="s">
        <v>680</v>
      </c>
      <c r="C2299" s="162" t="s">
        <v>1203</v>
      </c>
      <c r="D2299" s="162" t="s">
        <v>1204</v>
      </c>
      <c r="E2299" s="162" t="s">
        <v>6230</v>
      </c>
      <c r="F2299" s="162">
        <v>5934</v>
      </c>
      <c r="G2299" s="162">
        <v>1</v>
      </c>
    </row>
    <row r="2300" spans="2:7" ht="43.2">
      <c r="B2300" s="162" t="s">
        <v>680</v>
      </c>
      <c r="C2300" s="162" t="s">
        <v>1205</v>
      </c>
      <c r="D2300" s="162" t="s">
        <v>1206</v>
      </c>
      <c r="E2300" s="162" t="s">
        <v>6230</v>
      </c>
      <c r="F2300" s="162">
        <v>6066</v>
      </c>
      <c r="G2300" s="162">
        <v>1</v>
      </c>
    </row>
    <row r="2301" spans="2:7" ht="43.2">
      <c r="B2301" s="162" t="s">
        <v>680</v>
      </c>
      <c r="C2301" s="162" t="s">
        <v>1207</v>
      </c>
      <c r="D2301" s="162" t="s">
        <v>1208</v>
      </c>
      <c r="E2301" s="162" t="s">
        <v>6230</v>
      </c>
      <c r="F2301" s="162">
        <v>6332</v>
      </c>
      <c r="G2301" s="162">
        <v>1</v>
      </c>
    </row>
    <row r="2302" spans="2:7" ht="43.2">
      <c r="B2302" s="162" t="s">
        <v>680</v>
      </c>
      <c r="C2302" s="162" t="s">
        <v>1213</v>
      </c>
      <c r="D2302" s="162" t="s">
        <v>1214</v>
      </c>
      <c r="E2302" s="162" t="s">
        <v>6230</v>
      </c>
      <c r="F2302" s="162">
        <v>6492</v>
      </c>
      <c r="G2302" s="162">
        <v>1</v>
      </c>
    </row>
    <row r="2303" spans="2:7" ht="28.8">
      <c r="B2303" s="162" t="s">
        <v>680</v>
      </c>
      <c r="C2303" s="162" t="s">
        <v>1209</v>
      </c>
      <c r="D2303" s="162" t="s">
        <v>1210</v>
      </c>
      <c r="E2303" s="162" t="s">
        <v>6230</v>
      </c>
      <c r="F2303" s="162">
        <v>6094</v>
      </c>
      <c r="G2303" s="162">
        <v>1</v>
      </c>
    </row>
    <row r="2304" spans="2:7" ht="43.2">
      <c r="B2304" s="162" t="s">
        <v>680</v>
      </c>
      <c r="C2304" s="162" t="s">
        <v>1211</v>
      </c>
      <c r="D2304" s="162" t="s">
        <v>1212</v>
      </c>
      <c r="E2304" s="162" t="s">
        <v>6230</v>
      </c>
      <c r="F2304" s="162">
        <v>6226</v>
      </c>
      <c r="G2304" s="162">
        <v>1</v>
      </c>
    </row>
    <row r="2305" spans="2:7" ht="28.8">
      <c r="B2305" s="162" t="s">
        <v>680</v>
      </c>
      <c r="C2305" s="162" t="s">
        <v>1215</v>
      </c>
      <c r="D2305" s="162" t="s">
        <v>1216</v>
      </c>
      <c r="E2305" s="162" t="s">
        <v>6230</v>
      </c>
      <c r="F2305" s="162">
        <v>5828</v>
      </c>
      <c r="G2305" s="162">
        <v>1</v>
      </c>
    </row>
    <row r="2306" spans="2:7" ht="28.8">
      <c r="B2306" s="162" t="s">
        <v>680</v>
      </c>
      <c r="C2306" s="162" t="s">
        <v>1217</v>
      </c>
      <c r="D2306" s="162" t="s">
        <v>1218</v>
      </c>
      <c r="E2306" s="162" t="s">
        <v>6230</v>
      </c>
      <c r="F2306" s="162">
        <v>7442</v>
      </c>
      <c r="G2306" s="162">
        <v>1</v>
      </c>
    </row>
    <row r="2307" spans="2:7" ht="28.8">
      <c r="B2307" s="162" t="s">
        <v>680</v>
      </c>
      <c r="C2307" s="162" t="s">
        <v>1223</v>
      </c>
      <c r="D2307" s="162" t="s">
        <v>1224</v>
      </c>
      <c r="E2307" s="162" t="s">
        <v>6230</v>
      </c>
      <c r="F2307" s="162">
        <v>7708</v>
      </c>
      <c r="G2307" s="162">
        <v>1</v>
      </c>
    </row>
    <row r="2308" spans="2:7" ht="43.2">
      <c r="B2308" s="162" t="s">
        <v>680</v>
      </c>
      <c r="C2308" s="162" t="s">
        <v>1219</v>
      </c>
      <c r="D2308" s="162" t="s">
        <v>1220</v>
      </c>
      <c r="E2308" s="162" t="s">
        <v>6230</v>
      </c>
      <c r="F2308" s="162">
        <v>7840</v>
      </c>
      <c r="G2308" s="162">
        <v>1</v>
      </c>
    </row>
    <row r="2309" spans="2:7" ht="43.2">
      <c r="B2309" s="162" t="s">
        <v>680</v>
      </c>
      <c r="C2309" s="162" t="s">
        <v>1221</v>
      </c>
      <c r="D2309" s="162" t="s">
        <v>1222</v>
      </c>
      <c r="E2309" s="162" t="s">
        <v>6230</v>
      </c>
      <c r="F2309" s="162">
        <v>8106</v>
      </c>
      <c r="G2309" s="162">
        <v>1</v>
      </c>
    </row>
    <row r="2310" spans="2:7" ht="28.8">
      <c r="B2310" s="162" t="s">
        <v>680</v>
      </c>
      <c r="C2310" s="162" t="s">
        <v>1227</v>
      </c>
      <c r="D2310" s="162" t="s">
        <v>1228</v>
      </c>
      <c r="E2310" s="162" t="s">
        <v>6230</v>
      </c>
      <c r="F2310" s="162">
        <v>8722</v>
      </c>
      <c r="G2310" s="162">
        <v>1</v>
      </c>
    </row>
    <row r="2311" spans="2:7" ht="43.2">
      <c r="B2311" s="162" t="s">
        <v>680</v>
      </c>
      <c r="C2311" s="162" t="s">
        <v>1225</v>
      </c>
      <c r="D2311" s="162" t="s">
        <v>1226</v>
      </c>
      <c r="E2311" s="162" t="s">
        <v>6230</v>
      </c>
      <c r="F2311" s="162">
        <v>9120</v>
      </c>
      <c r="G2311" s="162">
        <v>1</v>
      </c>
    </row>
    <row r="2312" spans="2:7" ht="28.8">
      <c r="B2312" s="162" t="s">
        <v>680</v>
      </c>
      <c r="C2312" s="162" t="s">
        <v>1229</v>
      </c>
      <c r="D2312" s="162" t="s">
        <v>1230</v>
      </c>
      <c r="E2312" s="162" t="s">
        <v>6230</v>
      </c>
      <c r="F2312" s="162">
        <v>13038</v>
      </c>
      <c r="G2312" s="162">
        <v>1</v>
      </c>
    </row>
    <row r="2313" spans="2:7" ht="43.2">
      <c r="B2313" s="162" t="s">
        <v>680</v>
      </c>
      <c r="C2313" s="162" t="s">
        <v>1231</v>
      </c>
      <c r="D2313" s="162" t="s">
        <v>1232</v>
      </c>
      <c r="E2313" s="162" t="s">
        <v>6230</v>
      </c>
      <c r="F2313" s="162">
        <v>13436</v>
      </c>
      <c r="G2313" s="162">
        <v>1</v>
      </c>
    </row>
    <row r="2314" spans="2:7" ht="28.8">
      <c r="B2314" s="162" t="s">
        <v>680</v>
      </c>
      <c r="C2314" s="162" t="s">
        <v>1235</v>
      </c>
      <c r="D2314" s="162" t="s">
        <v>1236</v>
      </c>
      <c r="E2314" s="162" t="s">
        <v>6230</v>
      </c>
      <c r="F2314" s="162">
        <v>13652</v>
      </c>
      <c r="G2314" s="162">
        <v>1</v>
      </c>
    </row>
    <row r="2315" spans="2:7" ht="43.2">
      <c r="B2315" s="162" t="s">
        <v>680</v>
      </c>
      <c r="C2315" s="162" t="s">
        <v>1233</v>
      </c>
      <c r="D2315" s="162" t="s">
        <v>1234</v>
      </c>
      <c r="E2315" s="162" t="s">
        <v>6230</v>
      </c>
      <c r="F2315" s="162">
        <v>14050</v>
      </c>
      <c r="G2315" s="162">
        <v>1</v>
      </c>
    </row>
    <row r="2316" spans="2:7" ht="28.8">
      <c r="B2316" s="162" t="s">
        <v>680</v>
      </c>
      <c r="C2316" s="162" t="s">
        <v>1243</v>
      </c>
      <c r="D2316" s="162" t="s">
        <v>1244</v>
      </c>
      <c r="E2316" s="162" t="s">
        <v>6230</v>
      </c>
      <c r="F2316" s="162">
        <v>5060</v>
      </c>
      <c r="G2316" s="162">
        <v>1</v>
      </c>
    </row>
    <row r="2317" spans="2:7" ht="43.2">
      <c r="B2317" s="162" t="s">
        <v>680</v>
      </c>
      <c r="C2317" s="162" t="s">
        <v>1239</v>
      </c>
      <c r="D2317" s="162" t="s">
        <v>1240</v>
      </c>
      <c r="E2317" s="162" t="s">
        <v>6230</v>
      </c>
      <c r="F2317" s="162">
        <v>5192</v>
      </c>
      <c r="G2317" s="162">
        <v>1</v>
      </c>
    </row>
    <row r="2318" spans="2:7" ht="43.2">
      <c r="B2318" s="162" t="s">
        <v>680</v>
      </c>
      <c r="C2318" s="162" t="s">
        <v>1241</v>
      </c>
      <c r="D2318" s="162" t="s">
        <v>1242</v>
      </c>
      <c r="E2318" s="162" t="s">
        <v>6230</v>
      </c>
      <c r="F2318" s="162">
        <v>5458</v>
      </c>
      <c r="G2318" s="162">
        <v>1</v>
      </c>
    </row>
    <row r="2319" spans="2:7" ht="28.8">
      <c r="B2319" s="162" t="s">
        <v>680</v>
      </c>
      <c r="C2319" s="162" t="s">
        <v>1237</v>
      </c>
      <c r="D2319" s="162" t="s">
        <v>1238</v>
      </c>
      <c r="E2319" s="162" t="s">
        <v>6230</v>
      </c>
      <c r="F2319" s="162">
        <v>4794</v>
      </c>
      <c r="G2319" s="162">
        <v>1</v>
      </c>
    </row>
    <row r="2320" spans="2:7" ht="28.8">
      <c r="B2320" s="162" t="s">
        <v>680</v>
      </c>
      <c r="C2320" s="162" t="s">
        <v>1247</v>
      </c>
      <c r="D2320" s="162" t="s">
        <v>1248</v>
      </c>
      <c r="E2320" s="162" t="s">
        <v>6230</v>
      </c>
      <c r="F2320" s="162">
        <v>5316</v>
      </c>
      <c r="G2320" s="162">
        <v>1</v>
      </c>
    </row>
    <row r="2321" spans="2:7" ht="43.2">
      <c r="B2321" s="162" t="s">
        <v>680</v>
      </c>
      <c r="C2321" s="162" t="s">
        <v>1249</v>
      </c>
      <c r="D2321" s="162" t="s">
        <v>1250</v>
      </c>
      <c r="E2321" s="162" t="s">
        <v>6230</v>
      </c>
      <c r="F2321" s="162">
        <v>5448</v>
      </c>
      <c r="G2321" s="162">
        <v>1</v>
      </c>
    </row>
    <row r="2322" spans="2:7" ht="43.2">
      <c r="B2322" s="162" t="s">
        <v>680</v>
      </c>
      <c r="C2322" s="162" t="s">
        <v>1251</v>
      </c>
      <c r="D2322" s="162" t="s">
        <v>1252</v>
      </c>
      <c r="E2322" s="162" t="s">
        <v>6230</v>
      </c>
      <c r="F2322" s="162">
        <v>5714</v>
      </c>
      <c r="G2322" s="162">
        <v>1</v>
      </c>
    </row>
    <row r="2323" spans="2:7" ht="28.8">
      <c r="B2323" s="162" t="s">
        <v>680</v>
      </c>
      <c r="C2323" s="162" t="s">
        <v>1245</v>
      </c>
      <c r="D2323" s="162" t="s">
        <v>1246</v>
      </c>
      <c r="E2323" s="162" t="s">
        <v>6230</v>
      </c>
      <c r="F2323" s="162">
        <v>5050</v>
      </c>
      <c r="G2323" s="162">
        <v>1</v>
      </c>
    </row>
    <row r="2324" spans="2:7" ht="28.8">
      <c r="B2324" s="162" t="s">
        <v>680</v>
      </c>
      <c r="C2324" s="162" t="s">
        <v>1259</v>
      </c>
      <c r="D2324" s="162" t="s">
        <v>1260</v>
      </c>
      <c r="E2324" s="162" t="s">
        <v>6230</v>
      </c>
      <c r="F2324" s="162">
        <v>5210</v>
      </c>
      <c r="G2324" s="162">
        <v>1</v>
      </c>
    </row>
    <row r="2325" spans="2:7" ht="28.8">
      <c r="B2325" s="162" t="s">
        <v>680</v>
      </c>
      <c r="C2325" s="162" t="s">
        <v>1253</v>
      </c>
      <c r="D2325" s="162" t="s">
        <v>1254</v>
      </c>
      <c r="E2325" s="162" t="s">
        <v>6230</v>
      </c>
      <c r="F2325" s="162">
        <v>5476</v>
      </c>
      <c r="G2325" s="162">
        <v>1</v>
      </c>
    </row>
    <row r="2326" spans="2:7" ht="43.2">
      <c r="B2326" s="162" t="s">
        <v>680</v>
      </c>
      <c r="C2326" s="162" t="s">
        <v>1255</v>
      </c>
      <c r="D2326" s="162" t="s">
        <v>1256</v>
      </c>
      <c r="E2326" s="162" t="s">
        <v>6230</v>
      </c>
      <c r="F2326" s="162">
        <v>5608</v>
      </c>
      <c r="G2326" s="162">
        <v>1</v>
      </c>
    </row>
    <row r="2327" spans="2:7" ht="43.2">
      <c r="B2327" s="162" t="s">
        <v>680</v>
      </c>
      <c r="C2327" s="162" t="s">
        <v>1257</v>
      </c>
      <c r="D2327" s="162" t="s">
        <v>1258</v>
      </c>
      <c r="E2327" s="162" t="s">
        <v>6230</v>
      </c>
      <c r="F2327" s="162">
        <v>5874</v>
      </c>
      <c r="G2327" s="162">
        <v>1</v>
      </c>
    </row>
    <row r="2328" spans="2:7" ht="43.2">
      <c r="B2328" s="162" t="s">
        <v>680</v>
      </c>
      <c r="C2328" s="162" t="s">
        <v>1265</v>
      </c>
      <c r="D2328" s="162" t="s">
        <v>1266</v>
      </c>
      <c r="E2328" s="162" t="s">
        <v>6230</v>
      </c>
      <c r="F2328" s="162">
        <v>5854</v>
      </c>
      <c r="G2328" s="162">
        <v>1</v>
      </c>
    </row>
    <row r="2329" spans="2:7" ht="28.8">
      <c r="B2329" s="162" t="s">
        <v>680</v>
      </c>
      <c r="C2329" s="162" t="s">
        <v>1263</v>
      </c>
      <c r="D2329" s="162" t="s">
        <v>1264</v>
      </c>
      <c r="E2329" s="162" t="s">
        <v>6230</v>
      </c>
      <c r="F2329" s="162">
        <v>5722</v>
      </c>
      <c r="G2329" s="162">
        <v>1</v>
      </c>
    </row>
    <row r="2330" spans="2:7" ht="28.8">
      <c r="B2330" s="162" t="s">
        <v>680</v>
      </c>
      <c r="C2330" s="162" t="s">
        <v>1261</v>
      </c>
      <c r="D2330" s="162" t="s">
        <v>1262</v>
      </c>
      <c r="E2330" s="162" t="s">
        <v>6230</v>
      </c>
      <c r="F2330" s="162">
        <v>5456</v>
      </c>
      <c r="G2330" s="162">
        <v>1</v>
      </c>
    </row>
    <row r="2331" spans="2:7" ht="43.2">
      <c r="B2331" s="162" t="s">
        <v>680</v>
      </c>
      <c r="C2331" s="162" t="s">
        <v>1267</v>
      </c>
      <c r="D2331" s="162" t="s">
        <v>1268</v>
      </c>
      <c r="E2331" s="162" t="s">
        <v>6230</v>
      </c>
      <c r="F2331" s="162">
        <v>6120</v>
      </c>
      <c r="G2331" s="162">
        <v>1</v>
      </c>
    </row>
    <row r="2332" spans="2:7" ht="28.8">
      <c r="B2332" s="162" t="s">
        <v>680</v>
      </c>
      <c r="C2332" s="162" t="s">
        <v>1275</v>
      </c>
      <c r="D2332" s="162" t="s">
        <v>1276</v>
      </c>
      <c r="E2332" s="162" t="s">
        <v>6230</v>
      </c>
      <c r="F2332" s="162">
        <v>5668</v>
      </c>
      <c r="G2332" s="162">
        <v>1</v>
      </c>
    </row>
    <row r="2333" spans="2:7" ht="28.8">
      <c r="B2333" s="162" t="s">
        <v>680</v>
      </c>
      <c r="C2333" s="162" t="s">
        <v>1269</v>
      </c>
      <c r="D2333" s="162" t="s">
        <v>1270</v>
      </c>
      <c r="E2333" s="162" t="s">
        <v>6230</v>
      </c>
      <c r="F2333" s="162">
        <v>5934</v>
      </c>
      <c r="G2333" s="162">
        <v>1</v>
      </c>
    </row>
    <row r="2334" spans="2:7" ht="43.2">
      <c r="B2334" s="162" t="s">
        <v>680</v>
      </c>
      <c r="C2334" s="162" t="s">
        <v>1273</v>
      </c>
      <c r="D2334" s="162" t="s">
        <v>1274</v>
      </c>
      <c r="E2334" s="162" t="s">
        <v>6230</v>
      </c>
      <c r="F2334" s="162">
        <v>6332</v>
      </c>
      <c r="G2334" s="162">
        <v>1</v>
      </c>
    </row>
    <row r="2335" spans="2:7" ht="43.2">
      <c r="B2335" s="162" t="s">
        <v>680</v>
      </c>
      <c r="C2335" s="162" t="s">
        <v>1271</v>
      </c>
      <c r="D2335" s="162" t="s">
        <v>1272</v>
      </c>
      <c r="E2335" s="162" t="s">
        <v>6230</v>
      </c>
      <c r="F2335" s="162">
        <v>6066</v>
      </c>
      <c r="G2335" s="162">
        <v>1</v>
      </c>
    </row>
    <row r="2336" spans="2:7" ht="43.2">
      <c r="B2336" s="162" t="s">
        <v>680</v>
      </c>
      <c r="C2336" s="162" t="s">
        <v>1281</v>
      </c>
      <c r="D2336" s="162" t="s">
        <v>1282</v>
      </c>
      <c r="E2336" s="162" t="s">
        <v>6230</v>
      </c>
      <c r="F2336" s="162">
        <v>6226</v>
      </c>
      <c r="G2336" s="162">
        <v>1</v>
      </c>
    </row>
    <row r="2337" spans="2:7" ht="43.2">
      <c r="B2337" s="162" t="s">
        <v>680</v>
      </c>
      <c r="C2337" s="162" t="s">
        <v>1283</v>
      </c>
      <c r="D2337" s="162" t="s">
        <v>1284</v>
      </c>
      <c r="E2337" s="162" t="s">
        <v>6230</v>
      </c>
      <c r="F2337" s="162">
        <v>6492</v>
      </c>
      <c r="G2337" s="162">
        <v>1</v>
      </c>
    </row>
    <row r="2338" spans="2:7" ht="28.8">
      <c r="B2338" s="162" t="s">
        <v>680</v>
      </c>
      <c r="C2338" s="162" t="s">
        <v>1279</v>
      </c>
      <c r="D2338" s="162" t="s">
        <v>1280</v>
      </c>
      <c r="E2338" s="162" t="s">
        <v>6230</v>
      </c>
      <c r="F2338" s="162">
        <v>6094</v>
      </c>
      <c r="G2338" s="162">
        <v>1</v>
      </c>
    </row>
    <row r="2339" spans="2:7" ht="28.8">
      <c r="B2339" s="162" t="s">
        <v>680</v>
      </c>
      <c r="C2339" s="162" t="s">
        <v>1277</v>
      </c>
      <c r="D2339" s="162" t="s">
        <v>1278</v>
      </c>
      <c r="E2339" s="162" t="s">
        <v>6230</v>
      </c>
      <c r="F2339" s="162">
        <v>5828</v>
      </c>
      <c r="G2339" s="162">
        <v>1</v>
      </c>
    </row>
    <row r="2340" spans="2:7" ht="28.8">
      <c r="B2340" s="162" t="s">
        <v>680</v>
      </c>
      <c r="C2340" s="162" t="s">
        <v>1291</v>
      </c>
      <c r="D2340" s="162" t="s">
        <v>1292</v>
      </c>
      <c r="E2340" s="162" t="s">
        <v>6230</v>
      </c>
      <c r="F2340" s="162">
        <v>7442</v>
      </c>
      <c r="G2340" s="162">
        <v>1</v>
      </c>
    </row>
    <row r="2341" spans="2:7" ht="28.8">
      <c r="B2341" s="162" t="s">
        <v>680</v>
      </c>
      <c r="C2341" s="162" t="s">
        <v>1285</v>
      </c>
      <c r="D2341" s="162" t="s">
        <v>1286</v>
      </c>
      <c r="E2341" s="162" t="s">
        <v>6230</v>
      </c>
      <c r="F2341" s="162">
        <v>7708</v>
      </c>
      <c r="G2341" s="162">
        <v>1</v>
      </c>
    </row>
    <row r="2342" spans="2:7" ht="43.2">
      <c r="B2342" s="162" t="s">
        <v>680</v>
      </c>
      <c r="C2342" s="162" t="s">
        <v>1287</v>
      </c>
      <c r="D2342" s="162" t="s">
        <v>1288</v>
      </c>
      <c r="E2342" s="162" t="s">
        <v>6230</v>
      </c>
      <c r="F2342" s="162">
        <v>7840</v>
      </c>
      <c r="G2342" s="162">
        <v>1</v>
      </c>
    </row>
    <row r="2343" spans="2:7" ht="43.2">
      <c r="B2343" s="162" t="s">
        <v>680</v>
      </c>
      <c r="C2343" s="162" t="s">
        <v>1289</v>
      </c>
      <c r="D2343" s="162" t="s">
        <v>1290</v>
      </c>
      <c r="E2343" s="162" t="s">
        <v>6230</v>
      </c>
      <c r="F2343" s="162">
        <v>8106</v>
      </c>
      <c r="G2343" s="162">
        <v>1</v>
      </c>
    </row>
    <row r="2344" spans="2:7" ht="43.2">
      <c r="B2344" s="162" t="s">
        <v>680</v>
      </c>
      <c r="C2344" s="162" t="s">
        <v>1295</v>
      </c>
      <c r="D2344" s="162" t="s">
        <v>1296</v>
      </c>
      <c r="E2344" s="162" t="s">
        <v>6230</v>
      </c>
      <c r="F2344" s="162">
        <v>9120</v>
      </c>
      <c r="G2344" s="162">
        <v>1</v>
      </c>
    </row>
    <row r="2345" spans="2:7" ht="28.8">
      <c r="B2345" s="162" t="s">
        <v>680</v>
      </c>
      <c r="C2345" s="162" t="s">
        <v>1293</v>
      </c>
      <c r="D2345" s="162" t="s">
        <v>1294</v>
      </c>
      <c r="E2345" s="162" t="s">
        <v>6230</v>
      </c>
      <c r="F2345" s="162">
        <v>8722</v>
      </c>
      <c r="G2345" s="162">
        <v>1</v>
      </c>
    </row>
    <row r="2346" spans="2:7" ht="28.8">
      <c r="B2346" s="162" t="s">
        <v>680</v>
      </c>
      <c r="C2346" s="162" t="s">
        <v>1299</v>
      </c>
      <c r="D2346" s="162" t="s">
        <v>1300</v>
      </c>
      <c r="E2346" s="162" t="s">
        <v>6230</v>
      </c>
      <c r="F2346" s="162">
        <v>13038</v>
      </c>
      <c r="G2346" s="162">
        <v>1</v>
      </c>
    </row>
    <row r="2347" spans="2:7" ht="43.2">
      <c r="B2347" s="162" t="s">
        <v>680</v>
      </c>
      <c r="C2347" s="162" t="s">
        <v>1297</v>
      </c>
      <c r="D2347" s="162" t="s">
        <v>1298</v>
      </c>
      <c r="E2347" s="162" t="s">
        <v>6230</v>
      </c>
      <c r="F2347" s="162">
        <v>13436</v>
      </c>
      <c r="G2347" s="162">
        <v>1</v>
      </c>
    </row>
    <row r="2348" spans="2:7" ht="43.2">
      <c r="B2348" s="162" t="s">
        <v>680</v>
      </c>
      <c r="C2348" s="162" t="s">
        <v>1303</v>
      </c>
      <c r="D2348" s="162" t="s">
        <v>1304</v>
      </c>
      <c r="E2348" s="162" t="s">
        <v>6230</v>
      </c>
      <c r="F2348" s="162">
        <v>13900</v>
      </c>
      <c r="G2348" s="162">
        <v>1</v>
      </c>
    </row>
    <row r="2349" spans="2:7" ht="28.8">
      <c r="B2349" s="162" t="s">
        <v>680</v>
      </c>
      <c r="C2349" s="162" t="s">
        <v>1301</v>
      </c>
      <c r="D2349" s="162" t="s">
        <v>1302</v>
      </c>
      <c r="E2349" s="162" t="s">
        <v>6230</v>
      </c>
      <c r="F2349" s="162">
        <v>13502</v>
      </c>
      <c r="G2349" s="162">
        <v>1</v>
      </c>
    </row>
    <row r="2350" spans="2:7" ht="28.8">
      <c r="B2350" s="162" t="s">
        <v>680</v>
      </c>
      <c r="C2350" s="162" t="s">
        <v>1311</v>
      </c>
      <c r="D2350" s="162" t="s">
        <v>1312</v>
      </c>
      <c r="E2350" s="162" t="s">
        <v>6230</v>
      </c>
      <c r="F2350" s="162">
        <v>4794</v>
      </c>
      <c r="G2350" s="162">
        <v>1</v>
      </c>
    </row>
    <row r="2351" spans="2:7" ht="28.8">
      <c r="B2351" s="162" t="s">
        <v>680</v>
      </c>
      <c r="C2351" s="162" t="s">
        <v>1305</v>
      </c>
      <c r="D2351" s="162" t="s">
        <v>1306</v>
      </c>
      <c r="E2351" s="162" t="s">
        <v>6230</v>
      </c>
      <c r="F2351" s="162">
        <v>5060</v>
      </c>
      <c r="G2351" s="162">
        <v>1</v>
      </c>
    </row>
    <row r="2352" spans="2:7" ht="43.2">
      <c r="B2352" s="162" t="s">
        <v>680</v>
      </c>
      <c r="C2352" s="162" t="s">
        <v>1307</v>
      </c>
      <c r="D2352" s="162" t="s">
        <v>1308</v>
      </c>
      <c r="E2352" s="162" t="s">
        <v>6230</v>
      </c>
      <c r="F2352" s="162">
        <v>5192</v>
      </c>
      <c r="G2352" s="162">
        <v>1</v>
      </c>
    </row>
    <row r="2353" spans="2:7" ht="43.2">
      <c r="B2353" s="162" t="s">
        <v>680</v>
      </c>
      <c r="C2353" s="162" t="s">
        <v>1309</v>
      </c>
      <c r="D2353" s="162" t="s">
        <v>1310</v>
      </c>
      <c r="E2353" s="162" t="s">
        <v>6230</v>
      </c>
      <c r="F2353" s="162">
        <v>5458</v>
      </c>
      <c r="G2353" s="162">
        <v>1</v>
      </c>
    </row>
    <row r="2354" spans="2:7" ht="28.8">
      <c r="B2354" s="162" t="s">
        <v>680</v>
      </c>
      <c r="C2354" s="162" t="s">
        <v>6231</v>
      </c>
      <c r="D2354" s="162" t="s">
        <v>6232</v>
      </c>
      <c r="E2354" s="162" t="s">
        <v>6230</v>
      </c>
      <c r="F2354" s="162">
        <v>5390</v>
      </c>
      <c r="G2354" s="162">
        <v>1</v>
      </c>
    </row>
    <row r="2355" spans="2:7" ht="28.8">
      <c r="B2355" s="162" t="s">
        <v>680</v>
      </c>
      <c r="C2355" s="162" t="s">
        <v>6233</v>
      </c>
      <c r="D2355" s="162" t="s">
        <v>6234</v>
      </c>
      <c r="E2355" s="162" t="s">
        <v>6230</v>
      </c>
      <c r="F2355" s="162">
        <v>5750</v>
      </c>
      <c r="G2355" s="162">
        <v>1</v>
      </c>
    </row>
    <row r="2356" spans="2:7" ht="28.8">
      <c r="B2356" s="162" t="s">
        <v>680</v>
      </c>
      <c r="C2356" s="162" t="s">
        <v>6235</v>
      </c>
      <c r="D2356" s="162" t="s">
        <v>6236</v>
      </c>
      <c r="E2356" s="162" t="s">
        <v>6230</v>
      </c>
      <c r="F2356" s="162">
        <v>7346</v>
      </c>
      <c r="G2356" s="162">
        <v>1</v>
      </c>
    </row>
    <row r="2357" spans="2:7" ht="28.8">
      <c r="B2357" s="162" t="s">
        <v>680</v>
      </c>
      <c r="C2357" s="162" t="s">
        <v>6237</v>
      </c>
      <c r="D2357" s="162" t="s">
        <v>6238</v>
      </c>
      <c r="E2357" s="162" t="s">
        <v>6230</v>
      </c>
      <c r="F2357" s="162">
        <v>12866</v>
      </c>
      <c r="G2357" s="162">
        <v>1</v>
      </c>
    </row>
    <row r="2358" spans="2:7" ht="28.8">
      <c r="B2358" s="162" t="s">
        <v>680</v>
      </c>
      <c r="C2358" s="162" t="s">
        <v>6239</v>
      </c>
      <c r="D2358" s="162" t="s">
        <v>6240</v>
      </c>
      <c r="E2358" s="162" t="s">
        <v>6230</v>
      </c>
      <c r="F2358" s="162">
        <v>13324</v>
      </c>
      <c r="G2358" s="162">
        <v>1</v>
      </c>
    </row>
    <row r="2359" spans="2:7" ht="28.8">
      <c r="B2359" s="162" t="s">
        <v>680</v>
      </c>
      <c r="C2359" s="162" t="s">
        <v>6241</v>
      </c>
      <c r="D2359" s="162" t="s">
        <v>6242</v>
      </c>
      <c r="E2359" s="162" t="s">
        <v>6243</v>
      </c>
      <c r="F2359" s="162">
        <v>4234</v>
      </c>
      <c r="G2359" s="162">
        <v>1</v>
      </c>
    </row>
    <row r="2360" spans="2:7" ht="43.2">
      <c r="B2360" s="162" t="s">
        <v>680</v>
      </c>
      <c r="C2360" s="162" t="s">
        <v>6244</v>
      </c>
      <c r="D2360" s="162" t="s">
        <v>6245</v>
      </c>
      <c r="E2360" s="162" t="s">
        <v>6243</v>
      </c>
      <c r="F2360" s="162">
        <v>4366</v>
      </c>
      <c r="G2360" s="162">
        <v>1</v>
      </c>
    </row>
    <row r="2361" spans="2:7" ht="43.2">
      <c r="B2361" s="162" t="s">
        <v>680</v>
      </c>
      <c r="C2361" s="162" t="s">
        <v>6246</v>
      </c>
      <c r="D2361" s="162" t="s">
        <v>6247</v>
      </c>
      <c r="E2361" s="162" t="s">
        <v>6243</v>
      </c>
      <c r="F2361" s="162">
        <v>4632</v>
      </c>
      <c r="G2361" s="162">
        <v>1</v>
      </c>
    </row>
    <row r="2362" spans="2:7" ht="28.8">
      <c r="B2362" s="162" t="s">
        <v>680</v>
      </c>
      <c r="C2362" s="162" t="s">
        <v>6248</v>
      </c>
      <c r="D2362" s="162" t="s">
        <v>6249</v>
      </c>
      <c r="E2362" s="162" t="s">
        <v>6243</v>
      </c>
      <c r="F2362" s="162">
        <v>3968</v>
      </c>
      <c r="G2362" s="162">
        <v>1</v>
      </c>
    </row>
    <row r="2363" spans="2:7" ht="28.8">
      <c r="B2363" s="162" t="s">
        <v>680</v>
      </c>
      <c r="C2363" s="162" t="s">
        <v>6250</v>
      </c>
      <c r="D2363" s="162" t="s">
        <v>6251</v>
      </c>
      <c r="E2363" s="162" t="s">
        <v>6243</v>
      </c>
      <c r="F2363" s="162">
        <v>4008</v>
      </c>
      <c r="G2363" s="162">
        <v>1</v>
      </c>
    </row>
    <row r="2364" spans="2:7" ht="28.8">
      <c r="B2364" s="162" t="s">
        <v>680</v>
      </c>
      <c r="C2364" s="162" t="s">
        <v>6252</v>
      </c>
      <c r="D2364" s="162" t="s">
        <v>6253</v>
      </c>
      <c r="E2364" s="162" t="s">
        <v>6243</v>
      </c>
      <c r="F2364" s="162">
        <v>4274</v>
      </c>
      <c r="G2364" s="162">
        <v>1</v>
      </c>
    </row>
    <row r="2365" spans="2:7" ht="43.2">
      <c r="B2365" s="162" t="s">
        <v>680</v>
      </c>
      <c r="C2365" s="162" t="s">
        <v>6254</v>
      </c>
      <c r="D2365" s="162" t="s">
        <v>6255</v>
      </c>
      <c r="E2365" s="162" t="s">
        <v>6243</v>
      </c>
      <c r="F2365" s="162">
        <v>4406</v>
      </c>
      <c r="G2365" s="162">
        <v>1</v>
      </c>
    </row>
    <row r="2366" spans="2:7" ht="43.2">
      <c r="B2366" s="162" t="s">
        <v>680</v>
      </c>
      <c r="C2366" s="162" t="s">
        <v>6256</v>
      </c>
      <c r="D2366" s="162" t="s">
        <v>6257</v>
      </c>
      <c r="E2366" s="162" t="s">
        <v>6243</v>
      </c>
      <c r="F2366" s="162">
        <v>4672</v>
      </c>
      <c r="G2366" s="162">
        <v>1</v>
      </c>
    </row>
    <row r="2367" spans="2:7" ht="28.8">
      <c r="B2367" s="162" t="s">
        <v>680</v>
      </c>
      <c r="C2367" s="162" t="s">
        <v>6258</v>
      </c>
      <c r="D2367" s="162" t="s">
        <v>6259</v>
      </c>
      <c r="E2367" s="162" t="s">
        <v>6243</v>
      </c>
      <c r="F2367" s="162">
        <v>4292</v>
      </c>
      <c r="G2367" s="162">
        <v>1</v>
      </c>
    </row>
    <row r="2368" spans="2:7" ht="43.2">
      <c r="B2368" s="162" t="s">
        <v>680</v>
      </c>
      <c r="C2368" s="162" t="s">
        <v>6260</v>
      </c>
      <c r="D2368" s="162" t="s">
        <v>6261</v>
      </c>
      <c r="E2368" s="162" t="s">
        <v>6243</v>
      </c>
      <c r="F2368" s="162">
        <v>4424</v>
      </c>
      <c r="G2368" s="162">
        <v>1</v>
      </c>
    </row>
    <row r="2369" spans="2:7" ht="43.2">
      <c r="B2369" s="162" t="s">
        <v>680</v>
      </c>
      <c r="C2369" s="162" t="s">
        <v>6262</v>
      </c>
      <c r="D2369" s="162" t="s">
        <v>6263</v>
      </c>
      <c r="E2369" s="162" t="s">
        <v>6243</v>
      </c>
      <c r="F2369" s="162">
        <v>4690</v>
      </c>
      <c r="G2369" s="162">
        <v>1</v>
      </c>
    </row>
    <row r="2370" spans="2:7" ht="28.8">
      <c r="B2370" s="162" t="s">
        <v>680</v>
      </c>
      <c r="C2370" s="162" t="s">
        <v>6264</v>
      </c>
      <c r="D2370" s="162" t="s">
        <v>6265</v>
      </c>
      <c r="E2370" s="162" t="s">
        <v>6243</v>
      </c>
      <c r="F2370" s="162">
        <v>4026</v>
      </c>
      <c r="G2370" s="162">
        <v>1</v>
      </c>
    </row>
    <row r="2371" spans="2:7" ht="28.8">
      <c r="B2371" s="162" t="s">
        <v>680</v>
      </c>
      <c r="C2371" s="162" t="s">
        <v>6266</v>
      </c>
      <c r="D2371" s="162" t="s">
        <v>6267</v>
      </c>
      <c r="E2371" s="162" t="s">
        <v>6243</v>
      </c>
      <c r="F2371" s="162">
        <v>4072</v>
      </c>
      <c r="G2371" s="162">
        <v>1</v>
      </c>
    </row>
    <row r="2372" spans="2:7" ht="28.8">
      <c r="B2372" s="162" t="s">
        <v>680</v>
      </c>
      <c r="C2372" s="162" t="s">
        <v>6268</v>
      </c>
      <c r="D2372" s="162" t="s">
        <v>6269</v>
      </c>
      <c r="E2372" s="162" t="s">
        <v>6243</v>
      </c>
      <c r="F2372" s="162">
        <v>4338</v>
      </c>
      <c r="G2372" s="162">
        <v>1</v>
      </c>
    </row>
    <row r="2373" spans="2:7" ht="43.2">
      <c r="B2373" s="162" t="s">
        <v>680</v>
      </c>
      <c r="C2373" s="162" t="s">
        <v>6270</v>
      </c>
      <c r="D2373" s="162" t="s">
        <v>6271</v>
      </c>
      <c r="E2373" s="162" t="s">
        <v>6243</v>
      </c>
      <c r="F2373" s="162">
        <v>4470</v>
      </c>
      <c r="G2373" s="162">
        <v>1</v>
      </c>
    </row>
    <row r="2374" spans="2:7" ht="43.2">
      <c r="B2374" s="162" t="s">
        <v>680</v>
      </c>
      <c r="C2374" s="162" t="s">
        <v>6272</v>
      </c>
      <c r="D2374" s="162" t="s">
        <v>6273</v>
      </c>
      <c r="E2374" s="162" t="s">
        <v>6243</v>
      </c>
      <c r="F2374" s="162">
        <v>4736</v>
      </c>
      <c r="G2374" s="162">
        <v>1</v>
      </c>
    </row>
    <row r="2375" spans="2:7" ht="28.8">
      <c r="B2375" s="162" t="s">
        <v>680</v>
      </c>
      <c r="C2375" s="162" t="s">
        <v>6274</v>
      </c>
      <c r="D2375" s="162" t="s">
        <v>6275</v>
      </c>
      <c r="E2375" s="162" t="s">
        <v>6243</v>
      </c>
      <c r="F2375" s="162">
        <v>4354</v>
      </c>
      <c r="G2375" s="162">
        <v>1</v>
      </c>
    </row>
    <row r="2376" spans="2:7" ht="43.2">
      <c r="B2376" s="162" t="s">
        <v>680</v>
      </c>
      <c r="C2376" s="162" t="s">
        <v>6276</v>
      </c>
      <c r="D2376" s="162" t="s">
        <v>6277</v>
      </c>
      <c r="E2376" s="162" t="s">
        <v>6243</v>
      </c>
      <c r="F2376" s="162">
        <v>4486</v>
      </c>
      <c r="G2376" s="162">
        <v>1</v>
      </c>
    </row>
    <row r="2377" spans="2:7" ht="43.2">
      <c r="B2377" s="162" t="s">
        <v>680</v>
      </c>
      <c r="C2377" s="162" t="s">
        <v>6278</v>
      </c>
      <c r="D2377" s="162" t="s">
        <v>6279</v>
      </c>
      <c r="E2377" s="162" t="s">
        <v>6243</v>
      </c>
      <c r="F2377" s="162">
        <v>4752</v>
      </c>
      <c r="G2377" s="162">
        <v>1</v>
      </c>
    </row>
    <row r="2378" spans="2:7" ht="28.8">
      <c r="B2378" s="162" t="s">
        <v>680</v>
      </c>
      <c r="C2378" s="162" t="s">
        <v>6280</v>
      </c>
      <c r="D2378" s="162" t="s">
        <v>6281</v>
      </c>
      <c r="E2378" s="162" t="s">
        <v>6243</v>
      </c>
      <c r="F2378" s="162">
        <v>4088</v>
      </c>
      <c r="G2378" s="162">
        <v>1</v>
      </c>
    </row>
    <row r="2379" spans="2:7" ht="28.8">
      <c r="B2379" s="162" t="s">
        <v>680</v>
      </c>
      <c r="C2379" s="162" t="s">
        <v>6282</v>
      </c>
      <c r="D2379" s="162" t="s">
        <v>6283</v>
      </c>
      <c r="E2379" s="162" t="s">
        <v>6243</v>
      </c>
      <c r="F2379" s="162">
        <v>4452</v>
      </c>
      <c r="G2379" s="162">
        <v>1</v>
      </c>
    </row>
    <row r="2380" spans="2:7" ht="43.2">
      <c r="B2380" s="162" t="s">
        <v>680</v>
      </c>
      <c r="C2380" s="162" t="s">
        <v>6284</v>
      </c>
      <c r="D2380" s="162" t="s">
        <v>6285</v>
      </c>
      <c r="E2380" s="162" t="s">
        <v>6243</v>
      </c>
      <c r="F2380" s="162">
        <v>4584</v>
      </c>
      <c r="G2380" s="162">
        <v>1</v>
      </c>
    </row>
    <row r="2381" spans="2:7" ht="43.2">
      <c r="B2381" s="162" t="s">
        <v>680</v>
      </c>
      <c r="C2381" s="162" t="s">
        <v>6286</v>
      </c>
      <c r="D2381" s="162" t="s">
        <v>6287</v>
      </c>
      <c r="E2381" s="162" t="s">
        <v>6243</v>
      </c>
      <c r="F2381" s="162">
        <v>4850</v>
      </c>
      <c r="G2381" s="162">
        <v>1</v>
      </c>
    </row>
    <row r="2382" spans="2:7" ht="28.8">
      <c r="B2382" s="162" t="s">
        <v>680</v>
      </c>
      <c r="C2382" s="162" t="s">
        <v>6288</v>
      </c>
      <c r="D2382" s="162" t="s">
        <v>6289</v>
      </c>
      <c r="E2382" s="162" t="s">
        <v>6243</v>
      </c>
      <c r="F2382" s="162">
        <v>4186</v>
      </c>
      <c r="G2382" s="162">
        <v>1</v>
      </c>
    </row>
    <row r="2383" spans="2:7" ht="28.8">
      <c r="B2383" s="162" t="s">
        <v>680</v>
      </c>
      <c r="C2383" s="162" t="s">
        <v>6290</v>
      </c>
      <c r="D2383" s="162" t="s">
        <v>6291</v>
      </c>
      <c r="E2383" s="162" t="s">
        <v>6243</v>
      </c>
      <c r="F2383" s="162">
        <v>7386</v>
      </c>
      <c r="G2383" s="162">
        <v>1</v>
      </c>
    </row>
    <row r="2384" spans="2:7" ht="43.2">
      <c r="B2384" s="162" t="s">
        <v>680</v>
      </c>
      <c r="C2384" s="162" t="s">
        <v>6292</v>
      </c>
      <c r="D2384" s="162" t="s">
        <v>6293</v>
      </c>
      <c r="E2384" s="162" t="s">
        <v>6243</v>
      </c>
      <c r="F2384" s="162">
        <v>7784</v>
      </c>
      <c r="G2384" s="162">
        <v>1</v>
      </c>
    </row>
    <row r="2385" spans="2:7" ht="43.2">
      <c r="B2385" s="162" t="s">
        <v>680</v>
      </c>
      <c r="C2385" s="162" t="s">
        <v>6294</v>
      </c>
      <c r="D2385" s="162" t="s">
        <v>6295</v>
      </c>
      <c r="E2385" s="162" t="s">
        <v>6243</v>
      </c>
      <c r="F2385" s="162">
        <v>11174</v>
      </c>
      <c r="G2385" s="162">
        <v>1</v>
      </c>
    </row>
    <row r="2386" spans="2:7" ht="28.8">
      <c r="B2386" s="162" t="s">
        <v>680</v>
      </c>
      <c r="C2386" s="162" t="s">
        <v>6296</v>
      </c>
      <c r="D2386" s="162" t="s">
        <v>6297</v>
      </c>
      <c r="E2386" s="162" t="s">
        <v>6243</v>
      </c>
      <c r="F2386" s="162">
        <v>10776</v>
      </c>
      <c r="G2386" s="162">
        <v>1</v>
      </c>
    </row>
    <row r="2387" spans="2:7" ht="43.2">
      <c r="B2387" s="162" t="s">
        <v>680</v>
      </c>
      <c r="C2387" s="162" t="s">
        <v>6298</v>
      </c>
      <c r="D2387" s="162" t="s">
        <v>6299</v>
      </c>
      <c r="E2387" s="162" t="s">
        <v>6243</v>
      </c>
      <c r="F2387" s="162">
        <v>4580</v>
      </c>
      <c r="G2387" s="162">
        <v>1</v>
      </c>
    </row>
    <row r="2388" spans="2:7" ht="28.8">
      <c r="B2388" s="162" t="s">
        <v>680</v>
      </c>
      <c r="C2388" s="162" t="s">
        <v>6300</v>
      </c>
      <c r="D2388" s="162" t="s">
        <v>6301</v>
      </c>
      <c r="E2388" s="162" t="s">
        <v>6243</v>
      </c>
      <c r="F2388" s="162">
        <v>4182</v>
      </c>
      <c r="G2388" s="162">
        <v>1</v>
      </c>
    </row>
    <row r="2389" spans="2:7" ht="28.8">
      <c r="B2389" s="162" t="s">
        <v>680</v>
      </c>
      <c r="C2389" s="162" t="s">
        <v>6302</v>
      </c>
      <c r="D2389" s="162" t="s">
        <v>6303</v>
      </c>
      <c r="E2389" s="162" t="s">
        <v>6243</v>
      </c>
      <c r="F2389" s="162">
        <v>4314</v>
      </c>
      <c r="G2389" s="162">
        <v>1</v>
      </c>
    </row>
    <row r="2390" spans="2:7" ht="28.8">
      <c r="B2390" s="162" t="s">
        <v>680</v>
      </c>
      <c r="C2390" s="162" t="s">
        <v>6304</v>
      </c>
      <c r="D2390" s="162" t="s">
        <v>6305</v>
      </c>
      <c r="E2390" s="162" t="s">
        <v>6243</v>
      </c>
      <c r="F2390" s="162">
        <v>3916</v>
      </c>
      <c r="G2390" s="162">
        <v>1</v>
      </c>
    </row>
    <row r="2391" spans="2:7" ht="28.8">
      <c r="B2391" s="162" t="s">
        <v>680</v>
      </c>
      <c r="C2391" s="162" t="s">
        <v>6306</v>
      </c>
      <c r="D2391" s="162" t="s">
        <v>6307</v>
      </c>
      <c r="E2391" s="162" t="s">
        <v>6243</v>
      </c>
      <c r="F2391" s="162">
        <v>3944</v>
      </c>
      <c r="G2391" s="162">
        <v>1</v>
      </c>
    </row>
    <row r="2392" spans="2:7" ht="43.2">
      <c r="B2392" s="162" t="s">
        <v>680</v>
      </c>
      <c r="C2392" s="162" t="s">
        <v>6308</v>
      </c>
      <c r="D2392" s="162" t="s">
        <v>6309</v>
      </c>
      <c r="E2392" s="162" t="s">
        <v>6243</v>
      </c>
      <c r="F2392" s="162">
        <v>4608</v>
      </c>
      <c r="G2392" s="162">
        <v>1</v>
      </c>
    </row>
    <row r="2393" spans="2:7" ht="28.8">
      <c r="B2393" s="162" t="s">
        <v>680</v>
      </c>
      <c r="C2393" s="162" t="s">
        <v>6310</v>
      </c>
      <c r="D2393" s="162" t="s">
        <v>6311</v>
      </c>
      <c r="E2393" s="162" t="s">
        <v>6243</v>
      </c>
      <c r="F2393" s="162">
        <v>4210</v>
      </c>
      <c r="G2393" s="162">
        <v>1</v>
      </c>
    </row>
    <row r="2394" spans="2:7" ht="43.2">
      <c r="B2394" s="162" t="s">
        <v>680</v>
      </c>
      <c r="C2394" s="162" t="s">
        <v>6312</v>
      </c>
      <c r="D2394" s="162" t="s">
        <v>6313</v>
      </c>
      <c r="E2394" s="162" t="s">
        <v>6243</v>
      </c>
      <c r="F2394" s="162">
        <v>4342</v>
      </c>
      <c r="G2394" s="162">
        <v>1</v>
      </c>
    </row>
    <row r="2395" spans="2:7" ht="28.8">
      <c r="B2395" s="162" t="s">
        <v>680</v>
      </c>
      <c r="C2395" s="162" t="s">
        <v>6314</v>
      </c>
      <c r="D2395" s="162" t="s">
        <v>6315</v>
      </c>
      <c r="E2395" s="162" t="s">
        <v>6243</v>
      </c>
      <c r="F2395" s="162">
        <v>4234</v>
      </c>
      <c r="G2395" s="162">
        <v>1</v>
      </c>
    </row>
    <row r="2396" spans="2:7" ht="43.2">
      <c r="B2396" s="162" t="s">
        <v>680</v>
      </c>
      <c r="C2396" s="162" t="s">
        <v>6316</v>
      </c>
      <c r="D2396" s="162" t="s">
        <v>6317</v>
      </c>
      <c r="E2396" s="162" t="s">
        <v>6243</v>
      </c>
      <c r="F2396" s="162">
        <v>4366</v>
      </c>
      <c r="G2396" s="162">
        <v>1</v>
      </c>
    </row>
    <row r="2397" spans="2:7" ht="43.2">
      <c r="B2397" s="162" t="s">
        <v>680</v>
      </c>
      <c r="C2397" s="162" t="s">
        <v>6318</v>
      </c>
      <c r="D2397" s="162" t="s">
        <v>6319</v>
      </c>
      <c r="E2397" s="162" t="s">
        <v>6243</v>
      </c>
      <c r="F2397" s="162">
        <v>4632</v>
      </c>
      <c r="G2397" s="162">
        <v>1</v>
      </c>
    </row>
    <row r="2398" spans="2:7" ht="28.8">
      <c r="B2398" s="162" t="s">
        <v>680</v>
      </c>
      <c r="C2398" s="162" t="s">
        <v>6320</v>
      </c>
      <c r="D2398" s="162" t="s">
        <v>6321</v>
      </c>
      <c r="E2398" s="162" t="s">
        <v>6243</v>
      </c>
      <c r="F2398" s="162">
        <v>3968</v>
      </c>
      <c r="G2398" s="162">
        <v>1</v>
      </c>
    </row>
    <row r="2399" spans="2:7" ht="28.8">
      <c r="B2399" s="162" t="s">
        <v>680</v>
      </c>
      <c r="C2399" s="162" t="s">
        <v>6322</v>
      </c>
      <c r="D2399" s="162" t="s">
        <v>6323</v>
      </c>
      <c r="E2399" s="162" t="s">
        <v>6243</v>
      </c>
      <c r="F2399" s="162">
        <v>4008</v>
      </c>
      <c r="G2399" s="162">
        <v>1</v>
      </c>
    </row>
    <row r="2400" spans="2:7" ht="28.8">
      <c r="B2400" s="162" t="s">
        <v>680</v>
      </c>
      <c r="C2400" s="162" t="s">
        <v>6324</v>
      </c>
      <c r="D2400" s="162" t="s">
        <v>6325</v>
      </c>
      <c r="E2400" s="162" t="s">
        <v>6243</v>
      </c>
      <c r="F2400" s="162">
        <v>4274</v>
      </c>
      <c r="G2400" s="162">
        <v>1</v>
      </c>
    </row>
    <row r="2401" spans="2:7" ht="43.2">
      <c r="B2401" s="162" t="s">
        <v>680</v>
      </c>
      <c r="C2401" s="162" t="s">
        <v>6326</v>
      </c>
      <c r="D2401" s="162" t="s">
        <v>6327</v>
      </c>
      <c r="E2401" s="162" t="s">
        <v>6243</v>
      </c>
      <c r="F2401" s="162">
        <v>4406</v>
      </c>
      <c r="G2401" s="162">
        <v>1</v>
      </c>
    </row>
    <row r="2402" spans="2:7" ht="43.2">
      <c r="B2402" s="162" t="s">
        <v>680</v>
      </c>
      <c r="C2402" s="162" t="s">
        <v>6328</v>
      </c>
      <c r="D2402" s="162" t="s">
        <v>6329</v>
      </c>
      <c r="E2402" s="162" t="s">
        <v>6243</v>
      </c>
      <c r="F2402" s="162">
        <v>4672</v>
      </c>
      <c r="G2402" s="162">
        <v>1</v>
      </c>
    </row>
    <row r="2403" spans="2:7" ht="43.2">
      <c r="B2403" s="162" t="s">
        <v>680</v>
      </c>
      <c r="C2403" s="162" t="s">
        <v>6330</v>
      </c>
      <c r="D2403" s="162" t="s">
        <v>6331</v>
      </c>
      <c r="E2403" s="162" t="s">
        <v>6243</v>
      </c>
      <c r="F2403" s="162">
        <v>4424</v>
      </c>
      <c r="G2403" s="162">
        <v>1</v>
      </c>
    </row>
    <row r="2404" spans="2:7" ht="43.2">
      <c r="B2404" s="162" t="s">
        <v>680</v>
      </c>
      <c r="C2404" s="162" t="s">
        <v>6332</v>
      </c>
      <c r="D2404" s="162" t="s">
        <v>6333</v>
      </c>
      <c r="E2404" s="162" t="s">
        <v>6243</v>
      </c>
      <c r="F2404" s="162">
        <v>4690</v>
      </c>
      <c r="G2404" s="162">
        <v>1</v>
      </c>
    </row>
    <row r="2405" spans="2:7" ht="28.8">
      <c r="B2405" s="162" t="s">
        <v>680</v>
      </c>
      <c r="C2405" s="162" t="s">
        <v>6334</v>
      </c>
      <c r="D2405" s="162" t="s">
        <v>6335</v>
      </c>
      <c r="E2405" s="162" t="s">
        <v>6243</v>
      </c>
      <c r="F2405" s="162">
        <v>4026</v>
      </c>
      <c r="G2405" s="162">
        <v>1</v>
      </c>
    </row>
    <row r="2406" spans="2:7" ht="28.8">
      <c r="B2406" s="162" t="s">
        <v>680</v>
      </c>
      <c r="C2406" s="162" t="s">
        <v>6336</v>
      </c>
      <c r="D2406" s="162" t="s">
        <v>6337</v>
      </c>
      <c r="E2406" s="162" t="s">
        <v>6243</v>
      </c>
      <c r="F2406" s="162">
        <v>4292</v>
      </c>
      <c r="G2406" s="162">
        <v>1</v>
      </c>
    </row>
    <row r="2407" spans="2:7" ht="28.8">
      <c r="B2407" s="162" t="s">
        <v>680</v>
      </c>
      <c r="C2407" s="162" t="s">
        <v>6338</v>
      </c>
      <c r="D2407" s="162" t="s">
        <v>6339</v>
      </c>
      <c r="E2407" s="162" t="s">
        <v>6243</v>
      </c>
      <c r="F2407" s="162">
        <v>4072</v>
      </c>
      <c r="G2407" s="162">
        <v>1</v>
      </c>
    </row>
    <row r="2408" spans="2:7" ht="28.8">
      <c r="B2408" s="162" t="s">
        <v>680</v>
      </c>
      <c r="C2408" s="162" t="s">
        <v>6340</v>
      </c>
      <c r="D2408" s="162" t="s">
        <v>6341</v>
      </c>
      <c r="E2408" s="162" t="s">
        <v>6243</v>
      </c>
      <c r="F2408" s="162">
        <v>4338</v>
      </c>
      <c r="G2408" s="162">
        <v>1</v>
      </c>
    </row>
    <row r="2409" spans="2:7" ht="43.2">
      <c r="B2409" s="162" t="s">
        <v>680</v>
      </c>
      <c r="C2409" s="162" t="s">
        <v>6342</v>
      </c>
      <c r="D2409" s="162" t="s">
        <v>6343</v>
      </c>
      <c r="E2409" s="162" t="s">
        <v>6243</v>
      </c>
      <c r="F2409" s="162">
        <v>4470</v>
      </c>
      <c r="G2409" s="162">
        <v>1</v>
      </c>
    </row>
    <row r="2410" spans="2:7" ht="43.2">
      <c r="B2410" s="162" t="s">
        <v>680</v>
      </c>
      <c r="C2410" s="162" t="s">
        <v>6344</v>
      </c>
      <c r="D2410" s="162" t="s">
        <v>6345</v>
      </c>
      <c r="E2410" s="162" t="s">
        <v>6243</v>
      </c>
      <c r="F2410" s="162">
        <v>4736</v>
      </c>
      <c r="G2410" s="162">
        <v>1</v>
      </c>
    </row>
    <row r="2411" spans="2:7" ht="28.8">
      <c r="B2411" s="162" t="s">
        <v>680</v>
      </c>
      <c r="C2411" s="162" t="s">
        <v>6346</v>
      </c>
      <c r="D2411" s="162" t="s">
        <v>6347</v>
      </c>
      <c r="E2411" s="162" t="s">
        <v>6243</v>
      </c>
      <c r="F2411" s="162">
        <v>4398</v>
      </c>
      <c r="G2411" s="162">
        <v>1</v>
      </c>
    </row>
    <row r="2412" spans="2:7" ht="43.2">
      <c r="B2412" s="162" t="s">
        <v>680</v>
      </c>
      <c r="C2412" s="162" t="s">
        <v>6348</v>
      </c>
      <c r="D2412" s="162" t="s">
        <v>6349</v>
      </c>
      <c r="E2412" s="162" t="s">
        <v>6243</v>
      </c>
      <c r="F2412" s="162">
        <v>4530</v>
      </c>
      <c r="G2412" s="162">
        <v>1</v>
      </c>
    </row>
    <row r="2413" spans="2:7" ht="43.2">
      <c r="B2413" s="162" t="s">
        <v>680</v>
      </c>
      <c r="C2413" s="162" t="s">
        <v>6350</v>
      </c>
      <c r="D2413" s="162" t="s">
        <v>6351</v>
      </c>
      <c r="E2413" s="162" t="s">
        <v>6243</v>
      </c>
      <c r="F2413" s="162">
        <v>4796</v>
      </c>
      <c r="G2413" s="162">
        <v>1</v>
      </c>
    </row>
    <row r="2414" spans="2:7" ht="28.8">
      <c r="B2414" s="162" t="s">
        <v>680</v>
      </c>
      <c r="C2414" s="162" t="s">
        <v>6352</v>
      </c>
      <c r="D2414" s="162" t="s">
        <v>6353</v>
      </c>
      <c r="E2414" s="162" t="s">
        <v>6243</v>
      </c>
      <c r="F2414" s="162">
        <v>4132</v>
      </c>
      <c r="G2414" s="162">
        <v>1</v>
      </c>
    </row>
    <row r="2415" spans="2:7" ht="28.8">
      <c r="B2415" s="162" t="s">
        <v>680</v>
      </c>
      <c r="C2415" s="162" t="s">
        <v>6354</v>
      </c>
      <c r="D2415" s="162" t="s">
        <v>6355</v>
      </c>
      <c r="E2415" s="162" t="s">
        <v>6243</v>
      </c>
      <c r="F2415" s="162">
        <v>4186</v>
      </c>
      <c r="G2415" s="162">
        <v>1</v>
      </c>
    </row>
    <row r="2416" spans="2:7" ht="28.8">
      <c r="B2416" s="162" t="s">
        <v>680</v>
      </c>
      <c r="C2416" s="162" t="s">
        <v>6356</v>
      </c>
      <c r="D2416" s="162" t="s">
        <v>6357</v>
      </c>
      <c r="E2416" s="162" t="s">
        <v>6243</v>
      </c>
      <c r="F2416" s="162">
        <v>4452</v>
      </c>
      <c r="G2416" s="162">
        <v>1</v>
      </c>
    </row>
    <row r="2417" spans="2:7" ht="43.2">
      <c r="B2417" s="162" t="s">
        <v>680</v>
      </c>
      <c r="C2417" s="162" t="s">
        <v>6358</v>
      </c>
      <c r="D2417" s="162" t="s">
        <v>6359</v>
      </c>
      <c r="E2417" s="162" t="s">
        <v>6243</v>
      </c>
      <c r="F2417" s="162">
        <v>4584</v>
      </c>
      <c r="G2417" s="162">
        <v>1</v>
      </c>
    </row>
    <row r="2418" spans="2:7" ht="43.2">
      <c r="B2418" s="162" t="s">
        <v>680</v>
      </c>
      <c r="C2418" s="162" t="s">
        <v>6360</v>
      </c>
      <c r="D2418" s="162" t="s">
        <v>6361</v>
      </c>
      <c r="E2418" s="162" t="s">
        <v>6243</v>
      </c>
      <c r="F2418" s="162">
        <v>4850</v>
      </c>
      <c r="G2418" s="162">
        <v>1</v>
      </c>
    </row>
    <row r="2419" spans="2:7" ht="43.2">
      <c r="B2419" s="162" t="s">
        <v>680</v>
      </c>
      <c r="C2419" s="162" t="s">
        <v>6362</v>
      </c>
      <c r="D2419" s="162" t="s">
        <v>6363</v>
      </c>
      <c r="E2419" s="162" t="s">
        <v>6243</v>
      </c>
      <c r="F2419" s="162">
        <v>7784</v>
      </c>
      <c r="G2419" s="162">
        <v>1</v>
      </c>
    </row>
    <row r="2420" spans="2:7" ht="28.8">
      <c r="B2420" s="162" t="s">
        <v>680</v>
      </c>
      <c r="C2420" s="162" t="s">
        <v>6364</v>
      </c>
      <c r="D2420" s="162" t="s">
        <v>6365</v>
      </c>
      <c r="E2420" s="162" t="s">
        <v>6243</v>
      </c>
      <c r="F2420" s="162">
        <v>7386</v>
      </c>
      <c r="G2420" s="162">
        <v>1</v>
      </c>
    </row>
    <row r="2421" spans="2:7" ht="28.8">
      <c r="B2421" s="162" t="s">
        <v>680</v>
      </c>
      <c r="C2421" s="162" t="s">
        <v>6366</v>
      </c>
      <c r="D2421" s="162" t="s">
        <v>6367</v>
      </c>
      <c r="E2421" s="162" t="s">
        <v>6243</v>
      </c>
      <c r="F2421" s="162">
        <v>10776</v>
      </c>
      <c r="G2421" s="162">
        <v>1</v>
      </c>
    </row>
    <row r="2422" spans="2:7" ht="43.2">
      <c r="B2422" s="162" t="s">
        <v>680</v>
      </c>
      <c r="C2422" s="162" t="s">
        <v>6368</v>
      </c>
      <c r="D2422" s="162" t="s">
        <v>6369</v>
      </c>
      <c r="E2422" s="162" t="s">
        <v>6243</v>
      </c>
      <c r="F2422" s="162">
        <v>11174</v>
      </c>
      <c r="G2422" s="162">
        <v>1</v>
      </c>
    </row>
    <row r="2423" spans="2:7" ht="43.2">
      <c r="B2423" s="162" t="s">
        <v>680</v>
      </c>
      <c r="C2423" s="162" t="s">
        <v>6370</v>
      </c>
      <c r="D2423" s="162" t="s">
        <v>6371</v>
      </c>
      <c r="E2423" s="162" t="s">
        <v>6243</v>
      </c>
      <c r="F2423" s="162">
        <v>4580</v>
      </c>
      <c r="G2423" s="162">
        <v>1</v>
      </c>
    </row>
    <row r="2424" spans="2:7" ht="28.8">
      <c r="B2424" s="162" t="s">
        <v>680</v>
      </c>
      <c r="C2424" s="162" t="s">
        <v>6372</v>
      </c>
      <c r="D2424" s="162" t="s">
        <v>6373</v>
      </c>
      <c r="E2424" s="162" t="s">
        <v>6243</v>
      </c>
      <c r="F2424" s="162">
        <v>4182</v>
      </c>
      <c r="G2424" s="162">
        <v>1</v>
      </c>
    </row>
    <row r="2425" spans="2:7" ht="28.8">
      <c r="B2425" s="162" t="s">
        <v>680</v>
      </c>
      <c r="C2425" s="162" t="s">
        <v>6374</v>
      </c>
      <c r="D2425" s="162" t="s">
        <v>6375</v>
      </c>
      <c r="E2425" s="162" t="s">
        <v>6243</v>
      </c>
      <c r="F2425" s="162">
        <v>4314</v>
      </c>
      <c r="G2425" s="162">
        <v>1</v>
      </c>
    </row>
    <row r="2426" spans="2:7" ht="28.8">
      <c r="B2426" s="162" t="s">
        <v>680</v>
      </c>
      <c r="C2426" s="162" t="s">
        <v>6376</v>
      </c>
      <c r="D2426" s="162" t="s">
        <v>6377</v>
      </c>
      <c r="E2426" s="162" t="s">
        <v>6243</v>
      </c>
      <c r="F2426" s="162">
        <v>3916</v>
      </c>
      <c r="G2426" s="162">
        <v>1</v>
      </c>
    </row>
    <row r="2427" spans="2:7" ht="28.8">
      <c r="B2427" s="162" t="s">
        <v>680</v>
      </c>
      <c r="C2427" s="162" t="s">
        <v>6378</v>
      </c>
      <c r="D2427" s="162" t="s">
        <v>6379</v>
      </c>
      <c r="E2427" s="162" t="s">
        <v>6380</v>
      </c>
      <c r="F2427" s="162">
        <v>4290</v>
      </c>
      <c r="G2427" s="162">
        <v>1</v>
      </c>
    </row>
    <row r="2428" spans="2:7" ht="28.8">
      <c r="B2428" s="162" t="s">
        <v>680</v>
      </c>
      <c r="C2428" s="162" t="s">
        <v>6381</v>
      </c>
      <c r="D2428" s="162" t="s">
        <v>6382</v>
      </c>
      <c r="E2428" s="162" t="s">
        <v>6380</v>
      </c>
      <c r="F2428" s="162">
        <v>4556</v>
      </c>
      <c r="G2428" s="162">
        <v>1</v>
      </c>
    </row>
    <row r="2429" spans="2:7" ht="28.8">
      <c r="B2429" s="162" t="s">
        <v>680</v>
      </c>
      <c r="C2429" s="162" t="s">
        <v>6383</v>
      </c>
      <c r="D2429" s="162" t="s">
        <v>6384</v>
      </c>
      <c r="E2429" s="162" t="s">
        <v>6380</v>
      </c>
      <c r="F2429" s="162">
        <v>4662</v>
      </c>
      <c r="G2429" s="162">
        <v>1</v>
      </c>
    </row>
    <row r="2430" spans="2:7" ht="28.8">
      <c r="B2430" s="162" t="s">
        <v>680</v>
      </c>
      <c r="C2430" s="162" t="s">
        <v>6385</v>
      </c>
      <c r="D2430" s="162" t="s">
        <v>6386</v>
      </c>
      <c r="E2430" s="162" t="s">
        <v>6380</v>
      </c>
      <c r="F2430" s="162">
        <v>4396</v>
      </c>
      <c r="G2430" s="162">
        <v>1</v>
      </c>
    </row>
    <row r="2431" spans="2:7" ht="28.8">
      <c r="B2431" s="162" t="s">
        <v>680</v>
      </c>
      <c r="C2431" s="162" t="s">
        <v>6387</v>
      </c>
      <c r="D2431" s="162" t="s">
        <v>6388</v>
      </c>
      <c r="E2431" s="162" t="s">
        <v>6380</v>
      </c>
      <c r="F2431" s="162">
        <v>4710</v>
      </c>
      <c r="G2431" s="162">
        <v>1</v>
      </c>
    </row>
    <row r="2432" spans="2:7" ht="28.8">
      <c r="B2432" s="162" t="s">
        <v>680</v>
      </c>
      <c r="C2432" s="162" t="s">
        <v>6389</v>
      </c>
      <c r="D2432" s="162" t="s">
        <v>6390</v>
      </c>
      <c r="E2432" s="162" t="s">
        <v>6380</v>
      </c>
      <c r="F2432" s="162">
        <v>4976</v>
      </c>
      <c r="G2432" s="162">
        <v>1</v>
      </c>
    </row>
    <row r="2433" spans="2:7" ht="28.8">
      <c r="B2433" s="162" t="s">
        <v>680</v>
      </c>
      <c r="C2433" s="162" t="s">
        <v>6391</v>
      </c>
      <c r="D2433" s="162" t="s">
        <v>6392</v>
      </c>
      <c r="E2433" s="162" t="s">
        <v>6380</v>
      </c>
      <c r="F2433" s="162">
        <v>5272</v>
      </c>
      <c r="G2433" s="162">
        <v>1</v>
      </c>
    </row>
    <row r="2434" spans="2:7" ht="28.8">
      <c r="B2434" s="162" t="s">
        <v>680</v>
      </c>
      <c r="C2434" s="162" t="s">
        <v>6393</v>
      </c>
      <c r="D2434" s="162" t="s">
        <v>6394</v>
      </c>
      <c r="E2434" s="162" t="s">
        <v>6380</v>
      </c>
      <c r="F2434" s="162">
        <v>5006</v>
      </c>
      <c r="G2434" s="162">
        <v>1</v>
      </c>
    </row>
    <row r="2435" spans="2:7" ht="28.8">
      <c r="B2435" s="162" t="s">
        <v>680</v>
      </c>
      <c r="C2435" s="162" t="s">
        <v>6395</v>
      </c>
      <c r="D2435" s="162" t="s">
        <v>6396</v>
      </c>
      <c r="E2435" s="162" t="s">
        <v>6380</v>
      </c>
      <c r="F2435" s="162">
        <v>4170</v>
      </c>
      <c r="G2435" s="162">
        <v>1</v>
      </c>
    </row>
    <row r="2436" spans="2:7" ht="28.8">
      <c r="B2436" s="162" t="s">
        <v>680</v>
      </c>
      <c r="C2436" s="162" t="s">
        <v>6397</v>
      </c>
      <c r="D2436" s="162" t="s">
        <v>6398</v>
      </c>
      <c r="E2436" s="162" t="s">
        <v>6380</v>
      </c>
      <c r="F2436" s="162">
        <v>4436</v>
      </c>
      <c r="G2436" s="162">
        <v>1</v>
      </c>
    </row>
    <row r="2437" spans="2:7" ht="28.8">
      <c r="B2437" s="162" t="s">
        <v>680</v>
      </c>
      <c r="C2437" s="162" t="s">
        <v>6399</v>
      </c>
      <c r="D2437" s="162" t="s">
        <v>6400</v>
      </c>
      <c r="E2437" s="162" t="s">
        <v>6380</v>
      </c>
      <c r="F2437" s="162">
        <v>4522</v>
      </c>
      <c r="G2437" s="162">
        <v>1</v>
      </c>
    </row>
    <row r="2438" spans="2:7" ht="28.8">
      <c r="B2438" s="162" t="s">
        <v>680</v>
      </c>
      <c r="C2438" s="162" t="s">
        <v>6401</v>
      </c>
      <c r="D2438" s="162" t="s">
        <v>6402</v>
      </c>
      <c r="E2438" s="162" t="s">
        <v>6380</v>
      </c>
      <c r="F2438" s="162">
        <v>4256</v>
      </c>
      <c r="G2438" s="162">
        <v>1</v>
      </c>
    </row>
    <row r="2439" spans="2:7" ht="28.8">
      <c r="B2439" s="162" t="s">
        <v>680</v>
      </c>
      <c r="C2439" s="162" t="s">
        <v>6403</v>
      </c>
      <c r="D2439" s="162" t="s">
        <v>6404</v>
      </c>
      <c r="E2439" s="162" t="s">
        <v>6380</v>
      </c>
      <c r="F2439" s="162">
        <v>4290</v>
      </c>
      <c r="G2439" s="162">
        <v>1</v>
      </c>
    </row>
    <row r="2440" spans="2:7" ht="28.8">
      <c r="B2440" s="162" t="s">
        <v>680</v>
      </c>
      <c r="C2440" s="162" t="s">
        <v>6405</v>
      </c>
      <c r="D2440" s="162" t="s">
        <v>6406</v>
      </c>
      <c r="E2440" s="162" t="s">
        <v>6380</v>
      </c>
      <c r="F2440" s="162">
        <v>4556</v>
      </c>
      <c r="G2440" s="162">
        <v>1</v>
      </c>
    </row>
    <row r="2441" spans="2:7" ht="28.8">
      <c r="B2441" s="162" t="s">
        <v>680</v>
      </c>
      <c r="C2441" s="162" t="s">
        <v>6407</v>
      </c>
      <c r="D2441" s="162" t="s">
        <v>6408</v>
      </c>
      <c r="E2441" s="162" t="s">
        <v>6380</v>
      </c>
      <c r="F2441" s="162">
        <v>4662</v>
      </c>
      <c r="G2441" s="162">
        <v>1</v>
      </c>
    </row>
    <row r="2442" spans="2:7" ht="28.8">
      <c r="B2442" s="162" t="s">
        <v>680</v>
      </c>
      <c r="C2442" s="162" t="s">
        <v>6409</v>
      </c>
      <c r="D2442" s="162" t="s">
        <v>6410</v>
      </c>
      <c r="E2442" s="162" t="s">
        <v>6380</v>
      </c>
      <c r="F2442" s="162">
        <v>4396</v>
      </c>
      <c r="G2442" s="162">
        <v>1</v>
      </c>
    </row>
    <row r="2443" spans="2:7" ht="28.8">
      <c r="B2443" s="162" t="s">
        <v>680</v>
      </c>
      <c r="C2443" s="162" t="s">
        <v>6411</v>
      </c>
      <c r="D2443" s="162" t="s">
        <v>6412</v>
      </c>
      <c r="E2443" s="162" t="s">
        <v>6380</v>
      </c>
      <c r="F2443" s="162">
        <v>4710</v>
      </c>
      <c r="G2443" s="162">
        <v>1</v>
      </c>
    </row>
    <row r="2444" spans="2:7" ht="28.8">
      <c r="B2444" s="162" t="s">
        <v>680</v>
      </c>
      <c r="C2444" s="162" t="s">
        <v>6413</v>
      </c>
      <c r="D2444" s="162" t="s">
        <v>6414</v>
      </c>
      <c r="E2444" s="162" t="s">
        <v>6380</v>
      </c>
      <c r="F2444" s="162">
        <v>4976</v>
      </c>
      <c r="G2444" s="162">
        <v>1</v>
      </c>
    </row>
    <row r="2445" spans="2:7" ht="28.8">
      <c r="B2445" s="162" t="s">
        <v>680</v>
      </c>
      <c r="C2445" s="162" t="s">
        <v>6415</v>
      </c>
      <c r="D2445" s="162" t="s">
        <v>6416</v>
      </c>
      <c r="E2445" s="162" t="s">
        <v>6380</v>
      </c>
      <c r="F2445" s="162">
        <v>5272</v>
      </c>
      <c r="G2445" s="162">
        <v>1</v>
      </c>
    </row>
    <row r="2446" spans="2:7" ht="28.8">
      <c r="B2446" s="162" t="s">
        <v>680</v>
      </c>
      <c r="C2446" s="162" t="s">
        <v>6417</v>
      </c>
      <c r="D2446" s="162" t="s">
        <v>6418</v>
      </c>
      <c r="E2446" s="162" t="s">
        <v>6380</v>
      </c>
      <c r="F2446" s="162">
        <v>5006</v>
      </c>
      <c r="G2446" s="162">
        <v>1</v>
      </c>
    </row>
    <row r="2447" spans="2:7" ht="28.8">
      <c r="B2447" s="162" t="s">
        <v>680</v>
      </c>
      <c r="C2447" s="162" t="s">
        <v>6419</v>
      </c>
      <c r="D2447" s="162" t="s">
        <v>6420</v>
      </c>
      <c r="E2447" s="162" t="s">
        <v>6380</v>
      </c>
      <c r="F2447" s="162">
        <v>4170</v>
      </c>
      <c r="G2447" s="162">
        <v>1</v>
      </c>
    </row>
    <row r="2448" spans="2:7" ht="28.8">
      <c r="B2448" s="162" t="s">
        <v>680</v>
      </c>
      <c r="C2448" s="162" t="s">
        <v>6421</v>
      </c>
      <c r="D2448" s="162" t="s">
        <v>6422</v>
      </c>
      <c r="E2448" s="162" t="s">
        <v>6380</v>
      </c>
      <c r="F2448" s="162">
        <v>4436</v>
      </c>
      <c r="G2448" s="162">
        <v>1</v>
      </c>
    </row>
    <row r="2449" spans="2:7" ht="28.8">
      <c r="B2449" s="162" t="s">
        <v>680</v>
      </c>
      <c r="C2449" s="162" t="s">
        <v>6423</v>
      </c>
      <c r="D2449" s="162" t="s">
        <v>6424</v>
      </c>
      <c r="E2449" s="162" t="s">
        <v>6380</v>
      </c>
      <c r="F2449" s="162">
        <v>4592</v>
      </c>
      <c r="G2449" s="162">
        <v>1</v>
      </c>
    </row>
    <row r="2450" spans="2:7" ht="28.8">
      <c r="B2450" s="162" t="s">
        <v>680</v>
      </c>
      <c r="C2450" s="162" t="s">
        <v>6425</v>
      </c>
      <c r="D2450" s="162" t="s">
        <v>6426</v>
      </c>
      <c r="E2450" s="162" t="s">
        <v>6380</v>
      </c>
      <c r="F2450" s="162">
        <v>4326</v>
      </c>
      <c r="G2450" s="162">
        <v>1</v>
      </c>
    </row>
    <row r="2451" spans="2:7" ht="28.8">
      <c r="B2451" s="162" t="s">
        <v>680</v>
      </c>
      <c r="C2451" s="162" t="s">
        <v>6427</v>
      </c>
      <c r="D2451" s="162" t="s">
        <v>6428</v>
      </c>
      <c r="E2451" s="162" t="s">
        <v>6380</v>
      </c>
      <c r="F2451" s="162">
        <v>5192</v>
      </c>
      <c r="G2451" s="162">
        <v>1</v>
      </c>
    </row>
    <row r="2452" spans="2:7" ht="28.8">
      <c r="B2452" s="162" t="s">
        <v>680</v>
      </c>
      <c r="C2452" s="162" t="s">
        <v>6429</v>
      </c>
      <c r="D2452" s="162" t="s">
        <v>6430</v>
      </c>
      <c r="E2452" s="162" t="s">
        <v>6380</v>
      </c>
      <c r="F2452" s="162">
        <v>4926</v>
      </c>
      <c r="G2452" s="162">
        <v>1</v>
      </c>
    </row>
    <row r="2453" spans="2:7" ht="28.8">
      <c r="B2453" s="162" t="s">
        <v>680</v>
      </c>
      <c r="C2453" s="162" t="s">
        <v>6431</v>
      </c>
      <c r="D2453" s="162" t="s">
        <v>6432</v>
      </c>
      <c r="E2453" s="162" t="s">
        <v>6380</v>
      </c>
      <c r="F2453" s="162">
        <v>5842</v>
      </c>
      <c r="G2453" s="162">
        <v>1</v>
      </c>
    </row>
    <row r="2454" spans="2:7" ht="28.8">
      <c r="B2454" s="162" t="s">
        <v>680</v>
      </c>
      <c r="C2454" s="162" t="s">
        <v>6433</v>
      </c>
      <c r="D2454" s="162" t="s">
        <v>6434</v>
      </c>
      <c r="E2454" s="162" t="s">
        <v>6380</v>
      </c>
      <c r="F2454" s="162">
        <v>6186</v>
      </c>
      <c r="G2454" s="162">
        <v>1</v>
      </c>
    </row>
    <row r="2455" spans="2:7" ht="28.8">
      <c r="B2455" s="162" t="s">
        <v>680</v>
      </c>
      <c r="C2455" s="162" t="s">
        <v>6435</v>
      </c>
      <c r="D2455" s="162" t="s">
        <v>6436</v>
      </c>
      <c r="E2455" s="162" t="s">
        <v>6380</v>
      </c>
      <c r="F2455" s="162">
        <v>7140</v>
      </c>
      <c r="G2455" s="162">
        <v>1</v>
      </c>
    </row>
    <row r="2456" spans="2:7" ht="28.8">
      <c r="B2456" s="162" t="s">
        <v>680</v>
      </c>
      <c r="C2456" s="162" t="s">
        <v>6437</v>
      </c>
      <c r="D2456" s="162" t="s">
        <v>6438</v>
      </c>
      <c r="E2456" s="162" t="s">
        <v>6380</v>
      </c>
      <c r="F2456" s="162">
        <v>7544</v>
      </c>
      <c r="G2456" s="162">
        <v>1</v>
      </c>
    </row>
    <row r="2457" spans="2:7" ht="28.8">
      <c r="B2457" s="162" t="s">
        <v>680</v>
      </c>
      <c r="C2457" s="162" t="s">
        <v>6439</v>
      </c>
      <c r="D2457" s="162" t="s">
        <v>6440</v>
      </c>
      <c r="E2457" s="162" t="s">
        <v>6380</v>
      </c>
      <c r="F2457" s="162">
        <v>8398</v>
      </c>
      <c r="G2457" s="162">
        <v>1</v>
      </c>
    </row>
    <row r="2458" spans="2:7" ht="28.8">
      <c r="B2458" s="162" t="s">
        <v>680</v>
      </c>
      <c r="C2458" s="162" t="s">
        <v>6441</v>
      </c>
      <c r="D2458" s="162" t="s">
        <v>6442</v>
      </c>
      <c r="E2458" s="162" t="s">
        <v>6380</v>
      </c>
      <c r="F2458" s="162">
        <v>5842</v>
      </c>
      <c r="G2458" s="162">
        <v>1</v>
      </c>
    </row>
    <row r="2459" spans="2:7" ht="28.8">
      <c r="B2459" s="162" t="s">
        <v>680</v>
      </c>
      <c r="C2459" s="162" t="s">
        <v>6443</v>
      </c>
      <c r="D2459" s="162" t="s">
        <v>6444</v>
      </c>
      <c r="E2459" s="162" t="s">
        <v>6380</v>
      </c>
      <c r="F2459" s="162">
        <v>6186</v>
      </c>
      <c r="G2459" s="162">
        <v>1</v>
      </c>
    </row>
    <row r="2460" spans="2:7" ht="28.8">
      <c r="B2460" s="162" t="s">
        <v>680</v>
      </c>
      <c r="C2460" s="162" t="s">
        <v>6445</v>
      </c>
      <c r="D2460" s="162" t="s">
        <v>6446</v>
      </c>
      <c r="E2460" s="162" t="s">
        <v>6380</v>
      </c>
      <c r="F2460" s="162">
        <v>7140</v>
      </c>
      <c r="G2460" s="162">
        <v>1</v>
      </c>
    </row>
    <row r="2461" spans="2:7" ht="28.8">
      <c r="B2461" s="162" t="s">
        <v>680</v>
      </c>
      <c r="C2461" s="162" t="s">
        <v>6447</v>
      </c>
      <c r="D2461" s="162" t="s">
        <v>6448</v>
      </c>
      <c r="E2461" s="162" t="s">
        <v>6380</v>
      </c>
      <c r="F2461" s="162">
        <v>7396</v>
      </c>
      <c r="G2461" s="162">
        <v>1</v>
      </c>
    </row>
    <row r="2462" spans="2:7" ht="28.8">
      <c r="B2462" s="162" t="s">
        <v>680</v>
      </c>
      <c r="C2462" s="162" t="s">
        <v>6449</v>
      </c>
      <c r="D2462" s="162" t="s">
        <v>6450</v>
      </c>
      <c r="E2462" s="162" t="s">
        <v>6380</v>
      </c>
      <c r="F2462" s="162">
        <v>8444</v>
      </c>
      <c r="G2462" s="162">
        <v>1</v>
      </c>
    </row>
    <row r="2463" spans="2:7" ht="28.8">
      <c r="B2463" s="162" t="s">
        <v>680</v>
      </c>
      <c r="C2463" s="162" t="s">
        <v>6451</v>
      </c>
      <c r="D2463" s="162" t="s">
        <v>6452</v>
      </c>
      <c r="E2463" s="162" t="s">
        <v>6380</v>
      </c>
      <c r="F2463" s="162">
        <v>5748</v>
      </c>
      <c r="G2463" s="162">
        <v>1</v>
      </c>
    </row>
    <row r="2464" spans="2:7" ht="28.8">
      <c r="B2464" s="162" t="s">
        <v>680</v>
      </c>
      <c r="C2464" s="162" t="s">
        <v>6453</v>
      </c>
      <c r="D2464" s="162" t="s">
        <v>6454</v>
      </c>
      <c r="E2464" s="162" t="s">
        <v>6380</v>
      </c>
      <c r="F2464" s="162">
        <v>6694</v>
      </c>
      <c r="G2464" s="162">
        <v>1</v>
      </c>
    </row>
    <row r="2465" spans="2:7" ht="28.8">
      <c r="B2465" s="162" t="s">
        <v>680</v>
      </c>
      <c r="C2465" s="162" t="s">
        <v>6455</v>
      </c>
      <c r="D2465" s="162" t="s">
        <v>6456</v>
      </c>
      <c r="E2465" s="162" t="s">
        <v>6380</v>
      </c>
      <c r="F2465" s="162">
        <v>7220</v>
      </c>
      <c r="G2465" s="162">
        <v>1</v>
      </c>
    </row>
    <row r="2466" spans="2:7" ht="28.8">
      <c r="B2466" s="162" t="s">
        <v>680</v>
      </c>
      <c r="C2466" s="162" t="s">
        <v>6457</v>
      </c>
      <c r="D2466" s="162" t="s">
        <v>6458</v>
      </c>
      <c r="E2466" s="162" t="s">
        <v>6459</v>
      </c>
      <c r="F2466" s="162">
        <v>2218</v>
      </c>
      <c r="G2466" s="162">
        <v>1</v>
      </c>
    </row>
    <row r="2467" spans="2:7" ht="28.8">
      <c r="B2467" s="162" t="s">
        <v>680</v>
      </c>
      <c r="C2467" s="162" t="s">
        <v>6460</v>
      </c>
      <c r="D2467" s="162" t="s">
        <v>6461</v>
      </c>
      <c r="E2467" s="162" t="s">
        <v>6459</v>
      </c>
      <c r="F2467" s="162">
        <v>2484</v>
      </c>
      <c r="G2467" s="162">
        <v>1</v>
      </c>
    </row>
    <row r="2468" spans="2:7" ht="28.8">
      <c r="B2468" s="162" t="s">
        <v>680</v>
      </c>
      <c r="C2468" s="162" t="s">
        <v>6462</v>
      </c>
      <c r="D2468" s="162" t="s">
        <v>6463</v>
      </c>
      <c r="E2468" s="162" t="s">
        <v>6459</v>
      </c>
      <c r="F2468" s="162">
        <v>2558</v>
      </c>
      <c r="G2468" s="162">
        <v>1</v>
      </c>
    </row>
    <row r="2469" spans="2:7" ht="28.8">
      <c r="B2469" s="162" t="s">
        <v>680</v>
      </c>
      <c r="C2469" s="162" t="s">
        <v>6464</v>
      </c>
      <c r="D2469" s="162" t="s">
        <v>6465</v>
      </c>
      <c r="E2469" s="162" t="s">
        <v>6459</v>
      </c>
      <c r="F2469" s="162">
        <v>2292</v>
      </c>
      <c r="G2469" s="162">
        <v>1</v>
      </c>
    </row>
    <row r="2470" spans="2:7" ht="28.8">
      <c r="B2470" s="162" t="s">
        <v>680</v>
      </c>
      <c r="C2470" s="162" t="s">
        <v>6466</v>
      </c>
      <c r="D2470" s="162" t="s">
        <v>6467</v>
      </c>
      <c r="E2470" s="162" t="s">
        <v>6459</v>
      </c>
      <c r="F2470" s="162">
        <v>2342</v>
      </c>
      <c r="G2470" s="162">
        <v>1</v>
      </c>
    </row>
    <row r="2471" spans="2:7" ht="28.8">
      <c r="B2471" s="162" t="s">
        <v>680</v>
      </c>
      <c r="C2471" s="162" t="s">
        <v>6468</v>
      </c>
      <c r="D2471" s="162" t="s">
        <v>6469</v>
      </c>
      <c r="E2471" s="162" t="s">
        <v>6459</v>
      </c>
      <c r="F2471" s="162">
        <v>2608</v>
      </c>
      <c r="G2471" s="162">
        <v>1</v>
      </c>
    </row>
    <row r="2472" spans="2:7" ht="28.8">
      <c r="B2472" s="162" t="s">
        <v>680</v>
      </c>
      <c r="C2472" s="162" t="s">
        <v>6470</v>
      </c>
      <c r="D2472" s="162" t="s">
        <v>6471</v>
      </c>
      <c r="E2472" s="162" t="s">
        <v>6459</v>
      </c>
      <c r="F2472" s="162">
        <v>2778</v>
      </c>
      <c r="G2472" s="162">
        <v>1</v>
      </c>
    </row>
    <row r="2473" spans="2:7" ht="28.8">
      <c r="B2473" s="162" t="s">
        <v>680</v>
      </c>
      <c r="C2473" s="162" t="s">
        <v>6472</v>
      </c>
      <c r="D2473" s="162" t="s">
        <v>6473</v>
      </c>
      <c r="E2473" s="162" t="s">
        <v>6459</v>
      </c>
      <c r="F2473" s="162">
        <v>2512</v>
      </c>
      <c r="G2473" s="162">
        <v>1</v>
      </c>
    </row>
    <row r="2474" spans="2:7" ht="28.8">
      <c r="B2474" s="162" t="s">
        <v>680</v>
      </c>
      <c r="C2474" s="162" t="s">
        <v>6474</v>
      </c>
      <c r="D2474" s="162" t="s">
        <v>6475</v>
      </c>
      <c r="E2474" s="162" t="s">
        <v>6459</v>
      </c>
      <c r="F2474" s="162">
        <v>2158</v>
      </c>
      <c r="G2474" s="162">
        <v>1</v>
      </c>
    </row>
    <row r="2475" spans="2:7" ht="28.8">
      <c r="B2475" s="162" t="s">
        <v>680</v>
      </c>
      <c r="C2475" s="162" t="s">
        <v>6476</v>
      </c>
      <c r="D2475" s="162" t="s">
        <v>6477</v>
      </c>
      <c r="E2475" s="162" t="s">
        <v>6459</v>
      </c>
      <c r="F2475" s="162">
        <v>2424</v>
      </c>
      <c r="G2475" s="162">
        <v>1</v>
      </c>
    </row>
    <row r="2476" spans="2:7" ht="28.8">
      <c r="B2476" s="162" t="s">
        <v>680</v>
      </c>
      <c r="C2476" s="162" t="s">
        <v>6478</v>
      </c>
      <c r="D2476" s="162" t="s">
        <v>6479</v>
      </c>
      <c r="E2476" s="162" t="s">
        <v>6459</v>
      </c>
      <c r="F2476" s="162">
        <v>2462</v>
      </c>
      <c r="G2476" s="162">
        <v>1</v>
      </c>
    </row>
    <row r="2477" spans="2:7" ht="28.8">
      <c r="B2477" s="162" t="s">
        <v>680</v>
      </c>
      <c r="C2477" s="162" t="s">
        <v>6480</v>
      </c>
      <c r="D2477" s="162" t="s">
        <v>6481</v>
      </c>
      <c r="E2477" s="162" t="s">
        <v>6459</v>
      </c>
      <c r="F2477" s="162">
        <v>2196</v>
      </c>
      <c r="G2477" s="162">
        <v>1</v>
      </c>
    </row>
    <row r="2478" spans="2:7" ht="28.8">
      <c r="B2478" s="162" t="s">
        <v>680</v>
      </c>
      <c r="C2478" s="162" t="s">
        <v>6482</v>
      </c>
      <c r="D2478" s="162" t="s">
        <v>6483</v>
      </c>
      <c r="E2478" s="162" t="s">
        <v>6459</v>
      </c>
      <c r="F2478" s="162">
        <v>2218</v>
      </c>
      <c r="G2478" s="162">
        <v>1</v>
      </c>
    </row>
    <row r="2479" spans="2:7" ht="28.8">
      <c r="B2479" s="162" t="s">
        <v>680</v>
      </c>
      <c r="C2479" s="162" t="s">
        <v>6484</v>
      </c>
      <c r="D2479" s="162" t="s">
        <v>6485</v>
      </c>
      <c r="E2479" s="162" t="s">
        <v>6459</v>
      </c>
      <c r="F2479" s="162">
        <v>2484</v>
      </c>
      <c r="G2479" s="162">
        <v>1</v>
      </c>
    </row>
    <row r="2480" spans="2:7" ht="28.8">
      <c r="B2480" s="162" t="s">
        <v>680</v>
      </c>
      <c r="C2480" s="162" t="s">
        <v>6486</v>
      </c>
      <c r="D2480" s="162" t="s">
        <v>6487</v>
      </c>
      <c r="E2480" s="162" t="s">
        <v>6459</v>
      </c>
      <c r="F2480" s="162">
        <v>2554</v>
      </c>
      <c r="G2480" s="162">
        <v>1</v>
      </c>
    </row>
    <row r="2481" spans="2:7" ht="28.8">
      <c r="B2481" s="162" t="s">
        <v>680</v>
      </c>
      <c r="C2481" s="162" t="s">
        <v>6488</v>
      </c>
      <c r="D2481" s="162" t="s">
        <v>6489</v>
      </c>
      <c r="E2481" s="162" t="s">
        <v>6459</v>
      </c>
      <c r="F2481" s="162">
        <v>2288</v>
      </c>
      <c r="G2481" s="162">
        <v>1</v>
      </c>
    </row>
    <row r="2482" spans="2:7" ht="28.8">
      <c r="B2482" s="162" t="s">
        <v>680</v>
      </c>
      <c r="C2482" s="162" t="s">
        <v>6490</v>
      </c>
      <c r="D2482" s="162" t="s">
        <v>6491</v>
      </c>
      <c r="E2482" s="162" t="s">
        <v>6459</v>
      </c>
      <c r="F2482" s="162">
        <v>2608</v>
      </c>
      <c r="G2482" s="162">
        <v>1</v>
      </c>
    </row>
    <row r="2483" spans="2:7" ht="28.8">
      <c r="B2483" s="162" t="s">
        <v>680</v>
      </c>
      <c r="C2483" s="162" t="s">
        <v>6492</v>
      </c>
      <c r="D2483" s="162" t="s">
        <v>6493</v>
      </c>
      <c r="E2483" s="162" t="s">
        <v>6459</v>
      </c>
      <c r="F2483" s="162">
        <v>2342</v>
      </c>
      <c r="G2483" s="162">
        <v>1</v>
      </c>
    </row>
    <row r="2484" spans="2:7" ht="28.8">
      <c r="B2484" s="162" t="s">
        <v>680</v>
      </c>
      <c r="C2484" s="162" t="s">
        <v>6494</v>
      </c>
      <c r="D2484" s="162" t="s">
        <v>6495</v>
      </c>
      <c r="E2484" s="162" t="s">
        <v>6459</v>
      </c>
      <c r="F2484" s="162">
        <v>2512</v>
      </c>
      <c r="G2484" s="162">
        <v>1</v>
      </c>
    </row>
    <row r="2485" spans="2:7" ht="28.8">
      <c r="B2485" s="162" t="s">
        <v>680</v>
      </c>
      <c r="C2485" s="162" t="s">
        <v>6496</v>
      </c>
      <c r="D2485" s="162" t="s">
        <v>6497</v>
      </c>
      <c r="E2485" s="162" t="s">
        <v>6459</v>
      </c>
      <c r="F2485" s="162">
        <v>2778</v>
      </c>
      <c r="G2485" s="162">
        <v>1</v>
      </c>
    </row>
    <row r="2486" spans="2:7" ht="28.8">
      <c r="B2486" s="162" t="s">
        <v>680</v>
      </c>
      <c r="C2486" s="162" t="s">
        <v>6498</v>
      </c>
      <c r="D2486" s="162" t="s">
        <v>6499</v>
      </c>
      <c r="E2486" s="162" t="s">
        <v>6459</v>
      </c>
      <c r="F2486" s="162">
        <v>2424</v>
      </c>
      <c r="G2486" s="162">
        <v>1</v>
      </c>
    </row>
    <row r="2487" spans="2:7" ht="28.8">
      <c r="B2487" s="162" t="s">
        <v>680</v>
      </c>
      <c r="C2487" s="162" t="s">
        <v>6500</v>
      </c>
      <c r="D2487" s="162" t="s">
        <v>6501</v>
      </c>
      <c r="E2487" s="162" t="s">
        <v>6459</v>
      </c>
      <c r="F2487" s="162">
        <v>2158</v>
      </c>
      <c r="G2487" s="162">
        <v>1</v>
      </c>
    </row>
    <row r="2488" spans="2:7" ht="28.8">
      <c r="B2488" s="162" t="s">
        <v>680</v>
      </c>
      <c r="C2488" s="162" t="s">
        <v>6502</v>
      </c>
      <c r="D2488" s="162" t="s">
        <v>6503</v>
      </c>
      <c r="E2488" s="162" t="s">
        <v>6459</v>
      </c>
      <c r="F2488" s="162">
        <v>3394</v>
      </c>
      <c r="G2488" s="162">
        <v>1</v>
      </c>
    </row>
    <row r="2489" spans="2:7" ht="28.8">
      <c r="B2489" s="162" t="s">
        <v>680</v>
      </c>
      <c r="C2489" s="162" t="s">
        <v>6504</v>
      </c>
      <c r="D2489" s="162" t="s">
        <v>6505</v>
      </c>
      <c r="E2489" s="162" t="s">
        <v>6459</v>
      </c>
      <c r="F2489" s="162">
        <v>3520</v>
      </c>
      <c r="G2489" s="162">
        <v>1</v>
      </c>
    </row>
    <row r="2490" spans="2:7" ht="28.8">
      <c r="B2490" s="162" t="s">
        <v>680</v>
      </c>
      <c r="C2490" s="162" t="s">
        <v>6506</v>
      </c>
      <c r="D2490" s="162" t="s">
        <v>6507</v>
      </c>
      <c r="E2490" s="162" t="s">
        <v>6459</v>
      </c>
      <c r="F2490" s="162">
        <v>7052</v>
      </c>
      <c r="G2490" s="162">
        <v>1</v>
      </c>
    </row>
    <row r="2491" spans="2:7" ht="28.8">
      <c r="B2491" s="162" t="s">
        <v>680</v>
      </c>
      <c r="C2491" s="162" t="s">
        <v>6508</v>
      </c>
      <c r="D2491" s="162" t="s">
        <v>6509</v>
      </c>
      <c r="E2491" s="162" t="s">
        <v>6459</v>
      </c>
      <c r="F2491" s="162">
        <v>7308</v>
      </c>
      <c r="G2491" s="162">
        <v>1</v>
      </c>
    </row>
    <row r="2492" spans="2:7" ht="28.8">
      <c r="B2492" s="162" t="s">
        <v>680</v>
      </c>
      <c r="C2492" s="162" t="s">
        <v>6510</v>
      </c>
      <c r="D2492" s="162" t="s">
        <v>6511</v>
      </c>
      <c r="E2492" s="162" t="s">
        <v>6459</v>
      </c>
      <c r="F2492" s="162">
        <v>8390</v>
      </c>
      <c r="G2492" s="162">
        <v>1</v>
      </c>
    </row>
    <row r="2493" spans="2:7" ht="28.8">
      <c r="B2493" s="162" t="s">
        <v>680</v>
      </c>
      <c r="C2493" s="162" t="s">
        <v>6512</v>
      </c>
      <c r="D2493" s="162" t="s">
        <v>6513</v>
      </c>
      <c r="E2493" s="162" t="s">
        <v>6459</v>
      </c>
      <c r="F2493" s="162">
        <v>3394</v>
      </c>
      <c r="G2493" s="162">
        <v>1</v>
      </c>
    </row>
    <row r="2494" spans="2:7" ht="28.8">
      <c r="B2494" s="162" t="s">
        <v>680</v>
      </c>
      <c r="C2494" s="162" t="s">
        <v>6514</v>
      </c>
      <c r="D2494" s="162" t="s">
        <v>6515</v>
      </c>
      <c r="E2494" s="162" t="s">
        <v>6459</v>
      </c>
      <c r="F2494" s="162">
        <v>3520</v>
      </c>
      <c r="G2494" s="162">
        <v>1</v>
      </c>
    </row>
    <row r="2495" spans="2:7" ht="28.8">
      <c r="B2495" s="162" t="s">
        <v>680</v>
      </c>
      <c r="C2495" s="162" t="s">
        <v>6516</v>
      </c>
      <c r="D2495" s="162" t="s">
        <v>6517</v>
      </c>
      <c r="E2495" s="162" t="s">
        <v>6459</v>
      </c>
      <c r="F2495" s="162">
        <v>7052</v>
      </c>
      <c r="G2495" s="162">
        <v>1</v>
      </c>
    </row>
    <row r="2496" spans="2:7" ht="28.8">
      <c r="B2496" s="162" t="s">
        <v>680</v>
      </c>
      <c r="C2496" s="162" t="s">
        <v>6518</v>
      </c>
      <c r="D2496" s="162" t="s">
        <v>6519</v>
      </c>
      <c r="E2496" s="162" t="s">
        <v>6459</v>
      </c>
      <c r="F2496" s="162">
        <v>7308</v>
      </c>
      <c r="G2496" s="162">
        <v>1</v>
      </c>
    </row>
    <row r="2497" spans="2:7" ht="28.8">
      <c r="B2497" s="162" t="s">
        <v>680</v>
      </c>
      <c r="C2497" s="162" t="s">
        <v>6520</v>
      </c>
      <c r="D2497" s="162" t="s">
        <v>6521</v>
      </c>
      <c r="E2497" s="162" t="s">
        <v>6459</v>
      </c>
      <c r="F2497" s="162">
        <v>8390</v>
      </c>
      <c r="G2497" s="162">
        <v>1</v>
      </c>
    </row>
    <row r="2498" spans="2:7" ht="28.8">
      <c r="B2498" s="162" t="s">
        <v>680</v>
      </c>
      <c r="C2498" s="162" t="s">
        <v>6522</v>
      </c>
      <c r="D2498" s="162" t="s">
        <v>6523</v>
      </c>
      <c r="E2498" s="162" t="s">
        <v>6524</v>
      </c>
      <c r="F2498" s="162">
        <v>9456</v>
      </c>
      <c r="G2498" s="162">
        <v>1</v>
      </c>
    </row>
    <row r="2499" spans="2:7" ht="28.8">
      <c r="B2499" s="162" t="s">
        <v>680</v>
      </c>
      <c r="C2499" s="162" t="s">
        <v>6525</v>
      </c>
      <c r="D2499" s="162" t="s">
        <v>6526</v>
      </c>
      <c r="E2499" s="162" t="s">
        <v>6524</v>
      </c>
      <c r="F2499" s="162">
        <v>12828</v>
      </c>
      <c r="G2499" s="162">
        <v>1</v>
      </c>
    </row>
    <row r="2500" spans="2:7" ht="28.8">
      <c r="B2500" s="162" t="s">
        <v>680</v>
      </c>
      <c r="C2500" s="162" t="s">
        <v>6527</v>
      </c>
      <c r="D2500" s="162" t="s">
        <v>6528</v>
      </c>
      <c r="E2500" s="162" t="s">
        <v>6524</v>
      </c>
      <c r="F2500" s="162">
        <v>13486</v>
      </c>
      <c r="G2500" s="162">
        <v>1</v>
      </c>
    </row>
    <row r="2501" spans="2:7" ht="28.8">
      <c r="B2501" s="162" t="s">
        <v>680</v>
      </c>
      <c r="C2501" s="162" t="s">
        <v>6529</v>
      </c>
      <c r="D2501" s="162" t="s">
        <v>6530</v>
      </c>
      <c r="E2501" s="162" t="s">
        <v>6524</v>
      </c>
      <c r="F2501" s="162">
        <v>15302</v>
      </c>
      <c r="G2501" s="162">
        <v>1</v>
      </c>
    </row>
    <row r="2502" spans="2:7" ht="28.8">
      <c r="B2502" s="162" t="s">
        <v>680</v>
      </c>
      <c r="C2502" s="162" t="s">
        <v>6531</v>
      </c>
      <c r="D2502" s="162" t="s">
        <v>6532</v>
      </c>
      <c r="E2502" s="162" t="s">
        <v>6524</v>
      </c>
      <c r="F2502" s="162">
        <v>9456</v>
      </c>
      <c r="G2502" s="162">
        <v>1</v>
      </c>
    </row>
    <row r="2503" spans="2:7" ht="28.8">
      <c r="B2503" s="162" t="s">
        <v>680</v>
      </c>
      <c r="C2503" s="162" t="s">
        <v>6533</v>
      </c>
      <c r="D2503" s="162" t="s">
        <v>6534</v>
      </c>
      <c r="E2503" s="162" t="s">
        <v>6524</v>
      </c>
      <c r="F2503" s="162">
        <v>12828</v>
      </c>
      <c r="G2503" s="162">
        <v>1</v>
      </c>
    </row>
    <row r="2504" spans="2:7" ht="28.8">
      <c r="B2504" s="162" t="s">
        <v>680</v>
      </c>
      <c r="C2504" s="162" t="s">
        <v>6535</v>
      </c>
      <c r="D2504" s="162" t="s">
        <v>6536</v>
      </c>
      <c r="E2504" s="162" t="s">
        <v>6524</v>
      </c>
      <c r="F2504" s="162">
        <v>13486</v>
      </c>
      <c r="G2504" s="162">
        <v>1</v>
      </c>
    </row>
    <row r="2505" spans="2:7" ht="28.8">
      <c r="B2505" s="162" t="s">
        <v>680</v>
      </c>
      <c r="C2505" s="162" t="s">
        <v>6537</v>
      </c>
      <c r="D2505" s="162" t="s">
        <v>6538</v>
      </c>
      <c r="E2505" s="162" t="s">
        <v>6524</v>
      </c>
      <c r="F2505" s="162">
        <v>15302</v>
      </c>
      <c r="G2505" s="162">
        <v>1</v>
      </c>
    </row>
    <row r="2506" spans="2:7" ht="28.8">
      <c r="B2506" s="162" t="s">
        <v>680</v>
      </c>
      <c r="C2506" s="162" t="s">
        <v>6539</v>
      </c>
      <c r="D2506" s="162" t="s">
        <v>6540</v>
      </c>
      <c r="E2506" s="162" t="s">
        <v>6541</v>
      </c>
      <c r="F2506" s="162">
        <v>9906</v>
      </c>
      <c r="G2506" s="162">
        <v>1</v>
      </c>
    </row>
    <row r="2507" spans="2:7" ht="28.8">
      <c r="B2507" s="162" t="s">
        <v>680</v>
      </c>
      <c r="C2507" s="162" t="s">
        <v>6542</v>
      </c>
      <c r="D2507" s="162" t="s">
        <v>6543</v>
      </c>
      <c r="E2507" s="162" t="s">
        <v>6541</v>
      </c>
      <c r="F2507" s="162">
        <v>10424</v>
      </c>
      <c r="G2507" s="162">
        <v>1</v>
      </c>
    </row>
    <row r="2508" spans="2:7" ht="28.8">
      <c r="B2508" s="162" t="s">
        <v>680</v>
      </c>
      <c r="C2508" s="162" t="s">
        <v>6544</v>
      </c>
      <c r="D2508" s="162" t="s">
        <v>6545</v>
      </c>
      <c r="E2508" s="162" t="s">
        <v>6541</v>
      </c>
      <c r="F2508" s="162">
        <v>12336</v>
      </c>
      <c r="G2508" s="162">
        <v>1</v>
      </c>
    </row>
    <row r="2509" spans="2:7" ht="28.8">
      <c r="B2509" s="162" t="s">
        <v>680</v>
      </c>
      <c r="C2509" s="162" t="s">
        <v>6546</v>
      </c>
      <c r="D2509" s="162" t="s">
        <v>6547</v>
      </c>
      <c r="E2509" s="162" t="s">
        <v>6541</v>
      </c>
      <c r="F2509" s="162">
        <v>16912</v>
      </c>
      <c r="G2509" s="162">
        <v>1</v>
      </c>
    </row>
    <row r="2510" spans="2:7" ht="28.8">
      <c r="B2510" s="162" t="s">
        <v>680</v>
      </c>
      <c r="C2510" s="162" t="s">
        <v>6548</v>
      </c>
      <c r="D2510" s="162" t="s">
        <v>6549</v>
      </c>
      <c r="E2510" s="162" t="s">
        <v>6541</v>
      </c>
      <c r="F2510" s="162">
        <v>21042</v>
      </c>
      <c r="G2510" s="162">
        <v>1</v>
      </c>
    </row>
    <row r="2511" spans="2:7" ht="28.8">
      <c r="B2511" s="162" t="s">
        <v>680</v>
      </c>
      <c r="C2511" s="162" t="s">
        <v>6550</v>
      </c>
      <c r="D2511" s="162" t="s">
        <v>6551</v>
      </c>
      <c r="E2511" s="162" t="s">
        <v>6541</v>
      </c>
      <c r="F2511" s="162">
        <v>9906</v>
      </c>
      <c r="G2511" s="162">
        <v>1</v>
      </c>
    </row>
    <row r="2512" spans="2:7" ht="28.8">
      <c r="B2512" s="162" t="s">
        <v>680</v>
      </c>
      <c r="C2512" s="162" t="s">
        <v>6552</v>
      </c>
      <c r="D2512" s="162" t="s">
        <v>6553</v>
      </c>
      <c r="E2512" s="162" t="s">
        <v>6541</v>
      </c>
      <c r="F2512" s="162">
        <v>10424</v>
      </c>
      <c r="G2512" s="162">
        <v>1</v>
      </c>
    </row>
    <row r="2513" spans="2:7" ht="28.8">
      <c r="B2513" s="162" t="s">
        <v>680</v>
      </c>
      <c r="C2513" s="162" t="s">
        <v>6554</v>
      </c>
      <c r="D2513" s="162" t="s">
        <v>6555</v>
      </c>
      <c r="E2513" s="162" t="s">
        <v>6541</v>
      </c>
      <c r="F2513" s="162">
        <v>12336</v>
      </c>
      <c r="G2513" s="162">
        <v>1</v>
      </c>
    </row>
    <row r="2514" spans="2:7" ht="28.8">
      <c r="B2514" s="162" t="s">
        <v>680</v>
      </c>
      <c r="C2514" s="162" t="s">
        <v>6556</v>
      </c>
      <c r="D2514" s="162" t="s">
        <v>6557</v>
      </c>
      <c r="E2514" s="162" t="s">
        <v>6541</v>
      </c>
      <c r="F2514" s="162">
        <v>16912</v>
      </c>
      <c r="G2514" s="162">
        <v>1</v>
      </c>
    </row>
    <row r="2515" spans="2:7" ht="28.8">
      <c r="B2515" s="162" t="s">
        <v>680</v>
      </c>
      <c r="C2515" s="162" t="s">
        <v>6558</v>
      </c>
      <c r="D2515" s="162" t="s">
        <v>6559</v>
      </c>
      <c r="E2515" s="162" t="s">
        <v>6541</v>
      </c>
      <c r="F2515" s="162">
        <v>21042</v>
      </c>
      <c r="G2515" s="162">
        <v>1</v>
      </c>
    </row>
    <row r="2516" spans="2:7" ht="28.8">
      <c r="B2516" s="162" t="s">
        <v>680</v>
      </c>
      <c r="C2516" s="162" t="s">
        <v>6560</v>
      </c>
      <c r="D2516" s="162" t="s">
        <v>6561</v>
      </c>
      <c r="E2516" s="162" t="s">
        <v>6562</v>
      </c>
      <c r="F2516" s="162">
        <v>2558</v>
      </c>
      <c r="G2516" s="162">
        <v>1</v>
      </c>
    </row>
    <row r="2517" spans="2:7" ht="28.8">
      <c r="B2517" s="162" t="s">
        <v>680</v>
      </c>
      <c r="C2517" s="162" t="s">
        <v>6563</v>
      </c>
      <c r="D2517" s="162" t="s">
        <v>6564</v>
      </c>
      <c r="E2517" s="162" t="s">
        <v>6562</v>
      </c>
      <c r="F2517" s="162">
        <v>2662</v>
      </c>
      <c r="G2517" s="162">
        <v>1</v>
      </c>
    </row>
    <row r="2518" spans="2:7" ht="28.8">
      <c r="B2518" s="162" t="s">
        <v>680</v>
      </c>
      <c r="C2518" s="162" t="s">
        <v>6565</v>
      </c>
      <c r="D2518" s="162" t="s">
        <v>6566</v>
      </c>
      <c r="E2518" s="162" t="s">
        <v>6562</v>
      </c>
      <c r="F2518" s="162">
        <v>3026</v>
      </c>
      <c r="G2518" s="162">
        <v>1</v>
      </c>
    </row>
    <row r="2519" spans="2:7" ht="28.8">
      <c r="B2519" s="162" t="s">
        <v>680</v>
      </c>
      <c r="C2519" s="162" t="s">
        <v>6567</v>
      </c>
      <c r="D2519" s="162" t="s">
        <v>6568</v>
      </c>
      <c r="E2519" s="162" t="s">
        <v>6562</v>
      </c>
      <c r="F2519" s="162">
        <v>3496</v>
      </c>
      <c r="G2519" s="162">
        <v>1</v>
      </c>
    </row>
    <row r="2520" spans="2:7" ht="28.8">
      <c r="B2520" s="162" t="s">
        <v>680</v>
      </c>
      <c r="C2520" s="162" t="s">
        <v>6569</v>
      </c>
      <c r="D2520" s="162" t="s">
        <v>6570</v>
      </c>
      <c r="E2520" s="162" t="s">
        <v>6562</v>
      </c>
      <c r="F2520" s="162">
        <v>3966</v>
      </c>
      <c r="G2520" s="162">
        <v>1</v>
      </c>
    </row>
    <row r="2521" spans="2:7" ht="28.8">
      <c r="B2521" s="162" t="s">
        <v>680</v>
      </c>
      <c r="C2521" s="162" t="s">
        <v>6571</v>
      </c>
      <c r="D2521" s="162" t="s">
        <v>6572</v>
      </c>
      <c r="E2521" s="162" t="s">
        <v>6562</v>
      </c>
      <c r="F2521" s="162">
        <v>4664</v>
      </c>
      <c r="G2521" s="162">
        <v>1</v>
      </c>
    </row>
    <row r="2522" spans="2:7" ht="28.8">
      <c r="B2522" s="162" t="s">
        <v>680</v>
      </c>
      <c r="C2522" s="162" t="s">
        <v>6573</v>
      </c>
      <c r="D2522" s="162" t="s">
        <v>6574</v>
      </c>
      <c r="E2522" s="162" t="s">
        <v>6562</v>
      </c>
      <c r="F2522" s="162">
        <v>6044</v>
      </c>
      <c r="G2522" s="162">
        <v>1</v>
      </c>
    </row>
    <row r="2523" spans="2:7" ht="28.8">
      <c r="B2523" s="162" t="s">
        <v>680</v>
      </c>
      <c r="C2523" s="162" t="s">
        <v>6575</v>
      </c>
      <c r="D2523" s="162" t="s">
        <v>6576</v>
      </c>
      <c r="E2523" s="162" t="s">
        <v>6562</v>
      </c>
      <c r="F2523" s="162">
        <v>7260</v>
      </c>
      <c r="G2523" s="162">
        <v>1</v>
      </c>
    </row>
    <row r="2524" spans="2:7" ht="28.8">
      <c r="B2524" s="162" t="s">
        <v>680</v>
      </c>
      <c r="C2524" s="162" t="s">
        <v>6577</v>
      </c>
      <c r="D2524" s="162" t="s">
        <v>6578</v>
      </c>
      <c r="E2524" s="162" t="s">
        <v>6562</v>
      </c>
      <c r="F2524" s="162">
        <v>8566</v>
      </c>
      <c r="G2524" s="162">
        <v>1</v>
      </c>
    </row>
    <row r="2525" spans="2:7" ht="28.8">
      <c r="B2525" s="162" t="s">
        <v>680</v>
      </c>
      <c r="C2525" s="162" t="s">
        <v>6579</v>
      </c>
      <c r="D2525" s="162" t="s">
        <v>6580</v>
      </c>
      <c r="E2525" s="162" t="s">
        <v>6562</v>
      </c>
      <c r="F2525" s="162">
        <v>2056</v>
      </c>
      <c r="G2525" s="162">
        <v>1</v>
      </c>
    </row>
    <row r="2526" spans="2:7" ht="28.8">
      <c r="B2526" s="162" t="s">
        <v>680</v>
      </c>
      <c r="C2526" s="162" t="s">
        <v>6581</v>
      </c>
      <c r="D2526" s="162" t="s">
        <v>6582</v>
      </c>
      <c r="E2526" s="162" t="s">
        <v>6562</v>
      </c>
      <c r="F2526" s="162">
        <v>2432</v>
      </c>
      <c r="G2526" s="162">
        <v>1</v>
      </c>
    </row>
    <row r="2527" spans="2:7" ht="28.8">
      <c r="B2527" s="162" t="s">
        <v>680</v>
      </c>
      <c r="C2527" s="162" t="s">
        <v>6583</v>
      </c>
      <c r="D2527" s="162" t="s">
        <v>6584</v>
      </c>
      <c r="E2527" s="162" t="s">
        <v>6562</v>
      </c>
      <c r="F2527" s="162">
        <v>2558</v>
      </c>
      <c r="G2527" s="162">
        <v>1</v>
      </c>
    </row>
    <row r="2528" spans="2:7" ht="28.8">
      <c r="B2528" s="162" t="s">
        <v>680</v>
      </c>
      <c r="C2528" s="162" t="s">
        <v>6585</v>
      </c>
      <c r="D2528" s="162" t="s">
        <v>6586</v>
      </c>
      <c r="E2528" s="162" t="s">
        <v>6562</v>
      </c>
      <c r="F2528" s="162">
        <v>2662</v>
      </c>
      <c r="G2528" s="162">
        <v>1</v>
      </c>
    </row>
    <row r="2529" spans="2:7" ht="28.8">
      <c r="B2529" s="162" t="s">
        <v>680</v>
      </c>
      <c r="C2529" s="162" t="s">
        <v>6587</v>
      </c>
      <c r="D2529" s="162" t="s">
        <v>6588</v>
      </c>
      <c r="E2529" s="162" t="s">
        <v>6562</v>
      </c>
      <c r="F2529" s="162">
        <v>3026</v>
      </c>
      <c r="G2529" s="162">
        <v>1</v>
      </c>
    </row>
    <row r="2530" spans="2:7" ht="28.8">
      <c r="B2530" s="162" t="s">
        <v>680</v>
      </c>
      <c r="C2530" s="162" t="s">
        <v>6589</v>
      </c>
      <c r="D2530" s="162" t="s">
        <v>6590</v>
      </c>
      <c r="E2530" s="162" t="s">
        <v>6562</v>
      </c>
      <c r="F2530" s="162">
        <v>3496</v>
      </c>
      <c r="G2530" s="162">
        <v>1</v>
      </c>
    </row>
    <row r="2531" spans="2:7" ht="28.8">
      <c r="B2531" s="162" t="s">
        <v>680</v>
      </c>
      <c r="C2531" s="162" t="s">
        <v>6591</v>
      </c>
      <c r="D2531" s="162" t="s">
        <v>6592</v>
      </c>
      <c r="E2531" s="162" t="s">
        <v>6562</v>
      </c>
      <c r="F2531" s="162">
        <v>3966</v>
      </c>
      <c r="G2531" s="162">
        <v>1</v>
      </c>
    </row>
    <row r="2532" spans="2:7" ht="28.8">
      <c r="B2532" s="162" t="s">
        <v>680</v>
      </c>
      <c r="C2532" s="162" t="s">
        <v>6593</v>
      </c>
      <c r="D2532" s="162" t="s">
        <v>6594</v>
      </c>
      <c r="E2532" s="162" t="s">
        <v>6562</v>
      </c>
      <c r="F2532" s="162">
        <v>4664</v>
      </c>
      <c r="G2532" s="162">
        <v>1</v>
      </c>
    </row>
    <row r="2533" spans="2:7" ht="28.8">
      <c r="B2533" s="162" t="s">
        <v>680</v>
      </c>
      <c r="C2533" s="162" t="s">
        <v>6595</v>
      </c>
      <c r="D2533" s="162" t="s">
        <v>6596</v>
      </c>
      <c r="E2533" s="162" t="s">
        <v>6562</v>
      </c>
      <c r="F2533" s="162">
        <v>5512</v>
      </c>
      <c r="G2533" s="162">
        <v>1</v>
      </c>
    </row>
    <row r="2534" spans="2:7" ht="28.8">
      <c r="B2534" s="162" t="s">
        <v>680</v>
      </c>
      <c r="C2534" s="162" t="s">
        <v>6597</v>
      </c>
      <c r="D2534" s="162" t="s">
        <v>6598</v>
      </c>
      <c r="E2534" s="162" t="s">
        <v>6562</v>
      </c>
      <c r="F2534" s="162">
        <v>6724</v>
      </c>
      <c r="G2534" s="162">
        <v>1</v>
      </c>
    </row>
    <row r="2535" spans="2:7" ht="28.8">
      <c r="B2535" s="162" t="s">
        <v>680</v>
      </c>
      <c r="C2535" s="162" t="s">
        <v>6599</v>
      </c>
      <c r="D2535" s="162" t="s">
        <v>6600</v>
      </c>
      <c r="E2535" s="162" t="s">
        <v>6562</v>
      </c>
      <c r="F2535" s="162">
        <v>7900</v>
      </c>
      <c r="G2535" s="162">
        <v>1</v>
      </c>
    </row>
    <row r="2536" spans="2:7" ht="28.8">
      <c r="B2536" s="162" t="s">
        <v>680</v>
      </c>
      <c r="C2536" s="162" t="s">
        <v>6601</v>
      </c>
      <c r="D2536" s="162" t="s">
        <v>6602</v>
      </c>
      <c r="E2536" s="162" t="s">
        <v>6562</v>
      </c>
      <c r="F2536" s="162">
        <v>2056</v>
      </c>
      <c r="G2536" s="162">
        <v>1</v>
      </c>
    </row>
    <row r="2537" spans="2:7" ht="28.8">
      <c r="B2537" s="162" t="s">
        <v>680</v>
      </c>
      <c r="C2537" s="162" t="s">
        <v>6603</v>
      </c>
      <c r="D2537" s="162" t="s">
        <v>6604</v>
      </c>
      <c r="E2537" s="162" t="s">
        <v>6562</v>
      </c>
      <c r="F2537" s="162">
        <v>2650</v>
      </c>
      <c r="G2537" s="162">
        <v>1</v>
      </c>
    </row>
    <row r="2538" spans="2:7" ht="28.8">
      <c r="B2538" s="162" t="s">
        <v>680</v>
      </c>
      <c r="C2538" s="162" t="s">
        <v>6605</v>
      </c>
      <c r="D2538" s="162" t="s">
        <v>6606</v>
      </c>
      <c r="E2538" s="162" t="s">
        <v>6562</v>
      </c>
      <c r="F2538" s="162">
        <v>3480</v>
      </c>
      <c r="G2538" s="162">
        <v>1</v>
      </c>
    </row>
    <row r="2539" spans="2:7" ht="28.8">
      <c r="B2539" s="162" t="s">
        <v>680</v>
      </c>
      <c r="C2539" s="162" t="s">
        <v>6607</v>
      </c>
      <c r="D2539" s="162" t="s">
        <v>6608</v>
      </c>
      <c r="E2539" s="162" t="s">
        <v>6562</v>
      </c>
      <c r="F2539" s="162">
        <v>3950</v>
      </c>
      <c r="G2539" s="162">
        <v>1</v>
      </c>
    </row>
    <row r="2540" spans="2:7" ht="28.8">
      <c r="B2540" s="162" t="s">
        <v>680</v>
      </c>
      <c r="C2540" s="162" t="s">
        <v>6609</v>
      </c>
      <c r="D2540" s="162" t="s">
        <v>6610</v>
      </c>
      <c r="E2540" s="162" t="s">
        <v>6562</v>
      </c>
      <c r="F2540" s="162">
        <v>4650</v>
      </c>
      <c r="G2540" s="162">
        <v>1</v>
      </c>
    </row>
    <row r="2541" spans="2:7" ht="28.8">
      <c r="B2541" s="162" t="s">
        <v>680</v>
      </c>
      <c r="C2541" s="162" t="s">
        <v>6611</v>
      </c>
      <c r="D2541" s="162" t="s">
        <v>6612</v>
      </c>
      <c r="E2541" s="162" t="s">
        <v>6562</v>
      </c>
      <c r="F2541" s="162">
        <v>5490</v>
      </c>
      <c r="G2541" s="162">
        <v>1</v>
      </c>
    </row>
    <row r="2542" spans="2:7" ht="28.8">
      <c r="B2542" s="162" t="s">
        <v>6613</v>
      </c>
      <c r="C2542" s="162" t="s">
        <v>6614</v>
      </c>
      <c r="D2542" s="162" t="s">
        <v>6615</v>
      </c>
      <c r="F2542" s="162">
        <v>2247</v>
      </c>
      <c r="G2542" s="162">
        <v>1</v>
      </c>
    </row>
    <row r="2543" spans="2:7" ht="28.8">
      <c r="B2543" s="162" t="s">
        <v>6613</v>
      </c>
      <c r="C2543" s="162" t="s">
        <v>6616</v>
      </c>
      <c r="D2543" s="162" t="s">
        <v>6617</v>
      </c>
      <c r="F2543" s="162">
        <v>2247</v>
      </c>
      <c r="G2543" s="162">
        <v>1</v>
      </c>
    </row>
    <row r="2544" spans="2:7" ht="28.8">
      <c r="B2544" s="162" t="s">
        <v>6613</v>
      </c>
      <c r="C2544" s="162" t="s">
        <v>6618</v>
      </c>
      <c r="D2544" s="162" t="s">
        <v>6619</v>
      </c>
      <c r="F2544" s="162">
        <v>2615</v>
      </c>
      <c r="G2544" s="162">
        <v>1</v>
      </c>
    </row>
    <row r="2545" spans="2:7" ht="28.8">
      <c r="B2545" s="162" t="s">
        <v>6613</v>
      </c>
      <c r="C2545" s="162" t="s">
        <v>6620</v>
      </c>
      <c r="D2545" s="162" t="s">
        <v>6621</v>
      </c>
      <c r="F2545" s="162">
        <v>2615</v>
      </c>
      <c r="G2545" s="162">
        <v>1</v>
      </c>
    </row>
    <row r="2546" spans="2:7" ht="28.8">
      <c r="B2546" s="162" t="s">
        <v>6613</v>
      </c>
      <c r="C2546" s="162" t="s">
        <v>6622</v>
      </c>
      <c r="D2546" s="162" t="s">
        <v>6623</v>
      </c>
      <c r="F2546" s="162">
        <v>3245</v>
      </c>
      <c r="G2546" s="162">
        <v>1</v>
      </c>
    </row>
    <row r="2547" spans="2:7" ht="43.2">
      <c r="B2547" s="162" t="s">
        <v>6613</v>
      </c>
      <c r="C2547" s="162" t="s">
        <v>6624</v>
      </c>
      <c r="D2547" s="162" t="s">
        <v>6625</v>
      </c>
      <c r="F2547" s="162">
        <v>3560</v>
      </c>
      <c r="G2547" s="162">
        <v>1</v>
      </c>
    </row>
    <row r="2548" spans="2:7" ht="28.8">
      <c r="B2548" s="162" t="s">
        <v>6613</v>
      </c>
      <c r="C2548" s="162" t="s">
        <v>6626</v>
      </c>
      <c r="D2548" s="162" t="s">
        <v>6627</v>
      </c>
      <c r="F2548" s="162">
        <v>1311</v>
      </c>
      <c r="G2548" s="162">
        <v>1</v>
      </c>
    </row>
    <row r="2549" spans="2:7" ht="28.8">
      <c r="B2549" s="162" t="s">
        <v>6613</v>
      </c>
      <c r="C2549" s="162" t="s">
        <v>6628</v>
      </c>
      <c r="D2549" s="162" t="s">
        <v>6629</v>
      </c>
      <c r="F2549" s="162">
        <v>1416</v>
      </c>
      <c r="G2549" s="162">
        <v>1</v>
      </c>
    </row>
    <row r="2550" spans="2:7" ht="28.8">
      <c r="B2550" s="162" t="s">
        <v>6613</v>
      </c>
      <c r="C2550" s="162" t="s">
        <v>6630</v>
      </c>
      <c r="D2550" s="162" t="s">
        <v>6631</v>
      </c>
      <c r="F2550" s="162">
        <v>1416</v>
      </c>
      <c r="G2550" s="162">
        <v>1</v>
      </c>
    </row>
    <row r="2551" spans="2:7" ht="28.8">
      <c r="B2551" s="162" t="s">
        <v>6613</v>
      </c>
      <c r="C2551" s="162" t="s">
        <v>6632</v>
      </c>
      <c r="D2551" s="162" t="s">
        <v>6633</v>
      </c>
      <c r="F2551" s="162">
        <v>1516</v>
      </c>
      <c r="G2551" s="162">
        <v>1</v>
      </c>
    </row>
    <row r="2552" spans="2:7" ht="28.8">
      <c r="B2552" s="162" t="s">
        <v>6613</v>
      </c>
      <c r="C2552" s="162" t="s">
        <v>6634</v>
      </c>
      <c r="D2552" s="162" t="s">
        <v>6635</v>
      </c>
      <c r="F2552" s="162">
        <v>1985</v>
      </c>
      <c r="G2552" s="162">
        <v>1</v>
      </c>
    </row>
    <row r="2553" spans="2:7" ht="28.8">
      <c r="B2553" s="162" t="s">
        <v>6613</v>
      </c>
      <c r="C2553" s="162" t="s">
        <v>6636</v>
      </c>
      <c r="D2553" s="162" t="s">
        <v>6637</v>
      </c>
      <c r="F2553" s="162">
        <v>1985</v>
      </c>
      <c r="G2553" s="162">
        <v>1</v>
      </c>
    </row>
    <row r="2554" spans="2:7" ht="28.8">
      <c r="B2554" s="162" t="s">
        <v>6613</v>
      </c>
      <c r="C2554" s="162" t="s">
        <v>6638</v>
      </c>
      <c r="D2554" s="162" t="s">
        <v>6639</v>
      </c>
      <c r="F2554" s="162">
        <v>2247</v>
      </c>
      <c r="G2554" s="162">
        <v>1</v>
      </c>
    </row>
    <row r="2555" spans="2:7" ht="28.8">
      <c r="B2555" s="162" t="s">
        <v>6613</v>
      </c>
      <c r="C2555" s="162" t="s">
        <v>6640</v>
      </c>
      <c r="D2555" s="162" t="s">
        <v>6641</v>
      </c>
      <c r="F2555" s="162">
        <v>2247</v>
      </c>
      <c r="G2555" s="162">
        <v>1</v>
      </c>
    </row>
    <row r="2556" spans="2:7" ht="28.8">
      <c r="B2556" s="162" t="s">
        <v>6613</v>
      </c>
      <c r="C2556" s="162" t="s">
        <v>6642</v>
      </c>
      <c r="D2556" s="162" t="s">
        <v>6643</v>
      </c>
      <c r="F2556" s="162">
        <v>2825</v>
      </c>
      <c r="G2556" s="162">
        <v>1</v>
      </c>
    </row>
    <row r="2557" spans="2:7" ht="28.8">
      <c r="B2557" s="162" t="s">
        <v>6613</v>
      </c>
      <c r="C2557" s="162" t="s">
        <v>6644</v>
      </c>
      <c r="D2557" s="162" t="s">
        <v>6645</v>
      </c>
      <c r="F2557" s="162">
        <v>2825</v>
      </c>
      <c r="G2557" s="162">
        <v>1</v>
      </c>
    </row>
    <row r="2558" spans="2:7" ht="28.8">
      <c r="B2558" s="162" t="s">
        <v>6613</v>
      </c>
      <c r="C2558" s="162" t="s">
        <v>6646</v>
      </c>
      <c r="D2558" s="162" t="s">
        <v>6647</v>
      </c>
      <c r="F2558" s="162">
        <v>3299</v>
      </c>
      <c r="G2558" s="162">
        <v>1</v>
      </c>
    </row>
    <row r="2559" spans="2:7" ht="43.2">
      <c r="B2559" s="162" t="s">
        <v>6613</v>
      </c>
      <c r="C2559" s="162" t="s">
        <v>6648</v>
      </c>
      <c r="D2559" s="162" t="s">
        <v>6649</v>
      </c>
      <c r="F2559" s="162">
        <v>2039</v>
      </c>
      <c r="G2559" s="162">
        <v>1</v>
      </c>
    </row>
    <row r="2560" spans="2:7" ht="43.2">
      <c r="B2560" s="162" t="s">
        <v>6613</v>
      </c>
      <c r="C2560" s="162" t="s">
        <v>6650</v>
      </c>
      <c r="D2560" s="162" t="s">
        <v>6651</v>
      </c>
      <c r="F2560" s="162">
        <v>2549</v>
      </c>
      <c r="G2560" s="162">
        <v>1</v>
      </c>
    </row>
    <row r="2561" spans="2:7" ht="43.2">
      <c r="B2561" s="162" t="s">
        <v>6613</v>
      </c>
      <c r="C2561" s="162" t="s">
        <v>6652</v>
      </c>
      <c r="D2561" s="162" t="s">
        <v>6653</v>
      </c>
      <c r="F2561" s="162">
        <v>2651</v>
      </c>
      <c r="G2561" s="162">
        <v>1</v>
      </c>
    </row>
    <row r="2562" spans="2:7" ht="43.2">
      <c r="B2562" s="162" t="s">
        <v>6613</v>
      </c>
      <c r="C2562" s="162" t="s">
        <v>6654</v>
      </c>
      <c r="D2562" s="162" t="s">
        <v>6655</v>
      </c>
      <c r="F2562" s="162">
        <v>3149</v>
      </c>
      <c r="G2562" s="162">
        <v>1</v>
      </c>
    </row>
    <row r="2563" spans="2:7" ht="43.2">
      <c r="B2563" s="162" t="s">
        <v>6613</v>
      </c>
      <c r="C2563" s="162" t="s">
        <v>6656</v>
      </c>
      <c r="D2563" s="162" t="s">
        <v>6657</v>
      </c>
      <c r="F2563" s="162">
        <v>3467</v>
      </c>
      <c r="G2563" s="162">
        <v>1</v>
      </c>
    </row>
    <row r="2564" spans="2:7" ht="43.2">
      <c r="B2564" s="162" t="s">
        <v>6613</v>
      </c>
      <c r="C2564" s="162" t="s">
        <v>6658</v>
      </c>
      <c r="D2564" s="162" t="s">
        <v>6659</v>
      </c>
      <c r="F2564" s="162">
        <v>4181</v>
      </c>
      <c r="G2564" s="162">
        <v>1</v>
      </c>
    </row>
    <row r="2565" spans="2:7" ht="43.2">
      <c r="B2565" s="162" t="s">
        <v>6613</v>
      </c>
      <c r="C2565" s="162" t="s">
        <v>6660</v>
      </c>
      <c r="D2565" s="162" t="s">
        <v>6661</v>
      </c>
      <c r="F2565" s="162">
        <v>4181</v>
      </c>
      <c r="G2565" s="162">
        <v>1</v>
      </c>
    </row>
    <row r="2566" spans="2:7" ht="43.2">
      <c r="B2566" s="162" t="s">
        <v>6613</v>
      </c>
      <c r="C2566" s="162" t="s">
        <v>6662</v>
      </c>
      <c r="D2566" s="162" t="s">
        <v>6663</v>
      </c>
      <c r="F2566" s="162">
        <v>3799</v>
      </c>
      <c r="G2566" s="162">
        <v>1</v>
      </c>
    </row>
    <row r="2567" spans="2:7" ht="43.2">
      <c r="B2567" s="162" t="s">
        <v>6613</v>
      </c>
      <c r="C2567" s="162" t="s">
        <v>6664</v>
      </c>
      <c r="D2567" s="162" t="s">
        <v>6665</v>
      </c>
      <c r="F2567" s="162">
        <v>3799</v>
      </c>
      <c r="G2567" s="162">
        <v>1</v>
      </c>
    </row>
    <row r="2568" spans="2:7" ht="43.2">
      <c r="B2568" s="162" t="s">
        <v>6613</v>
      </c>
      <c r="C2568" s="162" t="s">
        <v>6666</v>
      </c>
      <c r="D2568" s="162" t="s">
        <v>6667</v>
      </c>
      <c r="F2568" s="162">
        <v>4549</v>
      </c>
      <c r="G2568" s="162">
        <v>1</v>
      </c>
    </row>
    <row r="2569" spans="2:7" ht="43.2">
      <c r="B2569" s="162" t="s">
        <v>6613</v>
      </c>
      <c r="C2569" s="162" t="s">
        <v>6668</v>
      </c>
      <c r="D2569" s="162" t="s">
        <v>6669</v>
      </c>
      <c r="F2569" s="162">
        <v>4549</v>
      </c>
      <c r="G2569" s="162">
        <v>1</v>
      </c>
    </row>
    <row r="2570" spans="2:7" ht="28.8">
      <c r="B2570" s="162" t="s">
        <v>6613</v>
      </c>
      <c r="C2570" s="162" t="s">
        <v>6670</v>
      </c>
      <c r="D2570" s="162" t="s">
        <v>6671</v>
      </c>
      <c r="F2570" s="162">
        <v>2499</v>
      </c>
      <c r="G2570" s="162">
        <v>1</v>
      </c>
    </row>
    <row r="2571" spans="2:7" ht="28.8">
      <c r="B2571" s="162" t="s">
        <v>6613</v>
      </c>
      <c r="C2571" s="162" t="s">
        <v>6672</v>
      </c>
      <c r="D2571" s="162" t="s">
        <v>6673</v>
      </c>
      <c r="F2571" s="162">
        <v>2499</v>
      </c>
      <c r="G2571" s="162">
        <v>1</v>
      </c>
    </row>
    <row r="2572" spans="2:7" ht="28.8">
      <c r="B2572" s="162" t="s">
        <v>6613</v>
      </c>
      <c r="C2572" s="162" t="s">
        <v>6674</v>
      </c>
      <c r="D2572" s="162" t="s">
        <v>6675</v>
      </c>
      <c r="F2572" s="162">
        <v>7265</v>
      </c>
      <c r="G2572" s="162">
        <v>1</v>
      </c>
    </row>
    <row r="2573" spans="2:7" ht="28.8">
      <c r="B2573" s="162" t="s">
        <v>6613</v>
      </c>
      <c r="C2573" s="162" t="s">
        <v>6676</v>
      </c>
      <c r="D2573" s="162" t="s">
        <v>6677</v>
      </c>
      <c r="F2573" s="162">
        <v>8250</v>
      </c>
      <c r="G2573" s="162">
        <v>1</v>
      </c>
    </row>
    <row r="2574" spans="2:7" ht="28.8">
      <c r="B2574" s="162" t="s">
        <v>6613</v>
      </c>
      <c r="C2574" s="162" t="s">
        <v>6678</v>
      </c>
      <c r="D2574" s="162" t="s">
        <v>6679</v>
      </c>
      <c r="F2574" s="162">
        <v>8250</v>
      </c>
      <c r="G2574" s="162">
        <v>1</v>
      </c>
    </row>
    <row r="2575" spans="2:7" ht="28.8">
      <c r="B2575" s="162" t="s">
        <v>6613</v>
      </c>
      <c r="C2575" s="162" t="s">
        <v>6680</v>
      </c>
      <c r="D2575" s="162" t="s">
        <v>6681</v>
      </c>
      <c r="F2575" s="162">
        <v>10593</v>
      </c>
      <c r="G2575" s="162">
        <v>1</v>
      </c>
    </row>
    <row r="2576" spans="2:7" ht="28.8">
      <c r="B2576" s="162" t="s">
        <v>6613</v>
      </c>
      <c r="C2576" s="162" t="s">
        <v>6682</v>
      </c>
      <c r="D2576" s="162" t="s">
        <v>6683</v>
      </c>
      <c r="F2576" s="162">
        <v>10593</v>
      </c>
      <c r="G2576" s="162">
        <v>1</v>
      </c>
    </row>
    <row r="2577" spans="2:7" ht="28.8">
      <c r="B2577" s="162" t="s">
        <v>6613</v>
      </c>
      <c r="C2577" s="162" t="s">
        <v>6684</v>
      </c>
      <c r="D2577" s="162" t="s">
        <v>6685</v>
      </c>
      <c r="F2577" s="162">
        <v>17350</v>
      </c>
      <c r="G2577" s="162">
        <v>1</v>
      </c>
    </row>
    <row r="2578" spans="2:7" ht="28.8">
      <c r="B2578" s="162" t="s">
        <v>6613</v>
      </c>
      <c r="C2578" s="162" t="s">
        <v>6686</v>
      </c>
      <c r="D2578" s="162" t="s">
        <v>6687</v>
      </c>
      <c r="F2578" s="162">
        <v>17350</v>
      </c>
      <c r="G2578" s="162">
        <v>1</v>
      </c>
    </row>
    <row r="2579" spans="2:7" ht="28.8">
      <c r="B2579" s="162" t="s">
        <v>6613</v>
      </c>
      <c r="C2579" s="162" t="s">
        <v>6688</v>
      </c>
      <c r="D2579" s="162" t="s">
        <v>6689</v>
      </c>
      <c r="F2579" s="162">
        <v>19200</v>
      </c>
      <c r="G2579" s="162">
        <v>1</v>
      </c>
    </row>
    <row r="2580" spans="2:7" ht="43.2">
      <c r="B2580" s="162" t="s">
        <v>6613</v>
      </c>
      <c r="C2580" s="162" t="s">
        <v>6690</v>
      </c>
      <c r="D2580" s="162" t="s">
        <v>6691</v>
      </c>
      <c r="F2580" s="162">
        <v>19780</v>
      </c>
      <c r="G2580" s="162">
        <v>1</v>
      </c>
    </row>
    <row r="2581" spans="2:7" ht="28.8">
      <c r="B2581" s="162" t="s">
        <v>6613</v>
      </c>
      <c r="C2581" s="162" t="s">
        <v>6692</v>
      </c>
      <c r="D2581" s="162" t="s">
        <v>6693</v>
      </c>
      <c r="F2581" s="162">
        <v>27000</v>
      </c>
      <c r="G2581" s="162">
        <v>1</v>
      </c>
    </row>
    <row r="2582" spans="2:7" ht="43.2">
      <c r="B2582" s="162" t="s">
        <v>6613</v>
      </c>
      <c r="C2582" s="162" t="s">
        <v>6694</v>
      </c>
      <c r="D2582" s="162" t="s">
        <v>6695</v>
      </c>
      <c r="F2582" s="162">
        <v>27700</v>
      </c>
      <c r="G2582" s="162">
        <v>1</v>
      </c>
    </row>
    <row r="2583" spans="2:7" ht="28.8">
      <c r="B2583" s="162" t="s">
        <v>6613</v>
      </c>
      <c r="C2583" s="162" t="s">
        <v>6696</v>
      </c>
      <c r="D2583" s="162" t="s">
        <v>6697</v>
      </c>
      <c r="F2583" s="162">
        <v>60700</v>
      </c>
      <c r="G2583" s="162">
        <v>1</v>
      </c>
    </row>
    <row r="2584" spans="2:7" ht="43.2">
      <c r="B2584" s="162" t="s">
        <v>6613</v>
      </c>
      <c r="C2584" s="162" t="s">
        <v>6698</v>
      </c>
      <c r="D2584" s="162" t="s">
        <v>6699</v>
      </c>
      <c r="F2584" s="162">
        <v>62600</v>
      </c>
      <c r="G2584" s="162">
        <v>1</v>
      </c>
    </row>
    <row r="2585" spans="2:7" ht="43.2">
      <c r="B2585" s="162" t="s">
        <v>6613</v>
      </c>
      <c r="C2585" s="162" t="s">
        <v>6700</v>
      </c>
      <c r="D2585" s="162" t="s">
        <v>6701</v>
      </c>
      <c r="F2585" s="162">
        <v>91201</v>
      </c>
      <c r="G2585" s="162">
        <v>1</v>
      </c>
    </row>
    <row r="2586" spans="2:7" ht="43.2">
      <c r="B2586" s="162" t="s">
        <v>6613</v>
      </c>
      <c r="C2586" s="162" t="s">
        <v>6702</v>
      </c>
      <c r="D2586" s="162" t="s">
        <v>6703</v>
      </c>
      <c r="F2586" s="162">
        <v>91201</v>
      </c>
      <c r="G2586" s="162">
        <v>1</v>
      </c>
    </row>
    <row r="2587" spans="2:7" ht="28.8">
      <c r="B2587" s="162" t="s">
        <v>6613</v>
      </c>
      <c r="C2587" s="162" t="s">
        <v>6704</v>
      </c>
      <c r="D2587" s="162" t="s">
        <v>6705</v>
      </c>
      <c r="F2587" s="162">
        <v>7499</v>
      </c>
      <c r="G2587" s="162">
        <v>1</v>
      </c>
    </row>
    <row r="2588" spans="2:7" ht="28.8">
      <c r="B2588" s="162" t="s">
        <v>6613</v>
      </c>
      <c r="C2588" s="162" t="s">
        <v>6706</v>
      </c>
      <c r="D2588" s="162" t="s">
        <v>6707</v>
      </c>
      <c r="F2588" s="162">
        <v>7499</v>
      </c>
      <c r="G2588" s="162">
        <v>1</v>
      </c>
    </row>
    <row r="2589" spans="2:7" ht="43.2">
      <c r="B2589" s="162" t="s">
        <v>6613</v>
      </c>
      <c r="C2589" s="162" t="s">
        <v>6708</v>
      </c>
      <c r="D2589" s="162" t="s">
        <v>6709</v>
      </c>
      <c r="F2589" s="162">
        <v>13999</v>
      </c>
      <c r="G2589" s="162">
        <v>1</v>
      </c>
    </row>
    <row r="2590" spans="2:7" ht="43.2">
      <c r="B2590" s="162" t="s">
        <v>6613</v>
      </c>
      <c r="C2590" s="162" t="s">
        <v>6710</v>
      </c>
      <c r="D2590" s="162" t="s">
        <v>6711</v>
      </c>
      <c r="F2590" s="162">
        <v>13999</v>
      </c>
      <c r="G2590" s="162">
        <v>1</v>
      </c>
    </row>
    <row r="2591" spans="2:7" ht="43.2">
      <c r="B2591" s="162" t="s">
        <v>6613</v>
      </c>
      <c r="C2591" s="162" t="s">
        <v>6712</v>
      </c>
      <c r="D2591" s="162" t="s">
        <v>6713</v>
      </c>
      <c r="F2591" s="162">
        <v>3695</v>
      </c>
      <c r="G2591" s="162">
        <v>1</v>
      </c>
    </row>
    <row r="2592" spans="2:7" ht="43.2">
      <c r="B2592" s="162" t="s">
        <v>6613</v>
      </c>
      <c r="C2592" s="162" t="s">
        <v>6714</v>
      </c>
      <c r="D2592" s="162" t="s">
        <v>6715</v>
      </c>
      <c r="F2592" s="162">
        <v>3464</v>
      </c>
      <c r="G2592" s="162">
        <v>1</v>
      </c>
    </row>
    <row r="2593" spans="2:7" ht="43.2">
      <c r="B2593" s="162" t="s">
        <v>6613</v>
      </c>
      <c r="C2593" s="162" t="s">
        <v>6716</v>
      </c>
      <c r="D2593" s="162" t="s">
        <v>6717</v>
      </c>
      <c r="F2593" s="162">
        <v>2214</v>
      </c>
      <c r="G2593" s="162">
        <v>1</v>
      </c>
    </row>
    <row r="2594" spans="2:7" ht="43.2">
      <c r="B2594" s="162" t="s">
        <v>6613</v>
      </c>
      <c r="C2594" s="162" t="s">
        <v>6718</v>
      </c>
      <c r="D2594" s="162" t="s">
        <v>6719</v>
      </c>
      <c r="F2594" s="162">
        <v>3348</v>
      </c>
      <c r="G2594" s="162">
        <v>1</v>
      </c>
    </row>
    <row r="2595" spans="2:7" ht="43.2">
      <c r="B2595" s="162" t="s">
        <v>6613</v>
      </c>
      <c r="C2595" s="162" t="s">
        <v>6720</v>
      </c>
      <c r="D2595" s="162" t="s">
        <v>6721</v>
      </c>
      <c r="F2595" s="162">
        <v>11219</v>
      </c>
      <c r="G2595" s="162">
        <v>1</v>
      </c>
    </row>
    <row r="2596" spans="2:7" ht="43.2">
      <c r="B2596" s="162" t="s">
        <v>6613</v>
      </c>
      <c r="C2596" s="162" t="s">
        <v>6722</v>
      </c>
      <c r="D2596" s="162" t="s">
        <v>6723</v>
      </c>
      <c r="F2596" s="162">
        <v>451</v>
      </c>
      <c r="G2596" s="162">
        <v>1</v>
      </c>
    </row>
    <row r="2597" spans="2:7" ht="43.2">
      <c r="B2597" s="162" t="s">
        <v>6613</v>
      </c>
      <c r="C2597" s="162" t="s">
        <v>6724</v>
      </c>
      <c r="D2597" s="162" t="s">
        <v>6725</v>
      </c>
      <c r="F2597" s="162">
        <v>1693</v>
      </c>
      <c r="G2597" s="162">
        <v>1</v>
      </c>
    </row>
    <row r="2598" spans="2:7" ht="43.2">
      <c r="B2598" s="162" t="s">
        <v>6613</v>
      </c>
      <c r="C2598" s="162" t="s">
        <v>6726</v>
      </c>
      <c r="D2598" s="162" t="s">
        <v>6727</v>
      </c>
      <c r="F2598" s="162">
        <v>2193</v>
      </c>
      <c r="G2598" s="162">
        <v>1</v>
      </c>
    </row>
    <row r="2599" spans="2:7" ht="43.2">
      <c r="B2599" s="162" t="s">
        <v>6613</v>
      </c>
      <c r="C2599" s="162" t="s">
        <v>6728</v>
      </c>
      <c r="D2599" s="162" t="s">
        <v>6729</v>
      </c>
      <c r="F2599" s="162">
        <v>2193</v>
      </c>
      <c r="G2599" s="162">
        <v>1</v>
      </c>
    </row>
    <row r="2600" spans="2:7" ht="43.2">
      <c r="B2600" s="162" t="s">
        <v>6613</v>
      </c>
      <c r="C2600" s="162" t="s">
        <v>6730</v>
      </c>
      <c r="D2600" s="162" t="s">
        <v>6731</v>
      </c>
      <c r="F2600" s="162">
        <v>3348</v>
      </c>
      <c r="G2600" s="162">
        <v>1</v>
      </c>
    </row>
    <row r="2601" spans="2:7" ht="28.8">
      <c r="B2601" s="162" t="s">
        <v>6613</v>
      </c>
      <c r="C2601" s="162" t="s">
        <v>6732</v>
      </c>
      <c r="D2601" s="162" t="s">
        <v>6733</v>
      </c>
      <c r="F2601" s="162">
        <v>156</v>
      </c>
      <c r="G2601" s="162">
        <v>1</v>
      </c>
    </row>
    <row r="2602" spans="2:7" ht="43.2">
      <c r="B2602" s="162" t="s">
        <v>6613</v>
      </c>
      <c r="C2602" s="162" t="s">
        <v>6734</v>
      </c>
      <c r="D2602" s="162" t="s">
        <v>6735</v>
      </c>
      <c r="F2602" s="162">
        <v>114</v>
      </c>
      <c r="G2602" s="162">
        <v>1</v>
      </c>
    </row>
    <row r="2603" spans="2:7" ht="28.8">
      <c r="B2603" s="162" t="s">
        <v>6613</v>
      </c>
      <c r="C2603" s="162" t="s">
        <v>6736</v>
      </c>
      <c r="D2603" s="162" t="s">
        <v>6737</v>
      </c>
      <c r="F2603" s="162">
        <v>889</v>
      </c>
      <c r="G2603" s="162">
        <v>1</v>
      </c>
    </row>
    <row r="2604" spans="2:7" ht="43.2">
      <c r="B2604" s="162" t="s">
        <v>6613</v>
      </c>
      <c r="C2604" s="162" t="s">
        <v>6738</v>
      </c>
      <c r="D2604" s="162" t="s">
        <v>6739</v>
      </c>
      <c r="F2604" s="162">
        <v>199</v>
      </c>
      <c r="G2604" s="162">
        <v>1</v>
      </c>
    </row>
    <row r="2605" spans="2:7">
      <c r="B2605" s="162" t="s">
        <v>6613</v>
      </c>
      <c r="C2605" s="162" t="s">
        <v>6740</v>
      </c>
      <c r="D2605" s="162" t="s">
        <v>6741</v>
      </c>
      <c r="F2605" s="162">
        <v>509</v>
      </c>
      <c r="G2605" s="162">
        <v>1</v>
      </c>
    </row>
    <row r="2606" spans="2:7" ht="28.8">
      <c r="B2606" s="162" t="s">
        <v>6742</v>
      </c>
      <c r="C2606" s="162" t="s">
        <v>6743</v>
      </c>
      <c r="D2606" s="162" t="s">
        <v>6744</v>
      </c>
      <c r="E2606" s="162" t="s">
        <v>6745</v>
      </c>
      <c r="F2606" s="162">
        <v>171.5</v>
      </c>
      <c r="G2606" s="162">
        <v>1</v>
      </c>
    </row>
    <row r="2607" spans="2:7" ht="28.8">
      <c r="B2607" s="162" t="s">
        <v>6742</v>
      </c>
      <c r="C2607" s="162" t="s">
        <v>6746</v>
      </c>
      <c r="D2607" s="162" t="s">
        <v>6747</v>
      </c>
      <c r="E2607" s="162" t="s">
        <v>6748</v>
      </c>
      <c r="F2607" s="162">
        <v>171.5</v>
      </c>
      <c r="G2607" s="162">
        <v>1</v>
      </c>
    </row>
    <row r="2608" spans="2:7" ht="28.8">
      <c r="B2608" s="162" t="s">
        <v>6742</v>
      </c>
      <c r="C2608" s="162" t="s">
        <v>6749</v>
      </c>
      <c r="D2608" s="162" t="s">
        <v>6750</v>
      </c>
      <c r="E2608" s="162" t="s">
        <v>6751</v>
      </c>
      <c r="F2608" s="162">
        <v>185</v>
      </c>
      <c r="G2608" s="162">
        <v>1</v>
      </c>
    </row>
    <row r="2609" spans="2:7" ht="28.8">
      <c r="B2609" s="162" t="s">
        <v>6742</v>
      </c>
      <c r="C2609" s="162" t="s">
        <v>6752</v>
      </c>
      <c r="D2609" s="162" t="s">
        <v>6753</v>
      </c>
      <c r="E2609" s="162" t="s">
        <v>6754</v>
      </c>
      <c r="F2609" s="162">
        <v>185</v>
      </c>
      <c r="G2609" s="162">
        <v>1</v>
      </c>
    </row>
    <row r="2610" spans="2:7" ht="28.8">
      <c r="B2610" s="162" t="s">
        <v>6742</v>
      </c>
      <c r="C2610" s="162" t="s">
        <v>6755</v>
      </c>
      <c r="D2610" s="162" t="s">
        <v>6756</v>
      </c>
      <c r="E2610" s="162" t="s">
        <v>6757</v>
      </c>
      <c r="F2610" s="162">
        <v>223</v>
      </c>
      <c r="G2610" s="162">
        <v>1</v>
      </c>
    </row>
    <row r="2611" spans="2:7" ht="28.8">
      <c r="B2611" s="162" t="s">
        <v>6742</v>
      </c>
      <c r="C2611" s="162" t="s">
        <v>6758</v>
      </c>
      <c r="D2611" s="162" t="s">
        <v>6759</v>
      </c>
      <c r="E2611" s="162" t="s">
        <v>6760</v>
      </c>
      <c r="F2611" s="162">
        <v>223</v>
      </c>
      <c r="G2611" s="162">
        <v>1</v>
      </c>
    </row>
    <row r="2612" spans="2:7" ht="28.8">
      <c r="B2612" s="162" t="s">
        <v>6742</v>
      </c>
      <c r="C2612" s="162" t="s">
        <v>6761</v>
      </c>
      <c r="D2612" s="162" t="s">
        <v>6762</v>
      </c>
      <c r="E2612" s="162" t="s">
        <v>6763</v>
      </c>
      <c r="F2612" s="162">
        <v>249</v>
      </c>
      <c r="G2612" s="162">
        <v>1</v>
      </c>
    </row>
    <row r="2613" spans="2:7" ht="28.8">
      <c r="B2613" s="162" t="s">
        <v>6742</v>
      </c>
      <c r="C2613" s="162" t="s">
        <v>6764</v>
      </c>
      <c r="D2613" s="162" t="s">
        <v>6765</v>
      </c>
      <c r="E2613" s="162" t="s">
        <v>6766</v>
      </c>
      <c r="F2613" s="162">
        <v>249</v>
      </c>
      <c r="G2613" s="162">
        <v>1</v>
      </c>
    </row>
    <row r="2614" spans="2:7" ht="28.8">
      <c r="B2614" s="162" t="s">
        <v>6742</v>
      </c>
      <c r="C2614" s="162" t="s">
        <v>6767</v>
      </c>
      <c r="D2614" s="162" t="s">
        <v>6768</v>
      </c>
      <c r="E2614" s="162" t="s">
        <v>6769</v>
      </c>
      <c r="F2614" s="162">
        <v>287</v>
      </c>
      <c r="G2614" s="162">
        <v>1</v>
      </c>
    </row>
    <row r="2615" spans="2:7" ht="28.8">
      <c r="B2615" s="162" t="s">
        <v>6742</v>
      </c>
      <c r="C2615" s="162" t="s">
        <v>6770</v>
      </c>
      <c r="D2615" s="162" t="s">
        <v>6771</v>
      </c>
      <c r="E2615" s="162" t="s">
        <v>6772</v>
      </c>
      <c r="F2615" s="162">
        <v>287</v>
      </c>
      <c r="G2615" s="162">
        <v>1</v>
      </c>
    </row>
    <row r="2616" spans="2:7" ht="28.8">
      <c r="B2616" s="162" t="s">
        <v>6742</v>
      </c>
      <c r="C2616" s="162" t="s">
        <v>6773</v>
      </c>
      <c r="D2616" s="162" t="s">
        <v>6774</v>
      </c>
      <c r="E2616" s="162" t="s">
        <v>6775</v>
      </c>
      <c r="F2616" s="162">
        <v>389</v>
      </c>
      <c r="G2616" s="162">
        <v>1</v>
      </c>
    </row>
    <row r="2617" spans="2:7" ht="28.8">
      <c r="B2617" s="162" t="s">
        <v>6742</v>
      </c>
      <c r="C2617" s="162" t="s">
        <v>6776</v>
      </c>
      <c r="D2617" s="162" t="s">
        <v>6777</v>
      </c>
      <c r="E2617" s="162" t="s">
        <v>6778</v>
      </c>
      <c r="F2617" s="162">
        <v>389</v>
      </c>
      <c r="G2617" s="162">
        <v>1</v>
      </c>
    </row>
    <row r="2618" spans="2:7" ht="28.8">
      <c r="B2618" s="162" t="s">
        <v>6742</v>
      </c>
      <c r="C2618" s="162" t="s">
        <v>6779</v>
      </c>
      <c r="D2618" s="162" t="s">
        <v>6780</v>
      </c>
      <c r="E2618" s="162" t="s">
        <v>6781</v>
      </c>
      <c r="F2618" s="162">
        <v>401.5</v>
      </c>
      <c r="G2618" s="162">
        <v>1</v>
      </c>
    </row>
    <row r="2619" spans="2:7" ht="28.8">
      <c r="B2619" s="162" t="s">
        <v>6742</v>
      </c>
      <c r="C2619" s="162" t="s">
        <v>6782</v>
      </c>
      <c r="D2619" s="162" t="s">
        <v>6783</v>
      </c>
      <c r="E2619" s="162" t="s">
        <v>6784</v>
      </c>
      <c r="F2619" s="162">
        <v>401.5</v>
      </c>
      <c r="G2619" s="162">
        <v>1</v>
      </c>
    </row>
    <row r="2620" spans="2:7">
      <c r="B2620" s="162" t="s">
        <v>6742</v>
      </c>
      <c r="C2620" s="162" t="s">
        <v>6785</v>
      </c>
      <c r="D2620" s="162" t="s">
        <v>6786</v>
      </c>
      <c r="E2620" s="162" t="s">
        <v>6787</v>
      </c>
      <c r="F2620" s="162">
        <v>719</v>
      </c>
      <c r="G2620" s="162">
        <v>1</v>
      </c>
    </row>
    <row r="2621" spans="2:7">
      <c r="B2621" s="162" t="s">
        <v>6742</v>
      </c>
      <c r="C2621" s="162" t="s">
        <v>6788</v>
      </c>
      <c r="D2621" s="162" t="s">
        <v>6789</v>
      </c>
      <c r="E2621" s="162" t="s">
        <v>6790</v>
      </c>
      <c r="F2621" s="162">
        <v>719</v>
      </c>
      <c r="G2621" s="162">
        <v>1</v>
      </c>
    </row>
    <row r="2622" spans="2:7">
      <c r="B2622" s="162" t="s">
        <v>6742</v>
      </c>
      <c r="C2622" s="162" t="s">
        <v>6791</v>
      </c>
      <c r="D2622" s="162" t="s">
        <v>6792</v>
      </c>
      <c r="E2622" s="162" t="s">
        <v>6793</v>
      </c>
      <c r="F2622" s="162">
        <v>974</v>
      </c>
      <c r="G2622" s="162">
        <v>1</v>
      </c>
    </row>
    <row r="2623" spans="2:7">
      <c r="B2623" s="162" t="s">
        <v>6742</v>
      </c>
      <c r="C2623" s="162" t="s">
        <v>6794</v>
      </c>
      <c r="D2623" s="162" t="s">
        <v>6795</v>
      </c>
      <c r="E2623" s="162" t="s">
        <v>6796</v>
      </c>
      <c r="F2623" s="162">
        <v>974</v>
      </c>
      <c r="G2623" s="162">
        <v>1</v>
      </c>
    </row>
    <row r="2624" spans="2:7" ht="28.8">
      <c r="B2624" s="162" t="s">
        <v>6742</v>
      </c>
      <c r="C2624" s="162" t="s">
        <v>6797</v>
      </c>
      <c r="D2624" s="162" t="s">
        <v>6798</v>
      </c>
      <c r="E2624" s="162" t="s">
        <v>6799</v>
      </c>
      <c r="F2624" s="162">
        <v>388</v>
      </c>
      <c r="G2624" s="162">
        <v>1</v>
      </c>
    </row>
    <row r="2625" spans="2:7" ht="28.8">
      <c r="B2625" s="162" t="s">
        <v>6742</v>
      </c>
      <c r="C2625" s="162" t="s">
        <v>6800</v>
      </c>
      <c r="D2625" s="162" t="s">
        <v>6801</v>
      </c>
      <c r="E2625" s="162" t="s">
        <v>6802</v>
      </c>
      <c r="F2625" s="162">
        <v>388</v>
      </c>
      <c r="G2625" s="162">
        <v>1</v>
      </c>
    </row>
    <row r="2626" spans="2:7" ht="57.6">
      <c r="B2626" s="162" t="s">
        <v>6742</v>
      </c>
      <c r="C2626" s="162" t="s">
        <v>6803</v>
      </c>
      <c r="D2626" s="162" t="s">
        <v>6804</v>
      </c>
      <c r="E2626" s="162" t="s">
        <v>6805</v>
      </c>
      <c r="F2626" s="162">
        <v>27.2</v>
      </c>
      <c r="G2626" s="162">
        <v>1</v>
      </c>
    </row>
    <row r="2627" spans="2:7" ht="57.6">
      <c r="B2627" s="162" t="s">
        <v>6742</v>
      </c>
      <c r="C2627" s="162" t="s">
        <v>6806</v>
      </c>
      <c r="D2627" s="162" t="s">
        <v>6807</v>
      </c>
      <c r="E2627" s="162" t="s">
        <v>6808</v>
      </c>
      <c r="F2627" s="162">
        <v>27.2</v>
      </c>
      <c r="G2627" s="162">
        <v>1</v>
      </c>
    </row>
    <row r="2628" spans="2:7">
      <c r="B2628" s="162" t="s">
        <v>6742</v>
      </c>
      <c r="C2628" s="162" t="s">
        <v>6809</v>
      </c>
      <c r="D2628" s="162" t="s">
        <v>6810</v>
      </c>
      <c r="E2628" s="162" t="s">
        <v>6811</v>
      </c>
      <c r="F2628" s="162">
        <v>97.1</v>
      </c>
      <c r="G2628" s="162">
        <v>1</v>
      </c>
    </row>
    <row r="2629" spans="2:7" ht="28.8">
      <c r="B2629" s="162" t="s">
        <v>6742</v>
      </c>
      <c r="C2629" s="162" t="s">
        <v>6812</v>
      </c>
      <c r="D2629" s="162" t="s">
        <v>6813</v>
      </c>
      <c r="E2629" s="162" t="s">
        <v>6814</v>
      </c>
      <c r="F2629" s="162">
        <v>40.799999999999997</v>
      </c>
      <c r="G2629" s="162">
        <v>1</v>
      </c>
    </row>
    <row r="2630" spans="2:7" ht="43.2">
      <c r="B2630" s="162" t="s">
        <v>6742</v>
      </c>
      <c r="C2630" s="162" t="s">
        <v>6815</v>
      </c>
      <c r="D2630" s="162" t="s">
        <v>6816</v>
      </c>
      <c r="E2630" s="162" t="s">
        <v>6817</v>
      </c>
      <c r="F2630" s="162">
        <v>40.799999999999997</v>
      </c>
      <c r="G2630" s="162">
        <v>1</v>
      </c>
    </row>
    <row r="2631" spans="2:7">
      <c r="B2631" s="162" t="s">
        <v>6742</v>
      </c>
      <c r="C2631" s="162" t="s">
        <v>6818</v>
      </c>
      <c r="D2631" s="162" t="s">
        <v>6819</v>
      </c>
      <c r="E2631" s="162" t="s">
        <v>6820</v>
      </c>
      <c r="F2631" s="162">
        <v>122</v>
      </c>
      <c r="G2631" s="162">
        <v>1</v>
      </c>
    </row>
    <row r="2632" spans="2:7">
      <c r="B2632" s="162" t="s">
        <v>6742</v>
      </c>
      <c r="C2632" s="162" t="s">
        <v>6821</v>
      </c>
      <c r="D2632" s="162" t="s">
        <v>6822</v>
      </c>
      <c r="E2632" s="162" t="s">
        <v>6823</v>
      </c>
      <c r="F2632" s="162">
        <v>122</v>
      </c>
      <c r="G2632" s="162">
        <v>1</v>
      </c>
    </row>
    <row r="2633" spans="2:7" ht="28.8">
      <c r="B2633" s="162" t="s">
        <v>6742</v>
      </c>
      <c r="C2633" s="162" t="s">
        <v>6824</v>
      </c>
      <c r="D2633" s="162" t="s">
        <v>6825</v>
      </c>
      <c r="E2633" s="162" t="s">
        <v>6826</v>
      </c>
      <c r="F2633" s="162">
        <v>234</v>
      </c>
      <c r="G2633" s="162">
        <v>1</v>
      </c>
    </row>
    <row r="2634" spans="2:7" ht="28.8">
      <c r="B2634" s="162" t="s">
        <v>6742</v>
      </c>
      <c r="C2634" s="162" t="s">
        <v>6827</v>
      </c>
      <c r="D2634" s="162" t="s">
        <v>6828</v>
      </c>
      <c r="E2634" s="162" t="s">
        <v>6829</v>
      </c>
      <c r="F2634" s="162">
        <v>234</v>
      </c>
      <c r="G2634" s="162">
        <v>1</v>
      </c>
    </row>
    <row r="2635" spans="2:7">
      <c r="B2635" s="162" t="s">
        <v>6742</v>
      </c>
      <c r="C2635" s="162" t="s">
        <v>6830</v>
      </c>
      <c r="D2635" s="162" t="s">
        <v>6831</v>
      </c>
      <c r="E2635" s="162" t="s">
        <v>6832</v>
      </c>
      <c r="F2635" s="162">
        <v>174</v>
      </c>
      <c r="G2635" s="162">
        <v>1</v>
      </c>
    </row>
    <row r="2636" spans="2:7">
      <c r="B2636" s="162" t="s">
        <v>6742</v>
      </c>
      <c r="C2636" s="162" t="s">
        <v>6833</v>
      </c>
      <c r="D2636" s="162" t="s">
        <v>6834</v>
      </c>
      <c r="E2636" s="162" t="s">
        <v>6835</v>
      </c>
      <c r="F2636" s="162">
        <v>174</v>
      </c>
      <c r="G2636" s="162">
        <v>1</v>
      </c>
    </row>
    <row r="2637" spans="2:7" ht="57.6">
      <c r="B2637" s="162" t="s">
        <v>6742</v>
      </c>
      <c r="C2637" s="162" t="s">
        <v>6836</v>
      </c>
      <c r="D2637" s="162" t="s">
        <v>6837</v>
      </c>
      <c r="E2637" s="162" t="s">
        <v>6838</v>
      </c>
      <c r="F2637" s="162">
        <v>233</v>
      </c>
      <c r="G2637" s="162">
        <v>1</v>
      </c>
    </row>
    <row r="2638" spans="2:7" ht="28.8">
      <c r="B2638" s="162" t="s">
        <v>6742</v>
      </c>
      <c r="C2638" s="162" t="s">
        <v>6839</v>
      </c>
      <c r="D2638" s="162" t="s">
        <v>6840</v>
      </c>
      <c r="E2638" s="162" t="s">
        <v>6841</v>
      </c>
      <c r="F2638" s="162">
        <v>233</v>
      </c>
      <c r="G2638" s="162">
        <v>1</v>
      </c>
    </row>
    <row r="2639" spans="2:7" ht="57.6">
      <c r="B2639" s="162" t="s">
        <v>6742</v>
      </c>
      <c r="C2639" s="162" t="s">
        <v>6842</v>
      </c>
      <c r="D2639" s="162" t="s">
        <v>6843</v>
      </c>
      <c r="E2639" s="162" t="s">
        <v>6844</v>
      </c>
      <c r="F2639" s="162">
        <v>367</v>
      </c>
      <c r="G2639" s="162">
        <v>1</v>
      </c>
    </row>
    <row r="2640" spans="2:7" ht="28.8">
      <c r="B2640" s="162" t="s">
        <v>6742</v>
      </c>
      <c r="C2640" s="162" t="s">
        <v>6845</v>
      </c>
      <c r="D2640" s="162" t="s">
        <v>6846</v>
      </c>
      <c r="E2640" s="162" t="s">
        <v>6847</v>
      </c>
      <c r="F2640" s="162">
        <v>367</v>
      </c>
      <c r="G2640" s="162">
        <v>1</v>
      </c>
    </row>
    <row r="2641" spans="2:7" ht="72">
      <c r="B2641" s="162" t="s">
        <v>6742</v>
      </c>
      <c r="C2641" s="162" t="s">
        <v>6848</v>
      </c>
      <c r="D2641" s="162" t="s">
        <v>6849</v>
      </c>
      <c r="E2641" s="162" t="s">
        <v>6850</v>
      </c>
      <c r="F2641" s="162">
        <v>247</v>
      </c>
      <c r="G2641" s="162">
        <v>1</v>
      </c>
    </row>
    <row r="2642" spans="2:7" ht="28.8">
      <c r="B2642" s="162" t="s">
        <v>6742</v>
      </c>
      <c r="C2642" s="162" t="s">
        <v>6851</v>
      </c>
      <c r="D2642" s="162" t="s">
        <v>6852</v>
      </c>
      <c r="E2642" s="162" t="s">
        <v>6853</v>
      </c>
      <c r="F2642" s="162">
        <v>247</v>
      </c>
      <c r="G2642" s="162">
        <v>1</v>
      </c>
    </row>
    <row r="2643" spans="2:7" ht="72">
      <c r="B2643" s="162" t="s">
        <v>6742</v>
      </c>
      <c r="C2643" s="162" t="s">
        <v>6854</v>
      </c>
      <c r="D2643" s="162" t="s">
        <v>6855</v>
      </c>
      <c r="E2643" s="162" t="s">
        <v>6856</v>
      </c>
      <c r="F2643" s="162">
        <v>380</v>
      </c>
      <c r="G2643" s="162">
        <v>1</v>
      </c>
    </row>
    <row r="2644" spans="2:7" ht="28.8">
      <c r="B2644" s="162" t="s">
        <v>6742</v>
      </c>
      <c r="C2644" s="162" t="s">
        <v>6857</v>
      </c>
      <c r="D2644" s="162" t="s">
        <v>6858</v>
      </c>
      <c r="E2644" s="162" t="s">
        <v>6859</v>
      </c>
      <c r="F2644" s="162">
        <v>380</v>
      </c>
      <c r="G2644" s="162">
        <v>1</v>
      </c>
    </row>
    <row r="2645" spans="2:7" ht="86.4">
      <c r="B2645" s="162" t="s">
        <v>6742</v>
      </c>
      <c r="C2645" s="162" t="s">
        <v>6860</v>
      </c>
      <c r="D2645" s="162" t="s">
        <v>6861</v>
      </c>
      <c r="E2645" s="162" t="s">
        <v>6862</v>
      </c>
      <c r="F2645" s="162">
        <v>179</v>
      </c>
      <c r="G2645" s="162">
        <v>1</v>
      </c>
    </row>
    <row r="2646" spans="2:7" ht="28.8">
      <c r="B2646" s="162" t="s">
        <v>6742</v>
      </c>
      <c r="C2646" s="162" t="s">
        <v>6863</v>
      </c>
      <c r="D2646" s="162" t="s">
        <v>6864</v>
      </c>
      <c r="E2646" s="162" t="s">
        <v>6865</v>
      </c>
      <c r="F2646" s="162">
        <v>32.200000000000003</v>
      </c>
      <c r="G2646" s="162">
        <v>1</v>
      </c>
    </row>
    <row r="2647" spans="2:7" ht="28.8">
      <c r="B2647" s="162" t="s">
        <v>6742</v>
      </c>
      <c r="C2647" s="162" t="s">
        <v>6866</v>
      </c>
      <c r="D2647" s="162" t="s">
        <v>6867</v>
      </c>
      <c r="E2647" s="162" t="s">
        <v>6868</v>
      </c>
      <c r="F2647" s="162">
        <v>32.200000000000003</v>
      </c>
      <c r="G2647" s="162">
        <v>1</v>
      </c>
    </row>
    <row r="2648" spans="2:7" ht="28.8">
      <c r="B2648" s="162" t="s">
        <v>6742</v>
      </c>
      <c r="C2648" s="162" t="s">
        <v>6869</v>
      </c>
      <c r="D2648" s="162" t="s">
        <v>6870</v>
      </c>
      <c r="E2648" s="162" t="s">
        <v>6871</v>
      </c>
      <c r="F2648" s="162">
        <v>36.4</v>
      </c>
      <c r="G2648" s="162">
        <v>1</v>
      </c>
    </row>
    <row r="2649" spans="2:7" ht="28.8">
      <c r="B2649" s="162" t="s">
        <v>6742</v>
      </c>
      <c r="C2649" s="162" t="s">
        <v>6872</v>
      </c>
      <c r="D2649" s="162" t="s">
        <v>6873</v>
      </c>
      <c r="E2649" s="162" t="s">
        <v>6874</v>
      </c>
      <c r="F2649" s="162">
        <v>36.4</v>
      </c>
      <c r="G2649" s="162">
        <v>1</v>
      </c>
    </row>
    <row r="2650" spans="2:7" ht="86.4">
      <c r="B2650" s="162" t="s">
        <v>6742</v>
      </c>
      <c r="C2650" s="162" t="s">
        <v>6875</v>
      </c>
      <c r="D2650" s="162" t="s">
        <v>6876</v>
      </c>
      <c r="E2650" s="162" t="s">
        <v>6877</v>
      </c>
      <c r="F2650" s="162">
        <v>186</v>
      </c>
      <c r="G2650" s="162">
        <v>1</v>
      </c>
    </row>
    <row r="2651" spans="2:7" ht="57.6">
      <c r="B2651" s="162" t="s">
        <v>6742</v>
      </c>
      <c r="C2651" s="162" t="s">
        <v>6878</v>
      </c>
      <c r="D2651" s="162" t="s">
        <v>6879</v>
      </c>
      <c r="E2651" s="162" t="s">
        <v>6880</v>
      </c>
      <c r="F2651" s="162">
        <v>242.5</v>
      </c>
      <c r="G2651" s="162">
        <v>1</v>
      </c>
    </row>
    <row r="2652" spans="2:7" ht="86.4">
      <c r="B2652" s="162" t="s">
        <v>6742</v>
      </c>
      <c r="C2652" s="162" t="s">
        <v>6881</v>
      </c>
      <c r="D2652" s="162" t="s">
        <v>6882</v>
      </c>
      <c r="E2652" s="162" t="s">
        <v>6883</v>
      </c>
      <c r="F2652" s="162">
        <v>242.5</v>
      </c>
      <c r="G2652" s="162">
        <v>1</v>
      </c>
    </row>
    <row r="2653" spans="2:7" ht="86.4">
      <c r="B2653" s="162" t="s">
        <v>6742</v>
      </c>
      <c r="C2653" s="162" t="s">
        <v>6884</v>
      </c>
      <c r="D2653" s="162" t="s">
        <v>6885</v>
      </c>
      <c r="E2653" s="162" t="s">
        <v>6886</v>
      </c>
      <c r="F2653" s="162">
        <v>257.5</v>
      </c>
      <c r="G2653" s="162">
        <v>1</v>
      </c>
    </row>
    <row r="2654" spans="2:7" ht="86.4">
      <c r="B2654" s="162" t="s">
        <v>6742</v>
      </c>
      <c r="C2654" s="162" t="s">
        <v>6887</v>
      </c>
      <c r="D2654" s="162" t="s">
        <v>6888</v>
      </c>
      <c r="E2654" s="162" t="s">
        <v>6889</v>
      </c>
      <c r="F2654" s="162">
        <v>257.5</v>
      </c>
      <c r="G2654" s="162">
        <v>1</v>
      </c>
    </row>
    <row r="2655" spans="2:7" ht="115.2">
      <c r="B2655" s="162" t="s">
        <v>6742</v>
      </c>
      <c r="C2655" s="162" t="s">
        <v>6890</v>
      </c>
      <c r="D2655" s="162" t="s">
        <v>6891</v>
      </c>
      <c r="E2655" s="162" t="s">
        <v>6892</v>
      </c>
      <c r="F2655" s="162">
        <v>360.5</v>
      </c>
      <c r="G2655" s="162">
        <v>1</v>
      </c>
    </row>
    <row r="2656" spans="2:7" ht="72">
      <c r="B2656" s="162" t="s">
        <v>6742</v>
      </c>
      <c r="C2656" s="162" t="s">
        <v>6893</v>
      </c>
      <c r="D2656" s="162" t="s">
        <v>6894</v>
      </c>
      <c r="E2656" s="162" t="s">
        <v>6895</v>
      </c>
      <c r="F2656" s="162">
        <v>341.5</v>
      </c>
      <c r="G2656" s="162">
        <v>1</v>
      </c>
    </row>
    <row r="2657" spans="2:7" ht="57.6">
      <c r="B2657" s="162" t="s">
        <v>6742</v>
      </c>
      <c r="C2657" s="162" t="s">
        <v>6896</v>
      </c>
      <c r="D2657" s="162" t="s">
        <v>6897</v>
      </c>
      <c r="E2657" s="162" t="s">
        <v>6898</v>
      </c>
      <c r="F2657" s="162">
        <v>480</v>
      </c>
      <c r="G2657" s="162">
        <v>1</v>
      </c>
    </row>
    <row r="2658" spans="2:7" ht="57.6">
      <c r="B2658" s="162" t="s">
        <v>6742</v>
      </c>
      <c r="C2658" s="162" t="s">
        <v>6899</v>
      </c>
      <c r="D2658" s="162" t="s">
        <v>6900</v>
      </c>
      <c r="E2658" s="162" t="s">
        <v>6901</v>
      </c>
      <c r="F2658" s="162">
        <v>563</v>
      </c>
      <c r="G2658" s="162">
        <v>1</v>
      </c>
    </row>
    <row r="2659" spans="2:7" ht="86.4">
      <c r="B2659" s="162" t="s">
        <v>6742</v>
      </c>
      <c r="C2659" s="162" t="s">
        <v>6902</v>
      </c>
      <c r="D2659" s="162" t="s">
        <v>6903</v>
      </c>
      <c r="E2659" s="162" t="s">
        <v>6904</v>
      </c>
      <c r="F2659" s="162">
        <v>684</v>
      </c>
      <c r="G2659" s="162">
        <v>1</v>
      </c>
    </row>
    <row r="2660" spans="2:7" ht="57.6">
      <c r="B2660" s="162" t="s">
        <v>6742</v>
      </c>
      <c r="C2660" s="162" t="s">
        <v>6905</v>
      </c>
      <c r="D2660" s="162" t="s">
        <v>6906</v>
      </c>
      <c r="E2660" s="162" t="s">
        <v>6907</v>
      </c>
      <c r="F2660" s="162">
        <v>408</v>
      </c>
      <c r="G2660" s="162">
        <v>1</v>
      </c>
    </row>
    <row r="2661" spans="2:7" ht="57.6">
      <c r="B2661" s="162" t="s">
        <v>6742</v>
      </c>
      <c r="C2661" s="162" t="s">
        <v>6908</v>
      </c>
      <c r="D2661" s="162" t="s">
        <v>6909</v>
      </c>
      <c r="E2661" s="162" t="s">
        <v>6910</v>
      </c>
      <c r="F2661" s="162">
        <v>408</v>
      </c>
      <c r="G2661" s="162">
        <v>1</v>
      </c>
    </row>
    <row r="2662" spans="2:7">
      <c r="B2662" s="162" t="s">
        <v>6742</v>
      </c>
      <c r="C2662" s="162" t="s">
        <v>6911</v>
      </c>
      <c r="D2662" s="162" t="s">
        <v>6912</v>
      </c>
      <c r="E2662" s="162" t="s">
        <v>6913</v>
      </c>
      <c r="F2662" s="162">
        <v>13.64</v>
      </c>
      <c r="G2662" s="162">
        <v>1</v>
      </c>
    </row>
    <row r="2663" spans="2:7">
      <c r="B2663" s="162" t="s">
        <v>6742</v>
      </c>
      <c r="C2663" s="162" t="s">
        <v>6914</v>
      </c>
      <c r="D2663" s="162" t="s">
        <v>6915</v>
      </c>
      <c r="E2663" s="162" t="s">
        <v>6916</v>
      </c>
      <c r="F2663" s="162">
        <v>13.64</v>
      </c>
      <c r="G2663" s="162">
        <v>1</v>
      </c>
    </row>
    <row r="2664" spans="2:7">
      <c r="B2664" s="162" t="s">
        <v>6742</v>
      </c>
      <c r="C2664" s="162" t="s">
        <v>6917</v>
      </c>
      <c r="D2664" s="162" t="s">
        <v>6918</v>
      </c>
      <c r="E2664" s="162" t="s">
        <v>6919</v>
      </c>
      <c r="F2664" s="162">
        <v>7.18</v>
      </c>
      <c r="G2664" s="162">
        <v>1</v>
      </c>
    </row>
    <row r="2665" spans="2:7" ht="43.2">
      <c r="B2665" s="162" t="s">
        <v>6742</v>
      </c>
      <c r="C2665" s="162" t="s">
        <v>6920</v>
      </c>
      <c r="D2665" s="162" t="s">
        <v>6921</v>
      </c>
      <c r="E2665" s="162" t="s">
        <v>6922</v>
      </c>
      <c r="F2665" s="162">
        <v>257.5</v>
      </c>
      <c r="G2665" s="162">
        <v>1</v>
      </c>
    </row>
    <row r="2666" spans="2:7" ht="43.2">
      <c r="B2666" s="162" t="s">
        <v>6742</v>
      </c>
      <c r="C2666" s="162" t="s">
        <v>6923</v>
      </c>
      <c r="D2666" s="162" t="s">
        <v>6924</v>
      </c>
      <c r="E2666" s="162" t="s">
        <v>6925</v>
      </c>
      <c r="F2666" s="162">
        <v>348</v>
      </c>
      <c r="G2666" s="162">
        <v>1</v>
      </c>
    </row>
    <row r="2667" spans="2:7" ht="28.8">
      <c r="B2667" s="162" t="s">
        <v>6742</v>
      </c>
      <c r="C2667" s="162" t="s">
        <v>6926</v>
      </c>
      <c r="D2667" s="162" t="s">
        <v>6927</v>
      </c>
      <c r="E2667" s="162" t="s">
        <v>6928</v>
      </c>
      <c r="F2667" s="162">
        <v>46.15</v>
      </c>
      <c r="G2667" s="162">
        <v>1</v>
      </c>
    </row>
    <row r="2668" spans="2:7" ht="28.8">
      <c r="B2668" s="162" t="s">
        <v>6742</v>
      </c>
      <c r="C2668" s="162" t="s">
        <v>6929</v>
      </c>
      <c r="D2668" s="162" t="s">
        <v>6930</v>
      </c>
      <c r="E2668" s="162" t="s">
        <v>6931</v>
      </c>
      <c r="F2668" s="162">
        <v>59</v>
      </c>
      <c r="G2668" s="162">
        <v>1</v>
      </c>
    </row>
    <row r="2669" spans="2:7" ht="43.2">
      <c r="B2669" s="162" t="s">
        <v>6742</v>
      </c>
      <c r="C2669" s="162" t="s">
        <v>6932</v>
      </c>
      <c r="D2669" s="162" t="s">
        <v>6933</v>
      </c>
      <c r="E2669" s="162" t="s">
        <v>6934</v>
      </c>
      <c r="F2669" s="162">
        <v>184</v>
      </c>
      <c r="G2669" s="162">
        <v>1</v>
      </c>
    </row>
    <row r="2670" spans="2:7" ht="43.2">
      <c r="B2670" s="162" t="s">
        <v>6742</v>
      </c>
      <c r="C2670" s="162" t="s">
        <v>6935</v>
      </c>
      <c r="D2670" s="162" t="s">
        <v>6936</v>
      </c>
      <c r="E2670" s="162" t="s">
        <v>6937</v>
      </c>
      <c r="F2670" s="162">
        <v>193</v>
      </c>
      <c r="G2670" s="162">
        <v>1</v>
      </c>
    </row>
    <row r="2671" spans="2:7" ht="72">
      <c r="B2671" s="162" t="s">
        <v>6742</v>
      </c>
      <c r="C2671" s="162" t="s">
        <v>6938</v>
      </c>
      <c r="D2671" s="162" t="s">
        <v>6939</v>
      </c>
      <c r="E2671" s="162" t="s">
        <v>6940</v>
      </c>
      <c r="F2671" s="162">
        <v>233</v>
      </c>
      <c r="G2671" s="162">
        <v>1</v>
      </c>
    </row>
    <row r="2672" spans="2:7" ht="43.2">
      <c r="B2672" s="162" t="s">
        <v>6742</v>
      </c>
      <c r="C2672" s="162" t="s">
        <v>6941</v>
      </c>
      <c r="D2672" s="162" t="s">
        <v>6942</v>
      </c>
      <c r="E2672" s="162" t="s">
        <v>6943</v>
      </c>
      <c r="F2672" s="162">
        <v>653</v>
      </c>
      <c r="G2672" s="162">
        <v>1</v>
      </c>
    </row>
    <row r="2673" spans="2:7" ht="43.2">
      <c r="B2673" s="162" t="s">
        <v>6742</v>
      </c>
      <c r="C2673" s="162" t="s">
        <v>6944</v>
      </c>
      <c r="D2673" s="162" t="s">
        <v>6945</v>
      </c>
      <c r="E2673" s="162" t="s">
        <v>6946</v>
      </c>
      <c r="F2673" s="162">
        <v>581</v>
      </c>
      <c r="G2673" s="162">
        <v>1</v>
      </c>
    </row>
    <row r="2674" spans="2:7">
      <c r="B2674" s="162" t="s">
        <v>6742</v>
      </c>
      <c r="C2674" s="162" t="s">
        <v>6947</v>
      </c>
      <c r="D2674" s="162" t="s">
        <v>6948</v>
      </c>
      <c r="E2674" s="162" t="s">
        <v>6949</v>
      </c>
      <c r="F2674" s="162">
        <v>146</v>
      </c>
      <c r="G2674" s="162">
        <v>1</v>
      </c>
    </row>
    <row r="2675" spans="2:7" ht="28.8">
      <c r="B2675" s="162" t="s">
        <v>6742</v>
      </c>
      <c r="C2675" s="162" t="s">
        <v>6950</v>
      </c>
      <c r="D2675" s="162" t="s">
        <v>6951</v>
      </c>
      <c r="E2675" s="162" t="s">
        <v>6952</v>
      </c>
      <c r="F2675" s="162">
        <v>157</v>
      </c>
      <c r="G2675" s="162">
        <v>1</v>
      </c>
    </row>
    <row r="2676" spans="2:7">
      <c r="B2676" s="162" t="s">
        <v>6742</v>
      </c>
      <c r="C2676" s="162" t="s">
        <v>6953</v>
      </c>
      <c r="D2676" s="162" t="s">
        <v>6954</v>
      </c>
      <c r="E2676" s="162" t="s">
        <v>6955</v>
      </c>
      <c r="F2676" s="162">
        <v>179</v>
      </c>
      <c r="G2676" s="162">
        <v>1</v>
      </c>
    </row>
    <row r="2677" spans="2:7">
      <c r="B2677" s="162" t="s">
        <v>6742</v>
      </c>
      <c r="C2677" s="162" t="s">
        <v>6956</v>
      </c>
      <c r="D2677" s="162" t="s">
        <v>6957</v>
      </c>
      <c r="E2677" s="162" t="s">
        <v>6958</v>
      </c>
      <c r="F2677" s="162">
        <v>225</v>
      </c>
      <c r="G2677" s="162">
        <v>1</v>
      </c>
    </row>
    <row r="2678" spans="2:7" ht="28.8">
      <c r="B2678" s="162" t="s">
        <v>6742</v>
      </c>
      <c r="C2678" s="162" t="s">
        <v>6959</v>
      </c>
      <c r="D2678" s="162" t="s">
        <v>6960</v>
      </c>
      <c r="E2678" s="162" t="s">
        <v>6961</v>
      </c>
      <c r="F2678" s="162">
        <v>146</v>
      </c>
      <c r="G2678" s="162">
        <v>1</v>
      </c>
    </row>
    <row r="2679" spans="2:7" ht="28.8">
      <c r="B2679" s="162" t="s">
        <v>6742</v>
      </c>
      <c r="C2679" s="162" t="s">
        <v>6962</v>
      </c>
      <c r="D2679" s="162" t="s">
        <v>6963</v>
      </c>
      <c r="E2679" s="162" t="s">
        <v>6964</v>
      </c>
      <c r="F2679" s="162">
        <v>179</v>
      </c>
      <c r="G2679" s="162">
        <v>1</v>
      </c>
    </row>
    <row r="2680" spans="2:7">
      <c r="B2680" s="162" t="s">
        <v>6742</v>
      </c>
      <c r="C2680" s="162" t="s">
        <v>6965</v>
      </c>
      <c r="D2680" s="162" t="s">
        <v>6966</v>
      </c>
      <c r="E2680" s="162" t="s">
        <v>6967</v>
      </c>
      <c r="F2680" s="162">
        <v>225</v>
      </c>
      <c r="G2680" s="162">
        <v>1</v>
      </c>
    </row>
    <row r="2681" spans="2:7">
      <c r="B2681" s="162" t="s">
        <v>6742</v>
      </c>
      <c r="C2681" s="162" t="s">
        <v>6968</v>
      </c>
      <c r="D2681" s="162" t="s">
        <v>6969</v>
      </c>
      <c r="E2681" s="162" t="s">
        <v>6970</v>
      </c>
      <c r="F2681" s="162">
        <v>225</v>
      </c>
      <c r="G2681" s="162">
        <v>1</v>
      </c>
    </row>
    <row r="2682" spans="2:7" ht="28.8">
      <c r="B2682" s="162" t="s">
        <v>6742</v>
      </c>
      <c r="C2682" s="162" t="s">
        <v>6971</v>
      </c>
      <c r="D2682" s="162" t="s">
        <v>6972</v>
      </c>
      <c r="E2682" s="162" t="s">
        <v>6973</v>
      </c>
      <c r="F2682" s="162">
        <v>129</v>
      </c>
      <c r="G2682" s="162">
        <v>1</v>
      </c>
    </row>
    <row r="2683" spans="2:7" ht="43.2">
      <c r="B2683" s="162" t="s">
        <v>6742</v>
      </c>
      <c r="C2683" s="162" t="s">
        <v>6974</v>
      </c>
      <c r="D2683" s="162" t="s">
        <v>6975</v>
      </c>
      <c r="E2683" s="162" t="s">
        <v>6976</v>
      </c>
      <c r="F2683" s="162">
        <v>129</v>
      </c>
      <c r="G2683" s="162">
        <v>1</v>
      </c>
    </row>
    <row r="2684" spans="2:7" ht="28.8">
      <c r="B2684" s="162" t="s">
        <v>6742</v>
      </c>
      <c r="C2684" s="162" t="s">
        <v>6977</v>
      </c>
      <c r="D2684" s="162" t="s">
        <v>6978</v>
      </c>
      <c r="E2684" s="162" t="s">
        <v>6979</v>
      </c>
      <c r="F2684" s="162">
        <v>133</v>
      </c>
      <c r="G2684" s="162">
        <v>1</v>
      </c>
    </row>
    <row r="2685" spans="2:7" ht="43.2">
      <c r="B2685" s="162" t="s">
        <v>6742</v>
      </c>
      <c r="C2685" s="162" t="s">
        <v>6980</v>
      </c>
      <c r="D2685" s="162" t="s">
        <v>6981</v>
      </c>
      <c r="E2685" s="162" t="s">
        <v>6982</v>
      </c>
      <c r="F2685" s="162">
        <v>106</v>
      </c>
      <c r="G2685" s="162">
        <v>1</v>
      </c>
    </row>
    <row r="2686" spans="2:7" ht="28.8">
      <c r="B2686" s="162" t="s">
        <v>6742</v>
      </c>
      <c r="C2686" s="162" t="s">
        <v>6983</v>
      </c>
      <c r="D2686" s="162" t="s">
        <v>6984</v>
      </c>
      <c r="E2686" s="162" t="s">
        <v>6985</v>
      </c>
      <c r="F2686" s="162">
        <v>106</v>
      </c>
      <c r="G2686" s="162">
        <v>1</v>
      </c>
    </row>
    <row r="2687" spans="2:7" ht="43.2">
      <c r="B2687" s="162" t="s">
        <v>6742</v>
      </c>
      <c r="C2687" s="162" t="s">
        <v>6986</v>
      </c>
      <c r="D2687" s="162" t="s">
        <v>6987</v>
      </c>
      <c r="E2687" s="162" t="s">
        <v>6988</v>
      </c>
      <c r="F2687" s="162">
        <v>337</v>
      </c>
      <c r="G2687" s="162">
        <v>1</v>
      </c>
    </row>
    <row r="2688" spans="2:7" ht="28.8">
      <c r="B2688" s="162" t="s">
        <v>6742</v>
      </c>
      <c r="C2688" s="162" t="s">
        <v>6989</v>
      </c>
      <c r="D2688" s="162" t="s">
        <v>6990</v>
      </c>
      <c r="E2688" s="162" t="s">
        <v>6991</v>
      </c>
      <c r="F2688" s="162">
        <v>333</v>
      </c>
      <c r="G2688" s="162">
        <v>1</v>
      </c>
    </row>
    <row r="2689" spans="2:7" ht="28.8">
      <c r="B2689" s="162" t="s">
        <v>6742</v>
      </c>
      <c r="C2689" s="162" t="s">
        <v>6992</v>
      </c>
      <c r="D2689" s="162" t="s">
        <v>6993</v>
      </c>
      <c r="E2689" s="162" t="s">
        <v>6994</v>
      </c>
      <c r="F2689" s="162">
        <v>333</v>
      </c>
      <c r="G2689" s="162">
        <v>1</v>
      </c>
    </row>
    <row r="2690" spans="2:7" ht="43.2">
      <c r="B2690" s="162" t="s">
        <v>6742</v>
      </c>
      <c r="C2690" s="162" t="s">
        <v>6995</v>
      </c>
      <c r="D2690" s="162" t="s">
        <v>6996</v>
      </c>
      <c r="E2690" s="162" t="s">
        <v>6997</v>
      </c>
      <c r="F2690" s="162">
        <v>274</v>
      </c>
      <c r="G2690" s="162">
        <v>1</v>
      </c>
    </row>
    <row r="2691" spans="2:7" ht="28.8">
      <c r="B2691" s="162" t="s">
        <v>6742</v>
      </c>
      <c r="C2691" s="162" t="s">
        <v>6998</v>
      </c>
      <c r="D2691" s="162" t="s">
        <v>6999</v>
      </c>
      <c r="E2691" s="162" t="s">
        <v>7000</v>
      </c>
      <c r="F2691" s="162">
        <v>179</v>
      </c>
      <c r="G2691" s="162">
        <v>1</v>
      </c>
    </row>
    <row r="2692" spans="2:7" ht="28.8">
      <c r="B2692" s="162" t="s">
        <v>6742</v>
      </c>
      <c r="C2692" s="162" t="s">
        <v>7001</v>
      </c>
      <c r="D2692" s="162" t="s">
        <v>7002</v>
      </c>
      <c r="E2692" s="162" t="s">
        <v>7003</v>
      </c>
      <c r="F2692" s="162">
        <v>199</v>
      </c>
      <c r="G2692" s="162">
        <v>1</v>
      </c>
    </row>
    <row r="2693" spans="2:7" ht="28.8">
      <c r="B2693" s="162" t="s">
        <v>6742</v>
      </c>
      <c r="C2693" s="162" t="s">
        <v>7004</v>
      </c>
      <c r="D2693" s="162" t="s">
        <v>7005</v>
      </c>
      <c r="E2693" s="162" t="s">
        <v>7006</v>
      </c>
      <c r="F2693" s="162">
        <v>181</v>
      </c>
      <c r="G2693" s="162">
        <v>1</v>
      </c>
    </row>
    <row r="2694" spans="2:7" ht="28.8">
      <c r="B2694" s="162" t="s">
        <v>6742</v>
      </c>
      <c r="C2694" s="162" t="s">
        <v>7007</v>
      </c>
      <c r="D2694" s="162" t="s">
        <v>7008</v>
      </c>
      <c r="E2694" s="162" t="s">
        <v>7009</v>
      </c>
      <c r="F2694" s="162">
        <v>199</v>
      </c>
      <c r="G2694" s="162">
        <v>1</v>
      </c>
    </row>
    <row r="2695" spans="2:7" ht="28.8">
      <c r="B2695" s="162" t="s">
        <v>6742</v>
      </c>
      <c r="C2695" s="162" t="s">
        <v>7010</v>
      </c>
      <c r="D2695" s="162" t="s">
        <v>7011</v>
      </c>
      <c r="E2695" s="162" t="s">
        <v>7012</v>
      </c>
      <c r="F2695" s="162">
        <v>225</v>
      </c>
      <c r="G2695" s="162">
        <v>1</v>
      </c>
    </row>
    <row r="2696" spans="2:7" ht="28.8">
      <c r="B2696" s="162" t="s">
        <v>6742</v>
      </c>
      <c r="C2696" s="162" t="s">
        <v>7013</v>
      </c>
      <c r="D2696" s="162" t="s">
        <v>7014</v>
      </c>
      <c r="E2696" s="162" t="s">
        <v>7015</v>
      </c>
      <c r="F2696" s="162">
        <v>609</v>
      </c>
      <c r="G2696" s="162">
        <v>1</v>
      </c>
    </row>
    <row r="2697" spans="2:7">
      <c r="B2697" s="162" t="s">
        <v>6742</v>
      </c>
      <c r="C2697" s="162" t="s">
        <v>7016</v>
      </c>
      <c r="D2697" s="162" t="s">
        <v>7017</v>
      </c>
      <c r="E2697" s="162" t="s">
        <v>7018</v>
      </c>
      <c r="F2697" s="162">
        <v>609</v>
      </c>
      <c r="G2697" s="162">
        <v>1</v>
      </c>
    </row>
    <row r="2698" spans="2:7" ht="28.8">
      <c r="B2698" s="162" t="s">
        <v>6742</v>
      </c>
      <c r="C2698" s="162" t="s">
        <v>7019</v>
      </c>
      <c r="D2698" s="162" t="s">
        <v>7020</v>
      </c>
      <c r="E2698" s="162" t="s">
        <v>7021</v>
      </c>
      <c r="F2698" s="162">
        <v>700</v>
      </c>
      <c r="G2698" s="162">
        <v>1</v>
      </c>
    </row>
    <row r="2699" spans="2:7" ht="28.8">
      <c r="B2699" s="162" t="s">
        <v>6742</v>
      </c>
      <c r="C2699" s="162" t="s">
        <v>7022</v>
      </c>
      <c r="D2699" s="162" t="s">
        <v>7005</v>
      </c>
      <c r="E2699" s="162" t="s">
        <v>7023</v>
      </c>
      <c r="F2699" s="162">
        <v>229</v>
      </c>
      <c r="G2699" s="162">
        <v>1</v>
      </c>
    </row>
    <row r="2700" spans="2:7" ht="28.8">
      <c r="B2700" s="162" t="s">
        <v>6742</v>
      </c>
      <c r="C2700" s="162" t="s">
        <v>7024</v>
      </c>
      <c r="D2700" s="162" t="s">
        <v>7025</v>
      </c>
      <c r="E2700" s="162" t="s">
        <v>7026</v>
      </c>
      <c r="F2700" s="162">
        <v>254</v>
      </c>
      <c r="G2700" s="162">
        <v>1</v>
      </c>
    </row>
    <row r="2701" spans="2:7" ht="28.8">
      <c r="B2701" s="162" t="s">
        <v>6742</v>
      </c>
      <c r="C2701" s="162" t="s">
        <v>7027</v>
      </c>
      <c r="D2701" s="162" t="s">
        <v>7011</v>
      </c>
      <c r="E2701" s="162" t="s">
        <v>7028</v>
      </c>
      <c r="F2701" s="162">
        <v>275</v>
      </c>
      <c r="G2701" s="162">
        <v>1</v>
      </c>
    </row>
    <row r="2702" spans="2:7" ht="43.2">
      <c r="B2702" s="162" t="s">
        <v>6742</v>
      </c>
      <c r="C2702" s="162" t="s">
        <v>7029</v>
      </c>
      <c r="D2702" s="162" t="s">
        <v>7030</v>
      </c>
      <c r="E2702" s="162" t="s">
        <v>7031</v>
      </c>
      <c r="F2702" s="162">
        <v>295</v>
      </c>
      <c r="G2702" s="162">
        <v>1</v>
      </c>
    </row>
    <row r="2703" spans="2:7">
      <c r="B2703" s="162" t="s">
        <v>6742</v>
      </c>
      <c r="C2703" s="162" t="s">
        <v>7032</v>
      </c>
      <c r="D2703" s="162" t="s">
        <v>7033</v>
      </c>
      <c r="E2703" s="162" t="s">
        <v>7034</v>
      </c>
      <c r="F2703" s="162">
        <v>358</v>
      </c>
      <c r="G2703" s="162">
        <v>1</v>
      </c>
    </row>
    <row r="2704" spans="2:7" ht="43.2">
      <c r="B2704" s="162" t="s">
        <v>6742</v>
      </c>
      <c r="C2704" s="162" t="s">
        <v>7035</v>
      </c>
      <c r="D2704" s="162" t="s">
        <v>7036</v>
      </c>
      <c r="E2704" s="162" t="s">
        <v>7037</v>
      </c>
      <c r="F2704" s="162">
        <v>504</v>
      </c>
      <c r="G2704" s="162">
        <v>1</v>
      </c>
    </row>
    <row r="2705" spans="2:7" ht="43.2">
      <c r="B2705" s="162" t="s">
        <v>6742</v>
      </c>
      <c r="C2705" s="162" t="s">
        <v>7038</v>
      </c>
      <c r="D2705" s="162" t="s">
        <v>7039</v>
      </c>
      <c r="E2705" s="162" t="s">
        <v>7040</v>
      </c>
      <c r="F2705" s="162">
        <v>504</v>
      </c>
      <c r="G2705" s="162">
        <v>1</v>
      </c>
    </row>
    <row r="2706" spans="2:7" ht="43.2">
      <c r="B2706" s="162" t="s">
        <v>6742</v>
      </c>
      <c r="C2706" s="162" t="s">
        <v>7041</v>
      </c>
      <c r="D2706" s="162" t="s">
        <v>7042</v>
      </c>
      <c r="E2706" s="162" t="s">
        <v>7043</v>
      </c>
      <c r="F2706" s="162">
        <v>504</v>
      </c>
      <c r="G2706" s="162">
        <v>1</v>
      </c>
    </row>
    <row r="2707" spans="2:7" ht="43.2">
      <c r="B2707" s="162" t="s">
        <v>6742</v>
      </c>
      <c r="C2707" s="162" t="s">
        <v>7044</v>
      </c>
      <c r="D2707" s="162" t="s">
        <v>7045</v>
      </c>
      <c r="E2707" s="162" t="s">
        <v>7046</v>
      </c>
      <c r="F2707" s="162">
        <v>476</v>
      </c>
      <c r="G2707" s="162">
        <v>1</v>
      </c>
    </row>
    <row r="2708" spans="2:7" ht="43.2">
      <c r="B2708" s="162" t="s">
        <v>6742</v>
      </c>
      <c r="C2708" s="162" t="s">
        <v>7047</v>
      </c>
      <c r="D2708" s="162" t="s">
        <v>7048</v>
      </c>
      <c r="E2708" s="162" t="s">
        <v>7049</v>
      </c>
      <c r="F2708" s="162">
        <v>476</v>
      </c>
      <c r="G2708" s="162">
        <v>1</v>
      </c>
    </row>
    <row r="2709" spans="2:7" ht="43.2">
      <c r="B2709" s="162" t="s">
        <v>6742</v>
      </c>
      <c r="C2709" s="162" t="s">
        <v>7050</v>
      </c>
      <c r="D2709" s="162" t="s">
        <v>7051</v>
      </c>
      <c r="E2709" s="162" t="s">
        <v>7052</v>
      </c>
      <c r="F2709" s="162">
        <v>476</v>
      </c>
      <c r="G2709" s="162">
        <v>1</v>
      </c>
    </row>
    <row r="2710" spans="2:7" ht="86.4">
      <c r="B2710" s="162" t="s">
        <v>6742</v>
      </c>
      <c r="C2710" s="162" t="s">
        <v>7053</v>
      </c>
      <c r="D2710" s="162" t="s">
        <v>7054</v>
      </c>
      <c r="E2710" s="162" t="s">
        <v>7055</v>
      </c>
      <c r="F2710" s="162">
        <v>572</v>
      </c>
      <c r="G2710" s="162">
        <v>1</v>
      </c>
    </row>
    <row r="2711" spans="2:7" ht="86.4">
      <c r="B2711" s="162" t="s">
        <v>6742</v>
      </c>
      <c r="C2711" s="162" t="s">
        <v>7056</v>
      </c>
      <c r="D2711" s="162" t="s">
        <v>7057</v>
      </c>
      <c r="E2711" s="162" t="s">
        <v>7058</v>
      </c>
      <c r="F2711" s="162">
        <v>572</v>
      </c>
      <c r="G2711" s="162">
        <v>1</v>
      </c>
    </row>
    <row r="2712" spans="2:7" ht="86.4">
      <c r="B2712" s="162" t="s">
        <v>6742</v>
      </c>
      <c r="C2712" s="162" t="s">
        <v>7059</v>
      </c>
      <c r="D2712" s="162" t="s">
        <v>7060</v>
      </c>
      <c r="E2712" s="162" t="s">
        <v>7061</v>
      </c>
      <c r="F2712" s="162">
        <v>572</v>
      </c>
      <c r="G2712" s="162">
        <v>1</v>
      </c>
    </row>
    <row r="2713" spans="2:7" ht="28.8">
      <c r="B2713" s="162" t="s">
        <v>6742</v>
      </c>
      <c r="C2713" s="162" t="s">
        <v>7062</v>
      </c>
      <c r="D2713" s="162" t="s">
        <v>7063</v>
      </c>
      <c r="E2713" s="162" t="s">
        <v>7064</v>
      </c>
      <c r="F2713" s="162">
        <v>491</v>
      </c>
      <c r="G2713" s="162">
        <v>1</v>
      </c>
    </row>
    <row r="2714" spans="2:7" ht="28.8">
      <c r="B2714" s="162" t="s">
        <v>6742</v>
      </c>
      <c r="C2714" s="162" t="s">
        <v>7065</v>
      </c>
      <c r="D2714" s="162" t="s">
        <v>7066</v>
      </c>
      <c r="E2714" s="162" t="s">
        <v>7067</v>
      </c>
      <c r="F2714" s="162">
        <v>491</v>
      </c>
      <c r="G2714" s="162">
        <v>1</v>
      </c>
    </row>
    <row r="2715" spans="2:7" ht="28.8">
      <c r="B2715" s="162" t="s">
        <v>6742</v>
      </c>
      <c r="C2715" s="162" t="s">
        <v>7068</v>
      </c>
      <c r="D2715" s="162" t="s">
        <v>7069</v>
      </c>
      <c r="E2715" s="162" t="s">
        <v>7070</v>
      </c>
      <c r="F2715" s="162">
        <v>399</v>
      </c>
      <c r="G2715" s="162">
        <v>1</v>
      </c>
    </row>
    <row r="2716" spans="2:7" ht="28.8">
      <c r="B2716" s="162" t="s">
        <v>6742</v>
      </c>
      <c r="C2716" s="162" t="s">
        <v>7071</v>
      </c>
      <c r="D2716" s="162" t="s">
        <v>7072</v>
      </c>
      <c r="E2716" s="162" t="s">
        <v>7073</v>
      </c>
      <c r="F2716" s="162">
        <v>399</v>
      </c>
      <c r="G2716" s="162">
        <v>1</v>
      </c>
    </row>
    <row r="2717" spans="2:7" ht="43.2">
      <c r="B2717" s="162" t="s">
        <v>6742</v>
      </c>
      <c r="C2717" s="162" t="s">
        <v>7074</v>
      </c>
      <c r="D2717" s="162" t="s">
        <v>7075</v>
      </c>
      <c r="E2717" s="162" t="s">
        <v>7076</v>
      </c>
      <c r="F2717" s="162">
        <v>334</v>
      </c>
      <c r="G2717" s="162">
        <v>1</v>
      </c>
    </row>
    <row r="2718" spans="2:7" ht="43.2">
      <c r="B2718" s="162" t="s">
        <v>6742</v>
      </c>
      <c r="C2718" s="162" t="s">
        <v>7077</v>
      </c>
      <c r="D2718" s="162" t="s">
        <v>7078</v>
      </c>
      <c r="E2718" s="162" t="s">
        <v>7079</v>
      </c>
      <c r="F2718" s="162">
        <v>334</v>
      </c>
      <c r="G2718" s="162">
        <v>1</v>
      </c>
    </row>
    <row r="2719" spans="2:7" ht="28.8">
      <c r="B2719" s="162" t="s">
        <v>6742</v>
      </c>
      <c r="C2719" s="162" t="s">
        <v>7080</v>
      </c>
      <c r="D2719" s="162" t="s">
        <v>7081</v>
      </c>
      <c r="E2719" s="162" t="s">
        <v>7082</v>
      </c>
      <c r="F2719" s="162">
        <v>393</v>
      </c>
      <c r="G2719" s="162">
        <v>1</v>
      </c>
    </row>
    <row r="2720" spans="2:7" ht="72">
      <c r="B2720" s="162" t="s">
        <v>6742</v>
      </c>
      <c r="C2720" s="162" t="s">
        <v>7083</v>
      </c>
      <c r="D2720" s="162" t="s">
        <v>7084</v>
      </c>
      <c r="E2720" s="162" t="s">
        <v>7085</v>
      </c>
      <c r="F2720" s="162">
        <v>572</v>
      </c>
      <c r="G2720" s="162">
        <v>1</v>
      </c>
    </row>
    <row r="2721" spans="2:7">
      <c r="B2721" s="162" t="s">
        <v>6742</v>
      </c>
      <c r="C2721" s="162" t="s">
        <v>7086</v>
      </c>
      <c r="D2721" s="162" t="s">
        <v>7087</v>
      </c>
      <c r="E2721" s="162" t="s">
        <v>7088</v>
      </c>
      <c r="F2721" s="162">
        <v>334</v>
      </c>
      <c r="G2721" s="162">
        <v>1</v>
      </c>
    </row>
    <row r="2722" spans="2:7">
      <c r="B2722" s="162" t="s">
        <v>6742</v>
      </c>
      <c r="C2722" s="162" t="s">
        <v>7089</v>
      </c>
      <c r="D2722" s="162" t="s">
        <v>7090</v>
      </c>
      <c r="E2722" s="162" t="s">
        <v>7091</v>
      </c>
      <c r="F2722" s="162">
        <v>334</v>
      </c>
      <c r="G2722" s="162">
        <v>1</v>
      </c>
    </row>
    <row r="2723" spans="2:7" ht="57.6">
      <c r="B2723" s="162" t="s">
        <v>6742</v>
      </c>
      <c r="C2723" s="162" t="s">
        <v>7092</v>
      </c>
      <c r="D2723" s="162" t="s">
        <v>7093</v>
      </c>
      <c r="E2723" s="162" t="s">
        <v>7094</v>
      </c>
      <c r="F2723" s="162">
        <v>380</v>
      </c>
      <c r="G2723" s="162">
        <v>1</v>
      </c>
    </row>
    <row r="2724" spans="2:7" ht="57.6">
      <c r="B2724" s="162" t="s">
        <v>6742</v>
      </c>
      <c r="C2724" s="162" t="s">
        <v>7095</v>
      </c>
      <c r="D2724" s="162" t="s">
        <v>7096</v>
      </c>
      <c r="E2724" s="162" t="s">
        <v>7097</v>
      </c>
      <c r="F2724" s="162">
        <v>380</v>
      </c>
      <c r="G2724" s="162">
        <v>1</v>
      </c>
    </row>
    <row r="2725" spans="2:7" ht="43.2">
      <c r="B2725" s="162" t="s">
        <v>6742</v>
      </c>
      <c r="C2725" s="162" t="s">
        <v>7098</v>
      </c>
      <c r="D2725" s="162" t="s">
        <v>7099</v>
      </c>
      <c r="E2725" s="162" t="s">
        <v>7100</v>
      </c>
      <c r="F2725" s="162">
        <v>334</v>
      </c>
      <c r="G2725" s="162">
        <v>1</v>
      </c>
    </row>
    <row r="2726" spans="2:7" ht="43.2">
      <c r="B2726" s="162" t="s">
        <v>6742</v>
      </c>
      <c r="C2726" s="162" t="s">
        <v>7101</v>
      </c>
      <c r="D2726" s="162" t="s">
        <v>7102</v>
      </c>
      <c r="E2726" s="162" t="s">
        <v>7103</v>
      </c>
      <c r="F2726" s="162">
        <v>334</v>
      </c>
      <c r="G2726" s="162">
        <v>1</v>
      </c>
    </row>
    <row r="2727" spans="2:7" ht="28.8">
      <c r="B2727" s="162" t="s">
        <v>6742</v>
      </c>
      <c r="C2727" s="162" t="s">
        <v>7104</v>
      </c>
      <c r="D2727" s="162" t="s">
        <v>7105</v>
      </c>
      <c r="E2727" s="162" t="s">
        <v>7106</v>
      </c>
      <c r="F2727" s="162">
        <v>149</v>
      </c>
      <c r="G2727" s="162">
        <v>1</v>
      </c>
    </row>
    <row r="2728" spans="2:7" ht="28.8">
      <c r="B2728" s="162" t="s">
        <v>6742</v>
      </c>
      <c r="C2728" s="162" t="s">
        <v>7107</v>
      </c>
      <c r="D2728" s="162" t="s">
        <v>7108</v>
      </c>
      <c r="E2728" s="162" t="s">
        <v>7109</v>
      </c>
      <c r="F2728" s="162">
        <v>272</v>
      </c>
      <c r="G2728" s="162">
        <v>1</v>
      </c>
    </row>
    <row r="2729" spans="2:7" ht="28.8">
      <c r="B2729" s="162" t="s">
        <v>6742</v>
      </c>
      <c r="C2729" s="162" t="s">
        <v>7110</v>
      </c>
      <c r="D2729" s="162" t="s">
        <v>7111</v>
      </c>
      <c r="E2729" s="162" t="s">
        <v>7112</v>
      </c>
      <c r="F2729" s="162">
        <v>412</v>
      </c>
      <c r="G2729" s="162">
        <v>1</v>
      </c>
    </row>
    <row r="2730" spans="2:7" ht="28.8">
      <c r="B2730" s="162" t="s">
        <v>6742</v>
      </c>
      <c r="C2730" s="162" t="s">
        <v>7113</v>
      </c>
      <c r="D2730" s="162" t="s">
        <v>7114</v>
      </c>
      <c r="E2730" s="162" t="s">
        <v>7115</v>
      </c>
      <c r="F2730" s="162">
        <v>186</v>
      </c>
      <c r="G2730" s="162">
        <v>1</v>
      </c>
    </row>
    <row r="2731" spans="2:7" ht="28.8">
      <c r="B2731" s="162" t="s">
        <v>6742</v>
      </c>
      <c r="C2731" s="162" t="s">
        <v>7116</v>
      </c>
      <c r="D2731" s="162" t="s">
        <v>7117</v>
      </c>
      <c r="E2731" s="162" t="s">
        <v>7118</v>
      </c>
      <c r="F2731" s="162">
        <v>303</v>
      </c>
      <c r="G2731" s="162">
        <v>1</v>
      </c>
    </row>
    <row r="2732" spans="2:7" ht="28.8">
      <c r="B2732" s="162" t="s">
        <v>6742</v>
      </c>
      <c r="C2732" s="162" t="s">
        <v>7119</v>
      </c>
      <c r="D2732" s="162" t="s">
        <v>7120</v>
      </c>
      <c r="E2732" s="162" t="s">
        <v>7121</v>
      </c>
      <c r="F2732" s="162">
        <v>300</v>
      </c>
      <c r="G2732" s="162">
        <v>1</v>
      </c>
    </row>
    <row r="2733" spans="2:7" ht="28.8">
      <c r="B2733" s="162" t="s">
        <v>6742</v>
      </c>
      <c r="C2733" s="162" t="s">
        <v>7122</v>
      </c>
      <c r="D2733" s="162" t="s">
        <v>7123</v>
      </c>
      <c r="E2733" s="162" t="s">
        <v>7124</v>
      </c>
      <c r="F2733" s="162">
        <v>248</v>
      </c>
      <c r="G2733" s="162">
        <v>1</v>
      </c>
    </row>
    <row r="2734" spans="2:7" ht="28.8">
      <c r="B2734" s="162" t="s">
        <v>6742</v>
      </c>
      <c r="C2734" s="162" t="s">
        <v>7125</v>
      </c>
      <c r="D2734" s="162" t="s">
        <v>7123</v>
      </c>
      <c r="E2734" s="162" t="s">
        <v>7126</v>
      </c>
      <c r="F2734" s="162">
        <v>243</v>
      </c>
      <c r="G2734" s="162">
        <v>1</v>
      </c>
    </row>
    <row r="2735" spans="2:7">
      <c r="B2735" s="162" t="s">
        <v>6742</v>
      </c>
      <c r="C2735" s="162" t="s">
        <v>7127</v>
      </c>
      <c r="D2735" s="162" t="s">
        <v>7128</v>
      </c>
      <c r="E2735" s="162" t="s">
        <v>7129</v>
      </c>
      <c r="F2735" s="162">
        <v>84.5</v>
      </c>
      <c r="G2735" s="162">
        <v>1</v>
      </c>
    </row>
    <row r="2736" spans="2:7">
      <c r="B2736" s="162" t="s">
        <v>6742</v>
      </c>
      <c r="C2736" s="162" t="s">
        <v>7130</v>
      </c>
      <c r="D2736" s="162" t="s">
        <v>7131</v>
      </c>
      <c r="E2736" s="162" t="s">
        <v>7132</v>
      </c>
      <c r="F2736" s="162">
        <v>110</v>
      </c>
      <c r="G2736" s="162">
        <v>1</v>
      </c>
    </row>
    <row r="2737" spans="2:7" ht="28.8">
      <c r="B2737" s="162" t="s">
        <v>6742</v>
      </c>
      <c r="C2737" s="162" t="s">
        <v>7133</v>
      </c>
      <c r="D2737" s="162" t="s">
        <v>7134</v>
      </c>
      <c r="E2737" s="162" t="s">
        <v>7135</v>
      </c>
      <c r="F2737" s="162">
        <v>21.3</v>
      </c>
      <c r="G2737" s="162">
        <v>1</v>
      </c>
    </row>
    <row r="2738" spans="2:7" ht="43.2">
      <c r="B2738" s="162" t="s">
        <v>6742</v>
      </c>
      <c r="C2738" s="162" t="s">
        <v>7136</v>
      </c>
      <c r="D2738" s="162" t="s">
        <v>7137</v>
      </c>
      <c r="E2738" s="162" t="s">
        <v>7138</v>
      </c>
      <c r="F2738" s="162">
        <v>33.1</v>
      </c>
      <c r="G2738" s="162">
        <v>1</v>
      </c>
    </row>
    <row r="2739" spans="2:7" ht="28.8">
      <c r="B2739" s="162" t="s">
        <v>6742</v>
      </c>
      <c r="C2739" s="162" t="s">
        <v>7139</v>
      </c>
      <c r="D2739" s="162" t="s">
        <v>7140</v>
      </c>
      <c r="E2739" s="162" t="s">
        <v>7141</v>
      </c>
      <c r="F2739" s="162">
        <v>149</v>
      </c>
      <c r="G2739" s="162">
        <v>1</v>
      </c>
    </row>
    <row r="2740" spans="2:7" ht="28.8">
      <c r="B2740" s="162" t="s">
        <v>6742</v>
      </c>
      <c r="C2740" s="162" t="s">
        <v>7142</v>
      </c>
      <c r="D2740" s="162" t="s">
        <v>7143</v>
      </c>
      <c r="E2740" s="162" t="s">
        <v>7144</v>
      </c>
      <c r="F2740" s="162">
        <v>26</v>
      </c>
      <c r="G2740" s="162">
        <v>1</v>
      </c>
    </row>
    <row r="2741" spans="2:7" ht="57.6">
      <c r="B2741" s="162" t="s">
        <v>6742</v>
      </c>
      <c r="C2741" s="162" t="s">
        <v>7145</v>
      </c>
      <c r="D2741" s="162" t="s">
        <v>7146</v>
      </c>
      <c r="E2741" s="162" t="s">
        <v>7147</v>
      </c>
      <c r="F2741" s="162">
        <v>33.1</v>
      </c>
      <c r="G2741" s="162">
        <v>1</v>
      </c>
    </row>
    <row r="2742" spans="2:7" ht="28.8">
      <c r="B2742" s="162" t="s">
        <v>6742</v>
      </c>
      <c r="C2742" s="162" t="s">
        <v>7148</v>
      </c>
      <c r="D2742" s="162" t="s">
        <v>7149</v>
      </c>
      <c r="E2742" s="162" t="s">
        <v>7150</v>
      </c>
      <c r="F2742" s="162">
        <v>58.1</v>
      </c>
      <c r="G2742" s="162">
        <v>1</v>
      </c>
    </row>
    <row r="2743" spans="2:7" ht="28.8">
      <c r="B2743" s="162" t="s">
        <v>6742</v>
      </c>
      <c r="C2743" s="162" t="s">
        <v>7151</v>
      </c>
      <c r="D2743" s="162" t="s">
        <v>7152</v>
      </c>
      <c r="E2743" s="162" t="s">
        <v>7153</v>
      </c>
      <c r="F2743" s="162">
        <v>23.7</v>
      </c>
      <c r="G2743" s="162">
        <v>1</v>
      </c>
    </row>
    <row r="2744" spans="2:7" ht="28.8">
      <c r="B2744" s="162" t="s">
        <v>6742</v>
      </c>
      <c r="C2744" s="162" t="s">
        <v>7154</v>
      </c>
      <c r="D2744" s="162" t="s">
        <v>7155</v>
      </c>
      <c r="E2744" s="162" t="s">
        <v>7156</v>
      </c>
      <c r="F2744" s="162">
        <v>23.7</v>
      </c>
      <c r="G2744" s="162">
        <v>1</v>
      </c>
    </row>
    <row r="2745" spans="2:7" ht="28.8">
      <c r="B2745" s="162" t="s">
        <v>6742</v>
      </c>
      <c r="C2745" s="162" t="s">
        <v>7157</v>
      </c>
      <c r="D2745" s="162" t="s">
        <v>7158</v>
      </c>
      <c r="E2745" s="162" t="s">
        <v>7159</v>
      </c>
      <c r="F2745" s="162">
        <v>52.4</v>
      </c>
      <c r="G2745" s="162">
        <v>1</v>
      </c>
    </row>
    <row r="2746" spans="2:7" ht="43.2">
      <c r="B2746" s="162" t="s">
        <v>6742</v>
      </c>
      <c r="C2746" s="162" t="s">
        <v>7160</v>
      </c>
      <c r="D2746" s="162" t="s">
        <v>7161</v>
      </c>
      <c r="E2746" s="162" t="s">
        <v>7162</v>
      </c>
      <c r="F2746" s="162">
        <v>78.3</v>
      </c>
      <c r="G2746" s="162">
        <v>1</v>
      </c>
    </row>
    <row r="2747" spans="2:7" ht="28.8">
      <c r="B2747" s="162" t="s">
        <v>6742</v>
      </c>
      <c r="C2747" s="162" t="s">
        <v>7163</v>
      </c>
      <c r="D2747" s="162" t="s">
        <v>7164</v>
      </c>
      <c r="E2747" s="162" t="s">
        <v>7165</v>
      </c>
      <c r="F2747" s="162">
        <v>22.6</v>
      </c>
      <c r="G2747" s="162">
        <v>1</v>
      </c>
    </row>
    <row r="2748" spans="2:7" ht="43.2">
      <c r="B2748" s="162" t="s">
        <v>6742</v>
      </c>
      <c r="C2748" s="162" t="s">
        <v>7166</v>
      </c>
      <c r="D2748" s="162" t="s">
        <v>7167</v>
      </c>
      <c r="E2748" s="162" t="s">
        <v>7168</v>
      </c>
      <c r="F2748" s="162">
        <v>54.3</v>
      </c>
      <c r="G2748" s="162">
        <v>1</v>
      </c>
    </row>
    <row r="2749" spans="2:7" ht="28.8">
      <c r="B2749" s="162" t="s">
        <v>6742</v>
      </c>
      <c r="C2749" s="162" t="s">
        <v>7169</v>
      </c>
      <c r="D2749" s="162" t="s">
        <v>7170</v>
      </c>
      <c r="E2749" s="162" t="s">
        <v>7171</v>
      </c>
      <c r="F2749" s="162">
        <v>22.6</v>
      </c>
      <c r="G2749" s="162">
        <v>1</v>
      </c>
    </row>
    <row r="2750" spans="2:7" ht="28.8">
      <c r="B2750" s="162" t="s">
        <v>6742</v>
      </c>
      <c r="C2750" s="162" t="s">
        <v>7172</v>
      </c>
      <c r="D2750" s="162" t="s">
        <v>7173</v>
      </c>
      <c r="E2750" s="162" t="s">
        <v>7174</v>
      </c>
      <c r="F2750" s="162">
        <v>23.7</v>
      </c>
      <c r="G2750" s="162">
        <v>1</v>
      </c>
    </row>
    <row r="2751" spans="2:7" ht="57.6">
      <c r="B2751" s="162" t="s">
        <v>6742</v>
      </c>
      <c r="C2751" s="162" t="s">
        <v>7175</v>
      </c>
      <c r="D2751" s="162" t="s">
        <v>7176</v>
      </c>
      <c r="E2751" s="162" t="s">
        <v>7177</v>
      </c>
      <c r="F2751" s="162">
        <v>66.7</v>
      </c>
      <c r="G2751" s="162">
        <v>1</v>
      </c>
    </row>
    <row r="2752" spans="2:7" ht="43.2">
      <c r="B2752" s="162" t="s">
        <v>6742</v>
      </c>
      <c r="C2752" s="162" t="s">
        <v>7178</v>
      </c>
      <c r="D2752" s="162" t="s">
        <v>7179</v>
      </c>
      <c r="E2752" s="162" t="s">
        <v>7180</v>
      </c>
      <c r="F2752" s="162">
        <v>23.7</v>
      </c>
      <c r="G2752" s="162">
        <v>1</v>
      </c>
    </row>
    <row r="2753" spans="2:7" ht="28.8">
      <c r="B2753" s="162" t="s">
        <v>6742</v>
      </c>
      <c r="C2753" s="162" t="s">
        <v>7181</v>
      </c>
      <c r="D2753" s="162" t="s">
        <v>7182</v>
      </c>
      <c r="E2753" s="162" t="s">
        <v>7183</v>
      </c>
      <c r="F2753" s="162">
        <v>23.7</v>
      </c>
      <c r="G2753" s="162">
        <v>1</v>
      </c>
    </row>
    <row r="2754" spans="2:7" ht="43.2">
      <c r="B2754" s="162" t="s">
        <v>6742</v>
      </c>
      <c r="C2754" s="162" t="s">
        <v>7184</v>
      </c>
      <c r="D2754" s="162" t="s">
        <v>7185</v>
      </c>
      <c r="E2754" s="162" t="s">
        <v>7186</v>
      </c>
      <c r="F2754" s="162">
        <v>28.5</v>
      </c>
      <c r="G2754" s="162">
        <v>1</v>
      </c>
    </row>
    <row r="2755" spans="2:7" ht="28.8">
      <c r="B2755" s="162" t="s">
        <v>6742</v>
      </c>
      <c r="C2755" s="162" t="s">
        <v>7187</v>
      </c>
      <c r="D2755" s="162" t="s">
        <v>7188</v>
      </c>
      <c r="E2755" s="162" t="s">
        <v>7189</v>
      </c>
      <c r="F2755" s="162">
        <v>23.7</v>
      </c>
      <c r="G2755" s="162">
        <v>1</v>
      </c>
    </row>
    <row r="2756" spans="2:7" ht="28.8">
      <c r="B2756" s="162" t="s">
        <v>6742</v>
      </c>
      <c r="C2756" s="162" t="s">
        <v>7190</v>
      </c>
      <c r="D2756" s="162" t="s">
        <v>7191</v>
      </c>
      <c r="E2756" s="162" t="s">
        <v>7192</v>
      </c>
      <c r="F2756" s="162">
        <v>23.7</v>
      </c>
      <c r="G2756" s="162">
        <v>1</v>
      </c>
    </row>
    <row r="2757" spans="2:7" ht="28.8">
      <c r="B2757" s="162" t="s">
        <v>6742</v>
      </c>
      <c r="C2757" s="162" t="s">
        <v>7193</v>
      </c>
      <c r="D2757" s="162" t="s">
        <v>7194</v>
      </c>
      <c r="E2757" s="162" t="s">
        <v>7195</v>
      </c>
      <c r="F2757" s="162">
        <v>29.6</v>
      </c>
      <c r="G2757" s="162">
        <v>1</v>
      </c>
    </row>
    <row r="2758" spans="2:7" ht="28.8">
      <c r="B2758" s="162" t="s">
        <v>6742</v>
      </c>
      <c r="C2758" s="162" t="s">
        <v>7196</v>
      </c>
      <c r="D2758" s="162" t="s">
        <v>7197</v>
      </c>
      <c r="E2758" s="162" t="s">
        <v>7198</v>
      </c>
      <c r="F2758" s="162">
        <v>34.4</v>
      </c>
      <c r="G2758" s="162">
        <v>1</v>
      </c>
    </row>
    <row r="2759" spans="2:7">
      <c r="B2759" s="162" t="s">
        <v>6742</v>
      </c>
      <c r="C2759" s="162" t="s">
        <v>7199</v>
      </c>
      <c r="D2759" s="162" t="s">
        <v>7200</v>
      </c>
      <c r="E2759" s="162" t="s">
        <v>7201</v>
      </c>
      <c r="F2759" s="162">
        <v>325</v>
      </c>
      <c r="G2759" s="162">
        <v>1</v>
      </c>
    </row>
    <row r="2760" spans="2:7">
      <c r="B2760" s="162" t="s">
        <v>6742</v>
      </c>
      <c r="C2760" s="162" t="s">
        <v>7202</v>
      </c>
      <c r="D2760" s="162" t="s">
        <v>7203</v>
      </c>
      <c r="E2760" s="162" t="s">
        <v>7204</v>
      </c>
      <c r="F2760" s="162">
        <v>325</v>
      </c>
      <c r="G2760" s="162">
        <v>1</v>
      </c>
    </row>
    <row r="2761" spans="2:7">
      <c r="B2761" s="162" t="s">
        <v>6742</v>
      </c>
      <c r="C2761" s="162" t="s">
        <v>7205</v>
      </c>
      <c r="D2761" s="162" t="s">
        <v>7206</v>
      </c>
      <c r="E2761" s="162" t="s">
        <v>7207</v>
      </c>
      <c r="F2761" s="162">
        <v>340</v>
      </c>
      <c r="G2761" s="162">
        <v>1</v>
      </c>
    </row>
    <row r="2762" spans="2:7">
      <c r="B2762" s="162" t="s">
        <v>6742</v>
      </c>
      <c r="C2762" s="162" t="s">
        <v>7208</v>
      </c>
      <c r="D2762" s="162" t="s">
        <v>7206</v>
      </c>
      <c r="E2762" s="162" t="s">
        <v>7209</v>
      </c>
      <c r="F2762" s="162">
        <v>340</v>
      </c>
      <c r="G2762" s="162">
        <v>1</v>
      </c>
    </row>
    <row r="2763" spans="2:7">
      <c r="B2763" s="162" t="s">
        <v>6742</v>
      </c>
      <c r="C2763" s="162" t="s">
        <v>7210</v>
      </c>
      <c r="D2763" s="162" t="s">
        <v>7211</v>
      </c>
      <c r="E2763" s="162" t="s">
        <v>7212</v>
      </c>
      <c r="F2763" s="162">
        <v>223</v>
      </c>
      <c r="G2763" s="162">
        <v>1</v>
      </c>
    </row>
    <row r="2764" spans="2:7">
      <c r="B2764" s="162" t="s">
        <v>6742</v>
      </c>
      <c r="C2764" s="162" t="s">
        <v>7213</v>
      </c>
      <c r="D2764" s="162" t="s">
        <v>7214</v>
      </c>
      <c r="E2764" s="162" t="s">
        <v>7215</v>
      </c>
      <c r="F2764" s="162">
        <v>151</v>
      </c>
      <c r="G2764" s="162">
        <v>1</v>
      </c>
    </row>
    <row r="2765" spans="2:7" ht="28.8">
      <c r="B2765" s="162" t="s">
        <v>6742</v>
      </c>
      <c r="C2765" s="162" t="s">
        <v>7216</v>
      </c>
      <c r="D2765" s="162" t="s">
        <v>7217</v>
      </c>
      <c r="E2765" s="162" t="s">
        <v>7218</v>
      </c>
      <c r="F2765" s="162">
        <v>133</v>
      </c>
      <c r="G2765" s="162">
        <v>1</v>
      </c>
    </row>
    <row r="2766" spans="2:7" ht="28.8">
      <c r="B2766" s="162" t="s">
        <v>6742</v>
      </c>
      <c r="C2766" s="162" t="s">
        <v>7219</v>
      </c>
      <c r="D2766" s="162" t="s">
        <v>7220</v>
      </c>
      <c r="E2766" s="162" t="s">
        <v>7221</v>
      </c>
      <c r="F2766" s="162">
        <v>668</v>
      </c>
      <c r="G2766" s="162">
        <v>1</v>
      </c>
    </row>
    <row r="2767" spans="2:7" ht="28.8">
      <c r="B2767" s="162" t="s">
        <v>6742</v>
      </c>
      <c r="C2767" s="162" t="s">
        <v>7222</v>
      </c>
      <c r="D2767" s="162" t="s">
        <v>7223</v>
      </c>
      <c r="E2767" s="162" t="s">
        <v>7224</v>
      </c>
      <c r="F2767" s="162">
        <v>668</v>
      </c>
      <c r="G2767" s="162">
        <v>1</v>
      </c>
    </row>
    <row r="2768" spans="2:7" ht="28.8">
      <c r="B2768" s="162" t="s">
        <v>6742</v>
      </c>
      <c r="C2768" s="162" t="s">
        <v>7225</v>
      </c>
      <c r="D2768" s="162" t="s">
        <v>7226</v>
      </c>
      <c r="E2768" s="162" t="s">
        <v>7227</v>
      </c>
      <c r="F2768" s="162">
        <v>668</v>
      </c>
      <c r="G2768" s="162">
        <v>1</v>
      </c>
    </row>
    <row r="2769" spans="2:7" ht="28.8">
      <c r="B2769" s="162" t="s">
        <v>6742</v>
      </c>
      <c r="C2769" s="162" t="s">
        <v>7228</v>
      </c>
      <c r="D2769" s="162" t="s">
        <v>7229</v>
      </c>
      <c r="E2769" s="162" t="s">
        <v>7230</v>
      </c>
      <c r="F2769" s="162">
        <v>702</v>
      </c>
      <c r="G2769" s="162">
        <v>1</v>
      </c>
    </row>
    <row r="2770" spans="2:7" ht="28.8">
      <c r="B2770" s="162" t="s">
        <v>6742</v>
      </c>
      <c r="C2770" s="162" t="s">
        <v>7231</v>
      </c>
      <c r="D2770" s="162" t="s">
        <v>7232</v>
      </c>
      <c r="E2770" s="162" t="s">
        <v>7233</v>
      </c>
      <c r="F2770" s="162">
        <v>702</v>
      </c>
      <c r="G2770" s="162">
        <v>1</v>
      </c>
    </row>
    <row r="2771" spans="2:7" ht="28.8">
      <c r="B2771" s="162" t="s">
        <v>6742</v>
      </c>
      <c r="C2771" s="162" t="s">
        <v>7234</v>
      </c>
      <c r="D2771" s="162" t="s">
        <v>7235</v>
      </c>
      <c r="E2771" s="162" t="s">
        <v>7236</v>
      </c>
      <c r="F2771" s="162">
        <v>702</v>
      </c>
      <c r="G2771" s="162">
        <v>1</v>
      </c>
    </row>
    <row r="2772" spans="2:7" ht="28.8">
      <c r="B2772" s="162" t="s">
        <v>6742</v>
      </c>
      <c r="C2772" s="162" t="s">
        <v>7237</v>
      </c>
      <c r="D2772" s="162" t="s">
        <v>7238</v>
      </c>
      <c r="E2772" s="162" t="s">
        <v>7239</v>
      </c>
      <c r="F2772" s="162">
        <v>723</v>
      </c>
      <c r="G2772" s="162">
        <v>1</v>
      </c>
    </row>
    <row r="2773" spans="2:7" ht="28.8">
      <c r="B2773" s="162" t="s">
        <v>6742</v>
      </c>
      <c r="C2773" s="162" t="s">
        <v>7240</v>
      </c>
      <c r="D2773" s="162" t="s">
        <v>7241</v>
      </c>
      <c r="E2773" s="162" t="s">
        <v>7242</v>
      </c>
      <c r="F2773" s="162">
        <v>723</v>
      </c>
      <c r="G2773" s="162">
        <v>1</v>
      </c>
    </row>
    <row r="2774" spans="2:7" ht="28.8">
      <c r="B2774" s="162" t="s">
        <v>6742</v>
      </c>
      <c r="C2774" s="162" t="s">
        <v>7243</v>
      </c>
      <c r="D2774" s="162" t="s">
        <v>7244</v>
      </c>
      <c r="E2774" s="162" t="s">
        <v>7245</v>
      </c>
      <c r="F2774" s="162">
        <v>723</v>
      </c>
      <c r="G2774" s="162">
        <v>1</v>
      </c>
    </row>
    <row r="2775" spans="2:7" ht="28.8">
      <c r="B2775" s="162" t="s">
        <v>6742</v>
      </c>
      <c r="C2775" s="162" t="s">
        <v>7246</v>
      </c>
      <c r="D2775" s="162" t="s">
        <v>7247</v>
      </c>
      <c r="E2775" s="162" t="s">
        <v>7248</v>
      </c>
      <c r="F2775" s="162">
        <v>837</v>
      </c>
      <c r="G2775" s="162">
        <v>1</v>
      </c>
    </row>
    <row r="2776" spans="2:7" ht="28.8">
      <c r="B2776" s="162" t="s">
        <v>6742</v>
      </c>
      <c r="C2776" s="162" t="s">
        <v>7249</v>
      </c>
      <c r="D2776" s="162" t="s">
        <v>7250</v>
      </c>
      <c r="E2776" s="162" t="s">
        <v>7251</v>
      </c>
      <c r="F2776" s="162">
        <v>837</v>
      </c>
      <c r="G2776" s="162">
        <v>1</v>
      </c>
    </row>
    <row r="2777" spans="2:7" ht="28.8">
      <c r="B2777" s="162" t="s">
        <v>6742</v>
      </c>
      <c r="C2777" s="162" t="s">
        <v>7252</v>
      </c>
      <c r="D2777" s="162" t="s">
        <v>7253</v>
      </c>
      <c r="E2777" s="162" t="s">
        <v>7254</v>
      </c>
      <c r="F2777" s="162">
        <v>837</v>
      </c>
      <c r="G2777" s="162">
        <v>1</v>
      </c>
    </row>
    <row r="2778" spans="2:7" ht="28.8">
      <c r="B2778" s="162" t="s">
        <v>6742</v>
      </c>
      <c r="C2778" s="162" t="s">
        <v>7255</v>
      </c>
      <c r="D2778" s="162" t="s">
        <v>7256</v>
      </c>
      <c r="E2778" s="162" t="s">
        <v>7257</v>
      </c>
      <c r="F2778" s="162">
        <v>837</v>
      </c>
      <c r="G2778" s="162">
        <v>1</v>
      </c>
    </row>
    <row r="2779" spans="2:7" ht="28.8">
      <c r="B2779" s="162" t="s">
        <v>6742</v>
      </c>
      <c r="C2779" s="162" t="s">
        <v>7258</v>
      </c>
      <c r="D2779" s="162" t="s">
        <v>7259</v>
      </c>
      <c r="E2779" s="162" t="s">
        <v>7260</v>
      </c>
      <c r="F2779" s="162">
        <v>837</v>
      </c>
      <c r="G2779" s="162">
        <v>1</v>
      </c>
    </row>
    <row r="2780" spans="2:7" ht="28.8">
      <c r="B2780" s="162" t="s">
        <v>6742</v>
      </c>
      <c r="C2780" s="162" t="s">
        <v>7261</v>
      </c>
      <c r="D2780" s="162" t="s">
        <v>7262</v>
      </c>
      <c r="E2780" s="162" t="s">
        <v>7263</v>
      </c>
      <c r="F2780" s="162">
        <v>837</v>
      </c>
      <c r="G2780" s="162">
        <v>1</v>
      </c>
    </row>
    <row r="2781" spans="2:7">
      <c r="B2781" s="162" t="s">
        <v>6742</v>
      </c>
      <c r="C2781" s="162" t="s">
        <v>7264</v>
      </c>
      <c r="D2781" s="162" t="s">
        <v>7265</v>
      </c>
      <c r="E2781" s="162" t="s">
        <v>7266</v>
      </c>
      <c r="F2781" s="162">
        <v>668</v>
      </c>
      <c r="G2781" s="162">
        <v>1</v>
      </c>
    </row>
    <row r="2782" spans="2:7">
      <c r="B2782" s="162" t="s">
        <v>6742</v>
      </c>
      <c r="C2782" s="162" t="s">
        <v>7267</v>
      </c>
      <c r="D2782" s="162" t="s">
        <v>7268</v>
      </c>
      <c r="E2782" s="162" t="s">
        <v>7269</v>
      </c>
      <c r="F2782" s="162">
        <v>668</v>
      </c>
      <c r="G2782" s="162">
        <v>1</v>
      </c>
    </row>
    <row r="2783" spans="2:7">
      <c r="B2783" s="162" t="s">
        <v>6742</v>
      </c>
      <c r="C2783" s="162" t="s">
        <v>7270</v>
      </c>
      <c r="D2783" s="162" t="s">
        <v>7271</v>
      </c>
      <c r="E2783" s="162" t="s">
        <v>7272</v>
      </c>
      <c r="F2783" s="162">
        <v>668</v>
      </c>
      <c r="G2783" s="162">
        <v>1</v>
      </c>
    </row>
    <row r="2784" spans="2:7">
      <c r="B2784" s="162" t="s">
        <v>6742</v>
      </c>
      <c r="C2784" s="162" t="s">
        <v>7273</v>
      </c>
      <c r="D2784" s="162" t="s">
        <v>7274</v>
      </c>
      <c r="E2784" s="162" t="s">
        <v>7275</v>
      </c>
      <c r="F2784" s="162">
        <v>668</v>
      </c>
      <c r="G2784" s="162">
        <v>1</v>
      </c>
    </row>
    <row r="2785" spans="2:7">
      <c r="B2785" s="162" t="s">
        <v>6742</v>
      </c>
      <c r="C2785" s="162" t="s">
        <v>7276</v>
      </c>
      <c r="D2785" s="162" t="s">
        <v>7277</v>
      </c>
      <c r="E2785" s="162" t="s">
        <v>7278</v>
      </c>
      <c r="F2785" s="162">
        <v>668</v>
      </c>
      <c r="G2785" s="162">
        <v>1</v>
      </c>
    </row>
    <row r="2786" spans="2:7">
      <c r="B2786" s="162" t="s">
        <v>6742</v>
      </c>
      <c r="C2786" s="162" t="s">
        <v>7279</v>
      </c>
      <c r="D2786" s="162" t="s">
        <v>7280</v>
      </c>
      <c r="E2786" s="162" t="s">
        <v>7281</v>
      </c>
      <c r="F2786" s="162">
        <v>668</v>
      </c>
      <c r="G2786" s="162">
        <v>1</v>
      </c>
    </row>
    <row r="2787" spans="2:7" ht="28.8">
      <c r="B2787" s="162" t="s">
        <v>6742</v>
      </c>
      <c r="C2787" s="162" t="s">
        <v>7282</v>
      </c>
      <c r="D2787" s="162" t="s">
        <v>7283</v>
      </c>
      <c r="E2787" s="162" t="s">
        <v>7284</v>
      </c>
      <c r="F2787" s="162">
        <v>668</v>
      </c>
      <c r="G2787" s="162">
        <v>1</v>
      </c>
    </row>
    <row r="2788" spans="2:7" ht="28.8">
      <c r="B2788" s="162" t="s">
        <v>6742</v>
      </c>
      <c r="C2788" s="162" t="s">
        <v>7285</v>
      </c>
      <c r="D2788" s="162" t="s">
        <v>7286</v>
      </c>
      <c r="E2788" s="162" t="s">
        <v>7287</v>
      </c>
      <c r="F2788" s="162">
        <v>668</v>
      </c>
      <c r="G2788" s="162">
        <v>1</v>
      </c>
    </row>
    <row r="2789" spans="2:7" ht="28.8">
      <c r="B2789" s="162" t="s">
        <v>6742</v>
      </c>
      <c r="C2789" s="162" t="s">
        <v>7288</v>
      </c>
      <c r="D2789" s="162" t="s">
        <v>7289</v>
      </c>
      <c r="E2789" s="162" t="s">
        <v>7290</v>
      </c>
      <c r="F2789" s="162">
        <v>668</v>
      </c>
      <c r="G2789" s="162">
        <v>1</v>
      </c>
    </row>
    <row r="2790" spans="2:7">
      <c r="B2790" s="162" t="s">
        <v>6742</v>
      </c>
      <c r="C2790" s="162" t="s">
        <v>7291</v>
      </c>
      <c r="D2790" s="162" t="s">
        <v>7292</v>
      </c>
      <c r="E2790" s="162" t="s">
        <v>7293</v>
      </c>
      <c r="F2790" s="162">
        <v>557</v>
      </c>
      <c r="G2790" s="162">
        <v>1</v>
      </c>
    </row>
    <row r="2791" spans="2:7">
      <c r="B2791" s="162" t="s">
        <v>6742</v>
      </c>
      <c r="C2791" s="162" t="s">
        <v>7294</v>
      </c>
      <c r="D2791" s="162" t="s">
        <v>7295</v>
      </c>
      <c r="E2791" s="162" t="s">
        <v>7296</v>
      </c>
      <c r="F2791" s="162">
        <v>557</v>
      </c>
      <c r="G2791" s="162">
        <v>1</v>
      </c>
    </row>
    <row r="2792" spans="2:7">
      <c r="B2792" s="162" t="s">
        <v>6742</v>
      </c>
      <c r="C2792" s="162" t="s">
        <v>7297</v>
      </c>
      <c r="D2792" s="162" t="s">
        <v>7298</v>
      </c>
      <c r="E2792" s="162" t="s">
        <v>7299</v>
      </c>
      <c r="F2792" s="162">
        <v>557</v>
      </c>
      <c r="G2792" s="162">
        <v>1</v>
      </c>
    </row>
    <row r="2793" spans="2:7" ht="28.8">
      <c r="B2793" s="162" t="s">
        <v>6742</v>
      </c>
      <c r="C2793" s="162" t="s">
        <v>7300</v>
      </c>
      <c r="D2793" s="162" t="s">
        <v>7301</v>
      </c>
      <c r="E2793" s="162" t="s">
        <v>7302</v>
      </c>
      <c r="F2793" s="162">
        <v>512</v>
      </c>
      <c r="G2793" s="162">
        <v>1</v>
      </c>
    </row>
    <row r="2794" spans="2:7" ht="28.8">
      <c r="B2794" s="162" t="s">
        <v>6742</v>
      </c>
      <c r="C2794" s="162" t="s">
        <v>7303</v>
      </c>
      <c r="D2794" s="162" t="s">
        <v>7304</v>
      </c>
      <c r="E2794" s="162" t="s">
        <v>7305</v>
      </c>
      <c r="F2794" s="162">
        <v>512</v>
      </c>
      <c r="G2794" s="162">
        <v>1</v>
      </c>
    </row>
    <row r="2795" spans="2:7" ht="28.8">
      <c r="B2795" s="162" t="s">
        <v>6742</v>
      </c>
      <c r="C2795" s="162" t="s">
        <v>7306</v>
      </c>
      <c r="D2795" s="162" t="s">
        <v>7307</v>
      </c>
      <c r="E2795" s="162" t="s">
        <v>7308</v>
      </c>
      <c r="F2795" s="162">
        <v>512</v>
      </c>
      <c r="G2795" s="162">
        <v>1</v>
      </c>
    </row>
    <row r="2796" spans="2:7">
      <c r="B2796" s="162" t="s">
        <v>6742</v>
      </c>
      <c r="C2796" s="162" t="s">
        <v>7309</v>
      </c>
      <c r="D2796" s="162" t="s">
        <v>7310</v>
      </c>
      <c r="E2796" s="162" t="s">
        <v>7311</v>
      </c>
      <c r="F2796" s="162">
        <v>538</v>
      </c>
      <c r="G2796" s="162">
        <v>1</v>
      </c>
    </row>
    <row r="2797" spans="2:7">
      <c r="B2797" s="162" t="s">
        <v>6742</v>
      </c>
      <c r="C2797" s="162" t="s">
        <v>7312</v>
      </c>
      <c r="D2797" s="162" t="s">
        <v>7313</v>
      </c>
      <c r="E2797" s="162" t="s">
        <v>7314</v>
      </c>
      <c r="F2797" s="162">
        <v>538</v>
      </c>
      <c r="G2797" s="162">
        <v>1</v>
      </c>
    </row>
    <row r="2798" spans="2:7">
      <c r="B2798" s="162" t="s">
        <v>6742</v>
      </c>
      <c r="C2798" s="162" t="s">
        <v>7315</v>
      </c>
      <c r="D2798" s="162" t="s">
        <v>7316</v>
      </c>
      <c r="E2798" s="162" t="s">
        <v>7317</v>
      </c>
      <c r="F2798" s="162">
        <v>538</v>
      </c>
      <c r="G2798" s="162">
        <v>1</v>
      </c>
    </row>
    <row r="2799" spans="2:7" ht="28.8">
      <c r="B2799" s="162" t="s">
        <v>6742</v>
      </c>
      <c r="C2799" s="162" t="s">
        <v>7318</v>
      </c>
      <c r="D2799" s="162" t="s">
        <v>7319</v>
      </c>
      <c r="E2799" s="162" t="s">
        <v>7320</v>
      </c>
      <c r="F2799" s="162">
        <v>367</v>
      </c>
      <c r="G2799" s="162">
        <v>1</v>
      </c>
    </row>
    <row r="2800" spans="2:7" ht="28.8">
      <c r="B2800" s="162" t="s">
        <v>6742</v>
      </c>
      <c r="C2800" s="162" t="s">
        <v>7321</v>
      </c>
      <c r="D2800" s="162" t="s">
        <v>7322</v>
      </c>
      <c r="E2800" s="162" t="s">
        <v>7323</v>
      </c>
      <c r="F2800" s="162">
        <v>367</v>
      </c>
      <c r="G2800" s="162">
        <v>1</v>
      </c>
    </row>
    <row r="2801" spans="2:7" ht="28.8">
      <c r="B2801" s="162" t="s">
        <v>6742</v>
      </c>
      <c r="C2801" s="162" t="s">
        <v>7324</v>
      </c>
      <c r="D2801" s="162" t="s">
        <v>7325</v>
      </c>
      <c r="E2801" s="162" t="s">
        <v>7326</v>
      </c>
      <c r="F2801" s="162">
        <v>367</v>
      </c>
      <c r="G2801" s="162">
        <v>1</v>
      </c>
    </row>
    <row r="2802" spans="2:7" ht="28.8">
      <c r="B2802" s="162" t="s">
        <v>6742</v>
      </c>
      <c r="C2802" s="162" t="s">
        <v>7327</v>
      </c>
      <c r="D2802" s="162" t="s">
        <v>7328</v>
      </c>
      <c r="E2802" s="162" t="s">
        <v>7329</v>
      </c>
      <c r="F2802" s="162">
        <v>400</v>
      </c>
      <c r="G2802" s="162">
        <v>1</v>
      </c>
    </row>
    <row r="2803" spans="2:7" ht="28.8">
      <c r="B2803" s="162" t="s">
        <v>6742</v>
      </c>
      <c r="C2803" s="162" t="s">
        <v>7330</v>
      </c>
      <c r="D2803" s="162" t="s">
        <v>7331</v>
      </c>
      <c r="E2803" s="162" t="s">
        <v>7332</v>
      </c>
      <c r="F2803" s="162">
        <v>400</v>
      </c>
      <c r="G2803" s="162">
        <v>1</v>
      </c>
    </row>
    <row r="2804" spans="2:7" ht="28.8">
      <c r="B2804" s="162" t="s">
        <v>6742</v>
      </c>
      <c r="C2804" s="162" t="s">
        <v>7333</v>
      </c>
      <c r="D2804" s="162" t="s">
        <v>7334</v>
      </c>
      <c r="E2804" s="162" t="s">
        <v>7335</v>
      </c>
      <c r="F2804" s="162">
        <v>400</v>
      </c>
      <c r="G2804" s="162">
        <v>1</v>
      </c>
    </row>
    <row r="2805" spans="2:7" ht="28.8">
      <c r="B2805" s="162" t="s">
        <v>6742</v>
      </c>
      <c r="C2805" s="162" t="s">
        <v>7336</v>
      </c>
      <c r="D2805" s="162" t="s">
        <v>7337</v>
      </c>
      <c r="E2805" s="162" t="s">
        <v>7338</v>
      </c>
      <c r="F2805" s="162">
        <v>445</v>
      </c>
      <c r="G2805" s="162">
        <v>1</v>
      </c>
    </row>
    <row r="2806" spans="2:7" ht="28.8">
      <c r="B2806" s="162" t="s">
        <v>6742</v>
      </c>
      <c r="C2806" s="162" t="s">
        <v>7339</v>
      </c>
      <c r="D2806" s="162" t="s">
        <v>7340</v>
      </c>
      <c r="E2806" s="162" t="s">
        <v>7341</v>
      </c>
      <c r="F2806" s="162">
        <v>445</v>
      </c>
      <c r="G2806" s="162">
        <v>1</v>
      </c>
    </row>
    <row r="2807" spans="2:7" ht="28.8">
      <c r="B2807" s="162" t="s">
        <v>6742</v>
      </c>
      <c r="C2807" s="162" t="s">
        <v>7342</v>
      </c>
      <c r="D2807" s="162" t="s">
        <v>7343</v>
      </c>
      <c r="E2807" s="162" t="s">
        <v>7344</v>
      </c>
      <c r="F2807" s="162">
        <v>445</v>
      </c>
      <c r="G2807" s="162">
        <v>1</v>
      </c>
    </row>
    <row r="2808" spans="2:7" ht="28.8">
      <c r="B2808" s="162" t="s">
        <v>6742</v>
      </c>
      <c r="C2808" s="162" t="s">
        <v>7345</v>
      </c>
      <c r="D2808" s="162" t="s">
        <v>7346</v>
      </c>
      <c r="E2808" s="162" t="s">
        <v>7347</v>
      </c>
      <c r="F2808" s="162">
        <v>557</v>
      </c>
      <c r="G2808" s="162">
        <v>1</v>
      </c>
    </row>
    <row r="2809" spans="2:7" ht="28.8">
      <c r="B2809" s="162" t="s">
        <v>6742</v>
      </c>
      <c r="C2809" s="162" t="s">
        <v>7348</v>
      </c>
      <c r="D2809" s="162" t="s">
        <v>7349</v>
      </c>
      <c r="E2809" s="162" t="s">
        <v>7350</v>
      </c>
      <c r="F2809" s="162">
        <v>557</v>
      </c>
      <c r="G2809" s="162">
        <v>1</v>
      </c>
    </row>
    <row r="2810" spans="2:7" ht="28.8">
      <c r="B2810" s="162" t="s">
        <v>6742</v>
      </c>
      <c r="C2810" s="162" t="s">
        <v>7351</v>
      </c>
      <c r="D2810" s="162" t="s">
        <v>7352</v>
      </c>
      <c r="E2810" s="162" t="s">
        <v>7353</v>
      </c>
      <c r="F2810" s="162">
        <v>557</v>
      </c>
      <c r="G2810" s="162">
        <v>1</v>
      </c>
    </row>
    <row r="2811" spans="2:7" ht="28.8">
      <c r="B2811" s="162" t="s">
        <v>6742</v>
      </c>
      <c r="C2811" s="162" t="s">
        <v>7354</v>
      </c>
      <c r="D2811" s="162" t="s">
        <v>7355</v>
      </c>
      <c r="E2811" s="162" t="s">
        <v>7356</v>
      </c>
      <c r="F2811" s="162">
        <v>557</v>
      </c>
      <c r="G2811" s="162">
        <v>1</v>
      </c>
    </row>
    <row r="2812" spans="2:7" ht="28.8">
      <c r="B2812" s="162" t="s">
        <v>6742</v>
      </c>
      <c r="C2812" s="162" t="s">
        <v>7357</v>
      </c>
      <c r="D2812" s="162" t="s">
        <v>7358</v>
      </c>
      <c r="E2812" s="162" t="s">
        <v>7359</v>
      </c>
      <c r="F2812" s="162">
        <v>557</v>
      </c>
      <c r="G2812" s="162">
        <v>1</v>
      </c>
    </row>
    <row r="2813" spans="2:7" ht="28.8">
      <c r="B2813" s="162" t="s">
        <v>6742</v>
      </c>
      <c r="C2813" s="162" t="s">
        <v>7360</v>
      </c>
      <c r="D2813" s="162" t="s">
        <v>7361</v>
      </c>
      <c r="E2813" s="162" t="s">
        <v>7362</v>
      </c>
      <c r="F2813" s="162">
        <v>557</v>
      </c>
      <c r="G2813" s="162">
        <v>1</v>
      </c>
    </row>
    <row r="2814" spans="2:7">
      <c r="B2814" s="162" t="s">
        <v>6742</v>
      </c>
      <c r="C2814" s="162" t="s">
        <v>7363</v>
      </c>
      <c r="D2814" s="162" t="s">
        <v>7364</v>
      </c>
      <c r="E2814" s="162" t="s">
        <v>7365</v>
      </c>
      <c r="F2814" s="162">
        <v>278</v>
      </c>
      <c r="G2814" s="162">
        <v>1</v>
      </c>
    </row>
    <row r="2815" spans="2:7">
      <c r="B2815" s="162" t="s">
        <v>6742</v>
      </c>
      <c r="C2815" s="162" t="s">
        <v>7366</v>
      </c>
      <c r="D2815" s="162" t="s">
        <v>7367</v>
      </c>
      <c r="E2815" s="162" t="s">
        <v>7368</v>
      </c>
      <c r="F2815" s="162">
        <v>278</v>
      </c>
      <c r="G2815" s="162">
        <v>1</v>
      </c>
    </row>
    <row r="2816" spans="2:7">
      <c r="B2816" s="162" t="s">
        <v>6742</v>
      </c>
      <c r="C2816" s="162" t="s">
        <v>7369</v>
      </c>
      <c r="D2816" s="162" t="s">
        <v>7370</v>
      </c>
      <c r="E2816" s="162" t="s">
        <v>7371</v>
      </c>
      <c r="F2816" s="162">
        <v>278</v>
      </c>
      <c r="G2816" s="162">
        <v>1</v>
      </c>
    </row>
    <row r="2817" spans="2:7">
      <c r="B2817" s="162" t="s">
        <v>6742</v>
      </c>
      <c r="C2817" s="162" t="s">
        <v>7372</v>
      </c>
      <c r="D2817" s="162" t="s">
        <v>7373</v>
      </c>
      <c r="E2817" s="162" t="s">
        <v>7374</v>
      </c>
      <c r="F2817" s="162">
        <v>307</v>
      </c>
      <c r="G2817" s="162">
        <v>1</v>
      </c>
    </row>
    <row r="2818" spans="2:7">
      <c r="B2818" s="162" t="s">
        <v>6742</v>
      </c>
      <c r="C2818" s="162" t="s">
        <v>7375</v>
      </c>
      <c r="D2818" s="162" t="s">
        <v>7376</v>
      </c>
      <c r="E2818" s="162" t="s">
        <v>7377</v>
      </c>
      <c r="F2818" s="162">
        <v>307</v>
      </c>
      <c r="G2818" s="162">
        <v>1</v>
      </c>
    </row>
    <row r="2819" spans="2:7">
      <c r="B2819" s="162" t="s">
        <v>6742</v>
      </c>
      <c r="C2819" s="162" t="s">
        <v>7378</v>
      </c>
      <c r="D2819" s="162" t="s">
        <v>7379</v>
      </c>
      <c r="E2819" s="162" t="s">
        <v>7380</v>
      </c>
      <c r="F2819" s="162">
        <v>307</v>
      </c>
      <c r="G2819" s="162">
        <v>1</v>
      </c>
    </row>
    <row r="2820" spans="2:7">
      <c r="B2820" s="162" t="s">
        <v>6742</v>
      </c>
      <c r="C2820" s="162" t="s">
        <v>7381</v>
      </c>
      <c r="D2820" s="162" t="s">
        <v>7382</v>
      </c>
      <c r="E2820" s="162" t="s">
        <v>7383</v>
      </c>
      <c r="F2820" s="162">
        <v>367</v>
      </c>
      <c r="G2820" s="162">
        <v>1</v>
      </c>
    </row>
    <row r="2821" spans="2:7">
      <c r="B2821" s="162" t="s">
        <v>6742</v>
      </c>
      <c r="C2821" s="162" t="s">
        <v>7384</v>
      </c>
      <c r="D2821" s="162" t="s">
        <v>7385</v>
      </c>
      <c r="E2821" s="162" t="s">
        <v>7386</v>
      </c>
      <c r="F2821" s="162">
        <v>367</v>
      </c>
      <c r="G2821" s="162">
        <v>1</v>
      </c>
    </row>
    <row r="2822" spans="2:7">
      <c r="B2822" s="162" t="s">
        <v>6742</v>
      </c>
      <c r="C2822" s="162" t="s">
        <v>7387</v>
      </c>
      <c r="D2822" s="162" t="s">
        <v>7388</v>
      </c>
      <c r="E2822" s="162" t="s">
        <v>7389</v>
      </c>
      <c r="F2822" s="162">
        <v>367</v>
      </c>
      <c r="G2822" s="162">
        <v>1</v>
      </c>
    </row>
    <row r="2823" spans="2:7">
      <c r="B2823" s="162" t="s">
        <v>6742</v>
      </c>
      <c r="C2823" s="162" t="s">
        <v>7390</v>
      </c>
      <c r="D2823" s="162" t="s">
        <v>7391</v>
      </c>
      <c r="E2823" s="162" t="s">
        <v>7392</v>
      </c>
      <c r="F2823" s="162">
        <v>53.3</v>
      </c>
      <c r="G2823" s="162">
        <v>1</v>
      </c>
    </row>
    <row r="2824" spans="2:7">
      <c r="B2824" s="162" t="s">
        <v>6742</v>
      </c>
      <c r="C2824" s="162" t="s">
        <v>7393</v>
      </c>
      <c r="D2824" s="162" t="s">
        <v>7394</v>
      </c>
      <c r="E2824" s="162" t="s">
        <v>7395</v>
      </c>
      <c r="F2824" s="162">
        <v>53.3</v>
      </c>
      <c r="G2824" s="162">
        <v>1</v>
      </c>
    </row>
    <row r="2825" spans="2:7">
      <c r="B2825" s="162" t="s">
        <v>6742</v>
      </c>
      <c r="C2825" s="162" t="s">
        <v>7396</v>
      </c>
      <c r="D2825" s="162" t="s">
        <v>7397</v>
      </c>
      <c r="E2825" s="162" t="s">
        <v>7398</v>
      </c>
      <c r="F2825" s="162">
        <v>45.3</v>
      </c>
      <c r="G2825" s="162">
        <v>1</v>
      </c>
    </row>
    <row r="2826" spans="2:7" ht="28.8">
      <c r="B2826" s="162" t="s">
        <v>6742</v>
      </c>
      <c r="C2826" s="162" t="s">
        <v>7399</v>
      </c>
      <c r="D2826" s="162" t="s">
        <v>7400</v>
      </c>
      <c r="E2826" s="162" t="s">
        <v>7401</v>
      </c>
      <c r="F2826" s="162">
        <v>614</v>
      </c>
      <c r="G2826" s="162">
        <v>1</v>
      </c>
    </row>
    <row r="2827" spans="2:7" ht="28.8">
      <c r="B2827" s="162" t="s">
        <v>6742</v>
      </c>
      <c r="C2827" s="162" t="s">
        <v>7402</v>
      </c>
      <c r="D2827" s="162" t="s">
        <v>7403</v>
      </c>
      <c r="E2827" s="162" t="s">
        <v>7404</v>
      </c>
      <c r="F2827" s="162">
        <v>171</v>
      </c>
      <c r="G2827" s="162">
        <v>1</v>
      </c>
    </row>
    <row r="2828" spans="2:7" ht="28.8">
      <c r="B2828" s="162" t="s">
        <v>6742</v>
      </c>
      <c r="C2828" s="162" t="s">
        <v>7405</v>
      </c>
      <c r="D2828" s="162" t="s">
        <v>7406</v>
      </c>
      <c r="E2828" s="162" t="s">
        <v>7407</v>
      </c>
      <c r="F2828" s="162">
        <v>307</v>
      </c>
      <c r="G2828" s="162">
        <v>1</v>
      </c>
    </row>
    <row r="2829" spans="2:7">
      <c r="B2829" s="162" t="s">
        <v>6742</v>
      </c>
      <c r="C2829" s="162" t="s">
        <v>7408</v>
      </c>
      <c r="D2829" s="162" t="s">
        <v>7409</v>
      </c>
      <c r="E2829" s="162" t="s">
        <v>7410</v>
      </c>
      <c r="F2829" s="162">
        <v>368</v>
      </c>
      <c r="G2829" s="162">
        <v>1</v>
      </c>
    </row>
    <row r="2830" spans="2:7">
      <c r="B2830" s="162" t="s">
        <v>6742</v>
      </c>
      <c r="C2830" s="162" t="s">
        <v>7411</v>
      </c>
      <c r="D2830" s="162" t="s">
        <v>7412</v>
      </c>
      <c r="E2830" s="162" t="s">
        <v>7413</v>
      </c>
      <c r="F2830" s="162">
        <v>160</v>
      </c>
      <c r="G2830" s="162">
        <v>1</v>
      </c>
    </row>
    <row r="2831" spans="2:7">
      <c r="B2831" s="162" t="s">
        <v>6742</v>
      </c>
      <c r="C2831" s="162" t="s">
        <v>7414</v>
      </c>
      <c r="D2831" s="162" t="s">
        <v>7415</v>
      </c>
      <c r="E2831" s="162" t="s">
        <v>7416</v>
      </c>
      <c r="F2831" s="162">
        <v>60.7</v>
      </c>
      <c r="G2831" s="162">
        <v>1</v>
      </c>
    </row>
    <row r="2832" spans="2:7">
      <c r="B2832" s="162" t="s">
        <v>6742</v>
      </c>
      <c r="C2832" s="162" t="s">
        <v>7417</v>
      </c>
      <c r="D2832" s="162" t="s">
        <v>7418</v>
      </c>
      <c r="E2832" s="162" t="s">
        <v>7419</v>
      </c>
      <c r="F2832" s="162">
        <v>47.8</v>
      </c>
      <c r="G2832" s="162">
        <v>1</v>
      </c>
    </row>
    <row r="2833" spans="2:7">
      <c r="B2833" s="162" t="s">
        <v>6742</v>
      </c>
      <c r="C2833" s="162" t="s">
        <v>7420</v>
      </c>
      <c r="D2833" s="162" t="s">
        <v>7421</v>
      </c>
      <c r="E2833" s="162" t="s">
        <v>7422</v>
      </c>
      <c r="F2833" s="162">
        <v>60.7</v>
      </c>
      <c r="G2833" s="162">
        <v>1</v>
      </c>
    </row>
    <row r="2834" spans="2:7">
      <c r="B2834" s="162" t="s">
        <v>6742</v>
      </c>
      <c r="C2834" s="162" t="s">
        <v>7423</v>
      </c>
      <c r="D2834" s="162" t="s">
        <v>7424</v>
      </c>
      <c r="E2834" s="162" t="s">
        <v>7425</v>
      </c>
      <c r="F2834" s="162">
        <v>118</v>
      </c>
      <c r="G2834" s="162">
        <v>1</v>
      </c>
    </row>
    <row r="2835" spans="2:7">
      <c r="B2835" s="162" t="s">
        <v>6742</v>
      </c>
      <c r="C2835" s="162" t="s">
        <v>7426</v>
      </c>
      <c r="D2835" s="162" t="s">
        <v>7427</v>
      </c>
      <c r="E2835" s="162" t="s">
        <v>7428</v>
      </c>
      <c r="F2835" s="162">
        <v>309</v>
      </c>
      <c r="G2835" s="162">
        <v>1</v>
      </c>
    </row>
    <row r="2836" spans="2:7">
      <c r="B2836" s="162" t="s">
        <v>6742</v>
      </c>
      <c r="C2836" s="162" t="s">
        <v>7429</v>
      </c>
      <c r="D2836" s="162" t="s">
        <v>7430</v>
      </c>
      <c r="E2836" s="162" t="s">
        <v>7431</v>
      </c>
      <c r="F2836" s="162">
        <v>461</v>
      </c>
      <c r="G2836" s="162">
        <v>1</v>
      </c>
    </row>
    <row r="2837" spans="2:7">
      <c r="B2837" s="162" t="s">
        <v>6742</v>
      </c>
      <c r="C2837" s="162" t="s">
        <v>7432</v>
      </c>
      <c r="D2837" s="162" t="s">
        <v>7433</v>
      </c>
      <c r="E2837" s="162" t="s">
        <v>7434</v>
      </c>
      <c r="F2837" s="162">
        <v>615</v>
      </c>
      <c r="G2837" s="162">
        <v>1</v>
      </c>
    </row>
    <row r="2838" spans="2:7">
      <c r="B2838" s="162" t="s">
        <v>6742</v>
      </c>
      <c r="C2838" s="162" t="s">
        <v>7435</v>
      </c>
      <c r="D2838" s="162" t="s">
        <v>7436</v>
      </c>
      <c r="E2838" s="162" t="s">
        <v>7437</v>
      </c>
      <c r="F2838" s="162">
        <v>25.4</v>
      </c>
      <c r="G2838" s="162">
        <v>1</v>
      </c>
    </row>
    <row r="2839" spans="2:7">
      <c r="B2839" s="162" t="s">
        <v>6742</v>
      </c>
      <c r="C2839" s="162" t="s">
        <v>7438</v>
      </c>
      <c r="D2839" s="162" t="s">
        <v>7439</v>
      </c>
      <c r="E2839" s="162" t="s">
        <v>7440</v>
      </c>
      <c r="F2839" s="162">
        <v>160</v>
      </c>
      <c r="G2839" s="162">
        <v>1</v>
      </c>
    </row>
    <row r="2840" spans="2:7">
      <c r="B2840" s="162" t="s">
        <v>6742</v>
      </c>
      <c r="C2840" s="162" t="s">
        <v>7441</v>
      </c>
      <c r="D2840" s="162" t="s">
        <v>7442</v>
      </c>
      <c r="E2840" s="162" t="s">
        <v>7443</v>
      </c>
      <c r="F2840" s="162">
        <v>160</v>
      </c>
      <c r="G2840" s="162">
        <v>1</v>
      </c>
    </row>
    <row r="2841" spans="2:7">
      <c r="B2841" s="162" t="s">
        <v>6742</v>
      </c>
      <c r="C2841" s="162" t="s">
        <v>7444</v>
      </c>
      <c r="D2841" s="162" t="s">
        <v>7445</v>
      </c>
      <c r="E2841" s="162" t="s">
        <v>7446</v>
      </c>
      <c r="F2841" s="162">
        <v>160</v>
      </c>
      <c r="G2841" s="162">
        <v>1</v>
      </c>
    </row>
    <row r="2842" spans="2:7" ht="43.2">
      <c r="B2842" s="162" t="s">
        <v>6742</v>
      </c>
      <c r="C2842" s="162" t="s">
        <v>7447</v>
      </c>
      <c r="D2842" s="162" t="s">
        <v>7448</v>
      </c>
      <c r="E2842" s="162" t="s">
        <v>7449</v>
      </c>
      <c r="F2842" s="162">
        <v>69.5</v>
      </c>
      <c r="G2842" s="162">
        <v>1</v>
      </c>
    </row>
    <row r="2843" spans="2:7">
      <c r="B2843" s="162" t="s">
        <v>6742</v>
      </c>
      <c r="C2843" s="162" t="s">
        <v>7450</v>
      </c>
      <c r="D2843" s="162" t="s">
        <v>7451</v>
      </c>
      <c r="E2843" s="162" t="s">
        <v>7452</v>
      </c>
      <c r="F2843" s="162">
        <v>77.900000000000006</v>
      </c>
      <c r="G2843" s="162">
        <v>1</v>
      </c>
    </row>
    <row r="2844" spans="2:7" ht="43.2">
      <c r="B2844" s="162" t="s">
        <v>6742</v>
      </c>
      <c r="C2844" s="162" t="s">
        <v>7453</v>
      </c>
      <c r="D2844" s="162" t="s">
        <v>7454</v>
      </c>
      <c r="E2844" s="162" t="s">
        <v>7455</v>
      </c>
      <c r="F2844" s="162">
        <v>180</v>
      </c>
      <c r="G2844" s="162">
        <v>1</v>
      </c>
    </row>
    <row r="2845" spans="2:7" ht="43.2">
      <c r="B2845" s="162" t="s">
        <v>6742</v>
      </c>
      <c r="C2845" s="162" t="s">
        <v>7456</v>
      </c>
      <c r="D2845" s="162" t="s">
        <v>7457</v>
      </c>
      <c r="E2845" s="162" t="s">
        <v>7458</v>
      </c>
      <c r="F2845" s="162">
        <v>302</v>
      </c>
      <c r="G2845" s="162">
        <v>1</v>
      </c>
    </row>
    <row r="2846" spans="2:7" ht="28.8">
      <c r="B2846" s="162" t="s">
        <v>6742</v>
      </c>
      <c r="C2846" s="162" t="s">
        <v>7459</v>
      </c>
      <c r="D2846" s="162" t="s">
        <v>7460</v>
      </c>
      <c r="E2846" s="162" t="s">
        <v>7461</v>
      </c>
      <c r="F2846" s="162">
        <v>312</v>
      </c>
      <c r="G2846" s="162">
        <v>1</v>
      </c>
    </row>
    <row r="2847" spans="2:7" ht="28.8">
      <c r="B2847" s="162" t="s">
        <v>6742</v>
      </c>
      <c r="C2847" s="162" t="s">
        <v>7462</v>
      </c>
      <c r="D2847" s="162" t="s">
        <v>7463</v>
      </c>
      <c r="E2847" s="162" t="s">
        <v>7464</v>
      </c>
      <c r="F2847" s="162">
        <v>312</v>
      </c>
      <c r="G2847" s="162">
        <v>1</v>
      </c>
    </row>
    <row r="2848" spans="2:7" ht="43.2">
      <c r="B2848" s="162" t="s">
        <v>6742</v>
      </c>
      <c r="C2848" s="162" t="s">
        <v>6995</v>
      </c>
      <c r="D2848" s="162" t="s">
        <v>6996</v>
      </c>
      <c r="E2848" s="162" t="s">
        <v>6997</v>
      </c>
      <c r="F2848" s="162">
        <v>274</v>
      </c>
      <c r="G2848" s="162">
        <v>1</v>
      </c>
    </row>
    <row r="2849" spans="2:7" ht="43.2">
      <c r="B2849" s="162" t="s">
        <v>6742</v>
      </c>
      <c r="C2849" s="162" t="s">
        <v>7465</v>
      </c>
      <c r="D2849" s="162" t="s">
        <v>7466</v>
      </c>
      <c r="E2849" s="162" t="s">
        <v>7467</v>
      </c>
      <c r="F2849" s="162">
        <v>458</v>
      </c>
      <c r="G2849" s="162">
        <v>1</v>
      </c>
    </row>
    <row r="2850" spans="2:7" ht="43.2">
      <c r="B2850" s="162" t="s">
        <v>6742</v>
      </c>
      <c r="C2850" s="162" t="s">
        <v>7468</v>
      </c>
      <c r="D2850" s="162" t="s">
        <v>7469</v>
      </c>
      <c r="E2850" s="162" t="s">
        <v>7470</v>
      </c>
      <c r="F2850" s="162">
        <v>458</v>
      </c>
      <c r="G2850" s="162">
        <v>1</v>
      </c>
    </row>
    <row r="2851" spans="2:7" ht="43.2">
      <c r="B2851" s="162" t="s">
        <v>6742</v>
      </c>
      <c r="C2851" s="162" t="s">
        <v>7471</v>
      </c>
      <c r="D2851" s="162" t="s">
        <v>7472</v>
      </c>
      <c r="E2851" s="162" t="s">
        <v>7473</v>
      </c>
      <c r="F2851" s="162">
        <v>458</v>
      </c>
      <c r="G2851" s="162">
        <v>1</v>
      </c>
    </row>
    <row r="2852" spans="2:7">
      <c r="B2852" s="162" t="s">
        <v>6742</v>
      </c>
      <c r="C2852" s="162" t="s">
        <v>7474</v>
      </c>
      <c r="D2852" s="162" t="s">
        <v>7475</v>
      </c>
      <c r="E2852" s="162" t="s">
        <v>7476</v>
      </c>
      <c r="F2852" s="162">
        <v>21.3</v>
      </c>
      <c r="G2852" s="162">
        <v>1</v>
      </c>
    </row>
    <row r="2853" spans="2:7">
      <c r="B2853" s="162" t="s">
        <v>6742</v>
      </c>
      <c r="C2853" s="162" t="s">
        <v>7477</v>
      </c>
      <c r="D2853" s="162" t="s">
        <v>7478</v>
      </c>
      <c r="E2853" s="162" t="s">
        <v>7479</v>
      </c>
      <c r="F2853" s="162">
        <v>21.3</v>
      </c>
      <c r="G2853" s="162">
        <v>1</v>
      </c>
    </row>
    <row r="2854" spans="2:7" ht="43.2">
      <c r="B2854" s="162" t="s">
        <v>6742</v>
      </c>
      <c r="C2854" s="162" t="s">
        <v>7480</v>
      </c>
      <c r="D2854" s="162" t="s">
        <v>7481</v>
      </c>
      <c r="E2854" s="162" t="s">
        <v>7482</v>
      </c>
      <c r="F2854" s="162">
        <v>176</v>
      </c>
      <c r="G2854" s="162">
        <v>1</v>
      </c>
    </row>
    <row r="2855" spans="2:7">
      <c r="B2855" s="162" t="s">
        <v>6742</v>
      </c>
      <c r="C2855" s="162" t="s">
        <v>7483</v>
      </c>
      <c r="D2855" s="162" t="s">
        <v>7484</v>
      </c>
      <c r="E2855" s="162" t="s">
        <v>7485</v>
      </c>
      <c r="F2855" s="162">
        <v>101</v>
      </c>
      <c r="G2855" s="162">
        <v>1</v>
      </c>
    </row>
    <row r="2856" spans="2:7" ht="43.2">
      <c r="B2856" s="162" t="s">
        <v>6742</v>
      </c>
      <c r="C2856" s="162" t="s">
        <v>7486</v>
      </c>
      <c r="D2856" s="162" t="s">
        <v>7487</v>
      </c>
      <c r="E2856" s="162" t="s">
        <v>7488</v>
      </c>
      <c r="F2856" s="162">
        <v>242</v>
      </c>
      <c r="G2856" s="162">
        <v>1</v>
      </c>
    </row>
    <row r="2857" spans="2:7">
      <c r="B2857" s="162" t="s">
        <v>6742</v>
      </c>
      <c r="C2857" s="162" t="s">
        <v>7489</v>
      </c>
      <c r="D2857" s="162" t="s">
        <v>7490</v>
      </c>
      <c r="E2857" s="162" t="s">
        <v>7491</v>
      </c>
      <c r="F2857" s="162">
        <v>143</v>
      </c>
      <c r="G2857" s="162">
        <v>1</v>
      </c>
    </row>
    <row r="2858" spans="2:7">
      <c r="B2858" s="162" t="s">
        <v>6742</v>
      </c>
      <c r="C2858" s="162" t="s">
        <v>7492</v>
      </c>
      <c r="D2858" s="162" t="s">
        <v>7493</v>
      </c>
      <c r="E2858" s="162" t="s">
        <v>7494</v>
      </c>
      <c r="F2858" s="162">
        <v>177</v>
      </c>
      <c r="G2858" s="162">
        <v>1</v>
      </c>
    </row>
    <row r="2859" spans="2:7">
      <c r="B2859" s="162" t="s">
        <v>6742</v>
      </c>
      <c r="C2859" s="162" t="s">
        <v>7495</v>
      </c>
      <c r="D2859" s="162" t="s">
        <v>7496</v>
      </c>
      <c r="E2859" s="162" t="s">
        <v>7497</v>
      </c>
      <c r="F2859" s="162">
        <v>222</v>
      </c>
      <c r="G2859" s="162">
        <v>1</v>
      </c>
    </row>
    <row r="2860" spans="2:7">
      <c r="B2860" s="162" t="s">
        <v>6742</v>
      </c>
      <c r="C2860" s="162" t="s">
        <v>7498</v>
      </c>
      <c r="D2860" s="162" t="s">
        <v>7499</v>
      </c>
      <c r="E2860" s="162" t="s">
        <v>7500</v>
      </c>
      <c r="F2860" s="162">
        <v>333</v>
      </c>
      <c r="G2860" s="162">
        <v>1</v>
      </c>
    </row>
    <row r="2861" spans="2:7">
      <c r="B2861" s="162" t="s">
        <v>6742</v>
      </c>
      <c r="C2861" s="162" t="s">
        <v>7501</v>
      </c>
      <c r="D2861" s="162" t="s">
        <v>7502</v>
      </c>
      <c r="E2861" s="162" t="s">
        <v>7503</v>
      </c>
      <c r="F2861" s="162">
        <v>333</v>
      </c>
      <c r="G2861" s="162">
        <v>1</v>
      </c>
    </row>
    <row r="2862" spans="2:7">
      <c r="B2862" s="162" t="s">
        <v>6742</v>
      </c>
      <c r="C2862" s="162" t="s">
        <v>7504</v>
      </c>
      <c r="D2862" s="162" t="s">
        <v>7505</v>
      </c>
      <c r="E2862" s="162" t="s">
        <v>7506</v>
      </c>
      <c r="F2862" s="162">
        <v>101</v>
      </c>
      <c r="G2862" s="162">
        <v>1</v>
      </c>
    </row>
    <row r="2863" spans="2:7" ht="43.2">
      <c r="B2863" s="162" t="s">
        <v>6742</v>
      </c>
      <c r="C2863" s="162" t="s">
        <v>7507</v>
      </c>
      <c r="D2863" s="162" t="s">
        <v>7508</v>
      </c>
      <c r="E2863" s="162" t="s">
        <v>7509</v>
      </c>
      <c r="F2863" s="162">
        <v>336</v>
      </c>
      <c r="G2863" s="162">
        <v>1</v>
      </c>
    </row>
    <row r="2864" spans="2:7" ht="28.8">
      <c r="B2864" s="162" t="s">
        <v>6742</v>
      </c>
      <c r="C2864" s="162" t="s">
        <v>7510</v>
      </c>
      <c r="D2864" s="162" t="s">
        <v>7511</v>
      </c>
      <c r="E2864" s="162" t="s">
        <v>7512</v>
      </c>
      <c r="F2864" s="162">
        <v>215</v>
      </c>
      <c r="G2864" s="162">
        <v>1</v>
      </c>
    </row>
    <row r="2865" spans="2:7">
      <c r="B2865" s="162" t="s">
        <v>6742</v>
      </c>
      <c r="C2865" s="162" t="s">
        <v>7513</v>
      </c>
      <c r="D2865" s="162" t="s">
        <v>7514</v>
      </c>
      <c r="E2865" s="162" t="s">
        <v>7515</v>
      </c>
      <c r="F2865" s="162">
        <v>71.7</v>
      </c>
      <c r="G2865" s="162">
        <v>1</v>
      </c>
    </row>
    <row r="2866" spans="2:7">
      <c r="B2866" s="162" t="s">
        <v>6742</v>
      </c>
      <c r="C2866" s="162" t="s">
        <v>7516</v>
      </c>
      <c r="D2866" s="162" t="s">
        <v>7517</v>
      </c>
      <c r="E2866" s="162" t="s">
        <v>7518</v>
      </c>
      <c r="F2866" s="162">
        <v>71.7</v>
      </c>
      <c r="G2866" s="162">
        <v>1</v>
      </c>
    </row>
    <row r="2867" spans="2:7">
      <c r="B2867" s="162" t="s">
        <v>6742</v>
      </c>
      <c r="C2867" s="162" t="s">
        <v>7519</v>
      </c>
      <c r="D2867" s="162" t="s">
        <v>7520</v>
      </c>
      <c r="E2867" s="162" t="s">
        <v>7521</v>
      </c>
      <c r="F2867" s="162">
        <v>37.299999999999997</v>
      </c>
      <c r="G2867" s="162">
        <v>1</v>
      </c>
    </row>
    <row r="2868" spans="2:7">
      <c r="B2868" s="162" t="s">
        <v>6742</v>
      </c>
      <c r="C2868" s="162" t="s">
        <v>7522</v>
      </c>
      <c r="D2868" s="162" t="s">
        <v>7523</v>
      </c>
      <c r="E2868" s="162" t="s">
        <v>7524</v>
      </c>
      <c r="F2868" s="162">
        <v>53.3</v>
      </c>
      <c r="G2868" s="162">
        <v>1</v>
      </c>
    </row>
    <row r="2869" spans="2:7">
      <c r="B2869" s="162" t="s">
        <v>6742</v>
      </c>
      <c r="C2869" s="162" t="s">
        <v>7396</v>
      </c>
      <c r="D2869" s="162" t="s">
        <v>7397</v>
      </c>
      <c r="E2869" s="162" t="s">
        <v>7398</v>
      </c>
      <c r="F2869" s="162">
        <v>45.3</v>
      </c>
      <c r="G2869" s="162">
        <v>1</v>
      </c>
    </row>
    <row r="2870" spans="2:7">
      <c r="B2870" s="162" t="s">
        <v>6742</v>
      </c>
      <c r="C2870" s="162" t="s">
        <v>7525</v>
      </c>
      <c r="D2870" s="162" t="s">
        <v>7526</v>
      </c>
      <c r="E2870" s="162" t="s">
        <v>7527</v>
      </c>
      <c r="F2870" s="162">
        <v>47.8</v>
      </c>
      <c r="G2870" s="162">
        <v>1</v>
      </c>
    </row>
    <row r="2871" spans="2:7">
      <c r="B2871" s="162" t="s">
        <v>6742</v>
      </c>
      <c r="C2871" s="162" t="s">
        <v>7528</v>
      </c>
      <c r="D2871" s="162" t="s">
        <v>7529</v>
      </c>
      <c r="E2871" s="162" t="s">
        <v>7530</v>
      </c>
      <c r="F2871" s="162">
        <v>11.87</v>
      </c>
      <c r="G2871" s="162">
        <v>1</v>
      </c>
    </row>
    <row r="2872" spans="2:7" ht="28.8">
      <c r="B2872" s="162" t="s">
        <v>6742</v>
      </c>
      <c r="C2872" s="162" t="s">
        <v>7531</v>
      </c>
      <c r="D2872" s="162" t="s">
        <v>7532</v>
      </c>
      <c r="E2872" s="162" t="s">
        <v>7533</v>
      </c>
      <c r="F2872" s="162">
        <v>13.05</v>
      </c>
      <c r="G2872" s="162">
        <v>1</v>
      </c>
    </row>
    <row r="2873" spans="2:7" ht="28.8">
      <c r="B2873" s="162" t="s">
        <v>6742</v>
      </c>
      <c r="C2873" s="162" t="s">
        <v>7534</v>
      </c>
      <c r="D2873" s="162" t="s">
        <v>7535</v>
      </c>
      <c r="E2873" s="162" t="s">
        <v>7536</v>
      </c>
      <c r="F2873" s="162">
        <v>13.05</v>
      </c>
      <c r="G2873" s="162">
        <v>1</v>
      </c>
    </row>
    <row r="2874" spans="2:7">
      <c r="B2874" s="162" t="s">
        <v>6742</v>
      </c>
      <c r="C2874" s="162" t="s">
        <v>7537</v>
      </c>
      <c r="D2874" s="162" t="s">
        <v>7538</v>
      </c>
      <c r="E2874" s="162" t="s">
        <v>7539</v>
      </c>
      <c r="F2874" s="162">
        <v>16.61</v>
      </c>
      <c r="G2874" s="162">
        <v>1</v>
      </c>
    </row>
    <row r="2875" spans="2:7" ht="28.8">
      <c r="B2875" s="162" t="s">
        <v>6742</v>
      </c>
      <c r="C2875" s="162" t="s">
        <v>7540</v>
      </c>
      <c r="D2875" s="162" t="s">
        <v>7541</v>
      </c>
      <c r="E2875" s="162" t="s">
        <v>7542</v>
      </c>
      <c r="F2875" s="162">
        <v>89.4</v>
      </c>
      <c r="G2875" s="162">
        <v>1</v>
      </c>
    </row>
    <row r="2876" spans="2:7" ht="57.6">
      <c r="B2876" s="162" t="s">
        <v>6742</v>
      </c>
      <c r="C2876" s="162" t="s">
        <v>7543</v>
      </c>
      <c r="D2876" s="162" t="s">
        <v>7544</v>
      </c>
      <c r="E2876" s="162" t="s">
        <v>7545</v>
      </c>
      <c r="F2876" s="162">
        <v>497</v>
      </c>
      <c r="G2876" s="162">
        <v>1</v>
      </c>
    </row>
    <row r="2877" spans="2:7">
      <c r="B2877" s="162" t="s">
        <v>6742</v>
      </c>
      <c r="C2877" s="162" t="s">
        <v>7546</v>
      </c>
      <c r="D2877" s="162" t="s">
        <v>7547</v>
      </c>
      <c r="E2877" s="162" t="s">
        <v>7548</v>
      </c>
      <c r="F2877" s="162">
        <v>56.3</v>
      </c>
      <c r="G2877" s="162">
        <v>1</v>
      </c>
    </row>
    <row r="2878" spans="2:7" ht="28.8">
      <c r="B2878" s="162" t="s">
        <v>6742</v>
      </c>
      <c r="C2878" s="162" t="s">
        <v>7549</v>
      </c>
      <c r="D2878" s="162" t="s">
        <v>7550</v>
      </c>
      <c r="E2878" s="162" t="s">
        <v>7551</v>
      </c>
      <c r="F2878" s="162">
        <v>58.5</v>
      </c>
      <c r="G2878" s="162">
        <v>1</v>
      </c>
    </row>
    <row r="2879" spans="2:7" ht="28.8">
      <c r="B2879" s="162" t="s">
        <v>6742</v>
      </c>
      <c r="C2879" s="162" t="s">
        <v>7151</v>
      </c>
      <c r="D2879" s="162" t="s">
        <v>7152</v>
      </c>
      <c r="E2879" s="162" t="s">
        <v>7153</v>
      </c>
      <c r="F2879" s="162">
        <v>23.7</v>
      </c>
      <c r="G2879" s="162">
        <v>1</v>
      </c>
    </row>
    <row r="2880" spans="2:7">
      <c r="B2880" s="162" t="s">
        <v>6742</v>
      </c>
      <c r="C2880" s="162" t="s">
        <v>7552</v>
      </c>
      <c r="D2880" s="162" t="s">
        <v>7553</v>
      </c>
      <c r="E2880" s="162" t="s">
        <v>7554</v>
      </c>
      <c r="F2880" s="162">
        <v>23.7</v>
      </c>
      <c r="G2880" s="162">
        <v>1</v>
      </c>
    </row>
    <row r="2881" spans="2:7">
      <c r="B2881" s="162" t="s">
        <v>6742</v>
      </c>
      <c r="C2881" s="162" t="s">
        <v>7555</v>
      </c>
      <c r="D2881" s="162" t="s">
        <v>7556</v>
      </c>
      <c r="E2881" s="162" t="s">
        <v>7557</v>
      </c>
      <c r="F2881" s="162">
        <v>16.61</v>
      </c>
      <c r="G2881" s="162">
        <v>1</v>
      </c>
    </row>
    <row r="2882" spans="2:7">
      <c r="B2882" s="162" t="s">
        <v>6742</v>
      </c>
      <c r="C2882" s="162" t="s">
        <v>7558</v>
      </c>
      <c r="D2882" s="162" t="s">
        <v>7559</v>
      </c>
      <c r="E2882" s="162" t="s">
        <v>7560</v>
      </c>
      <c r="F2882" s="162">
        <v>35.6</v>
      </c>
      <c r="G2882" s="162">
        <v>1</v>
      </c>
    </row>
    <row r="2883" spans="2:7">
      <c r="B2883" s="162" t="s">
        <v>6742</v>
      </c>
      <c r="C2883" s="162" t="s">
        <v>7561</v>
      </c>
      <c r="D2883" s="162" t="s">
        <v>7562</v>
      </c>
      <c r="E2883" s="162" t="s">
        <v>7563</v>
      </c>
      <c r="F2883" s="162">
        <v>245</v>
      </c>
      <c r="G2883" s="162">
        <v>1</v>
      </c>
    </row>
    <row r="2884" spans="2:7" ht="28.8">
      <c r="B2884" s="162" t="s">
        <v>6742</v>
      </c>
      <c r="C2884" s="162" t="s">
        <v>7564</v>
      </c>
      <c r="D2884" s="162" t="s">
        <v>7565</v>
      </c>
      <c r="E2884" s="162" t="s">
        <v>7566</v>
      </c>
      <c r="F2884" s="162">
        <v>10.68</v>
      </c>
      <c r="G2884" s="162">
        <v>1</v>
      </c>
    </row>
    <row r="2885" spans="2:7" ht="28.8">
      <c r="B2885" s="162" t="s">
        <v>6742</v>
      </c>
      <c r="C2885" s="162" t="s">
        <v>7567</v>
      </c>
      <c r="D2885" s="162" t="s">
        <v>7568</v>
      </c>
      <c r="E2885" s="162" t="s">
        <v>7569</v>
      </c>
      <c r="F2885" s="162">
        <v>17.809999999999999</v>
      </c>
      <c r="G2885" s="162">
        <v>1</v>
      </c>
    </row>
    <row r="2886" spans="2:7" ht="28.8">
      <c r="B2886" s="162" t="s">
        <v>6742</v>
      </c>
      <c r="C2886" s="162" t="s">
        <v>7570</v>
      </c>
      <c r="D2886" s="162" t="s">
        <v>7571</v>
      </c>
      <c r="E2886" s="162" t="s">
        <v>7572</v>
      </c>
      <c r="F2886" s="162">
        <v>16.61</v>
      </c>
      <c r="G2886" s="162">
        <v>1</v>
      </c>
    </row>
    <row r="2887" spans="2:7" ht="28.8">
      <c r="B2887" s="162" t="s">
        <v>6742</v>
      </c>
      <c r="C2887" s="162" t="s">
        <v>7573</v>
      </c>
      <c r="D2887" s="162" t="s">
        <v>7574</v>
      </c>
      <c r="E2887" s="162" t="s">
        <v>7575</v>
      </c>
      <c r="F2887" s="162">
        <v>20.2</v>
      </c>
      <c r="G2887" s="162">
        <v>1</v>
      </c>
    </row>
    <row r="2888" spans="2:7" ht="28.8">
      <c r="B2888" s="162" t="s">
        <v>6742</v>
      </c>
      <c r="C2888" s="162" t="s">
        <v>7576</v>
      </c>
      <c r="D2888" s="162" t="s">
        <v>7577</v>
      </c>
      <c r="E2888" s="162" t="s">
        <v>7578</v>
      </c>
      <c r="F2888" s="162">
        <v>17.809999999999999</v>
      </c>
      <c r="G2888" s="162">
        <v>1</v>
      </c>
    </row>
    <row r="2889" spans="2:7">
      <c r="B2889" s="162" t="s">
        <v>6742</v>
      </c>
      <c r="C2889" s="162" t="s">
        <v>7579</v>
      </c>
      <c r="D2889" s="162" t="s">
        <v>7580</v>
      </c>
      <c r="E2889" s="162" t="s">
        <v>7581</v>
      </c>
      <c r="F2889" s="162">
        <v>16.61</v>
      </c>
      <c r="G2889" s="162">
        <v>1</v>
      </c>
    </row>
    <row r="2890" spans="2:7" ht="28.8">
      <c r="B2890" s="162" t="s">
        <v>6742</v>
      </c>
      <c r="C2890" s="162" t="s">
        <v>7582</v>
      </c>
      <c r="D2890" s="162" t="s">
        <v>7583</v>
      </c>
      <c r="E2890" s="162" t="s">
        <v>7584</v>
      </c>
      <c r="F2890" s="162">
        <v>17.809999999999999</v>
      </c>
      <c r="G2890" s="162">
        <v>1</v>
      </c>
    </row>
    <row r="2891" spans="2:7" ht="28.8">
      <c r="B2891" s="162" t="s">
        <v>6742</v>
      </c>
      <c r="C2891" s="162" t="s">
        <v>7585</v>
      </c>
      <c r="D2891" s="162" t="s">
        <v>7586</v>
      </c>
      <c r="E2891" s="162" t="s">
        <v>7587</v>
      </c>
      <c r="F2891" s="162">
        <v>17.809999999999999</v>
      </c>
      <c r="G2891" s="162">
        <v>1</v>
      </c>
    </row>
    <row r="2892" spans="2:7" ht="28.8">
      <c r="B2892" s="162" t="s">
        <v>6742</v>
      </c>
      <c r="C2892" s="162" t="s">
        <v>7588</v>
      </c>
      <c r="D2892" s="162" t="s">
        <v>7589</v>
      </c>
      <c r="E2892" s="162" t="s">
        <v>7590</v>
      </c>
      <c r="F2892" s="162">
        <v>17.809999999999999</v>
      </c>
      <c r="G2892" s="162">
        <v>1</v>
      </c>
    </row>
    <row r="2893" spans="2:7">
      <c r="B2893" s="162" t="s">
        <v>6742</v>
      </c>
      <c r="C2893" s="162" t="s">
        <v>7474</v>
      </c>
      <c r="D2893" s="162" t="s">
        <v>7475</v>
      </c>
      <c r="E2893" s="162" t="s">
        <v>7476</v>
      </c>
      <c r="F2893" s="162">
        <v>21.3</v>
      </c>
      <c r="G2893" s="162">
        <v>1</v>
      </c>
    </row>
    <row r="2894" spans="2:7">
      <c r="B2894" s="162" t="s">
        <v>6742</v>
      </c>
      <c r="C2894" s="162" t="s">
        <v>7477</v>
      </c>
      <c r="D2894" s="162" t="s">
        <v>7478</v>
      </c>
      <c r="E2894" s="162" t="s">
        <v>7479</v>
      </c>
      <c r="F2894" s="162">
        <v>21.3</v>
      </c>
      <c r="G2894" s="162">
        <v>1</v>
      </c>
    </row>
    <row r="2895" spans="2:7">
      <c r="B2895" s="162" t="s">
        <v>6742</v>
      </c>
      <c r="C2895" s="162" t="s">
        <v>7591</v>
      </c>
      <c r="D2895" s="162" t="s">
        <v>7592</v>
      </c>
      <c r="E2895" s="162" t="s">
        <v>7593</v>
      </c>
      <c r="F2895" s="162">
        <v>14.25</v>
      </c>
      <c r="G2895" s="162">
        <v>1</v>
      </c>
    </row>
    <row r="2896" spans="2:7">
      <c r="B2896" s="162" t="s">
        <v>6742</v>
      </c>
      <c r="C2896" s="162" t="s">
        <v>7594</v>
      </c>
      <c r="D2896" s="162" t="s">
        <v>7595</v>
      </c>
      <c r="E2896" s="162" t="s">
        <v>7596</v>
      </c>
      <c r="F2896" s="162">
        <v>26.1</v>
      </c>
      <c r="G2896" s="162">
        <v>1</v>
      </c>
    </row>
    <row r="2897" spans="2:7">
      <c r="B2897" s="162" t="s">
        <v>6742</v>
      </c>
      <c r="C2897" s="162" t="s">
        <v>7597</v>
      </c>
      <c r="D2897" s="162" t="s">
        <v>7598</v>
      </c>
      <c r="E2897" s="162" t="s">
        <v>7599</v>
      </c>
      <c r="F2897" s="162">
        <v>21.3</v>
      </c>
      <c r="G2897" s="162">
        <v>1</v>
      </c>
    </row>
    <row r="2898" spans="2:7">
      <c r="B2898" s="162" t="s">
        <v>6742</v>
      </c>
      <c r="C2898" s="162" t="s">
        <v>7600</v>
      </c>
      <c r="D2898" s="162" t="s">
        <v>7601</v>
      </c>
      <c r="E2898" s="162" t="s">
        <v>7602</v>
      </c>
      <c r="F2898" s="162">
        <v>14.25</v>
      </c>
      <c r="G2898" s="162">
        <v>1</v>
      </c>
    </row>
    <row r="2899" spans="2:7" ht="43.2">
      <c r="B2899" s="162" t="s">
        <v>6742</v>
      </c>
      <c r="C2899" s="162" t="s">
        <v>7160</v>
      </c>
      <c r="D2899" s="162" t="s">
        <v>7161</v>
      </c>
      <c r="E2899" s="162" t="s">
        <v>7162</v>
      </c>
      <c r="F2899" s="162">
        <v>78.3</v>
      </c>
      <c r="G2899" s="162">
        <v>1</v>
      </c>
    </row>
    <row r="2900" spans="2:7" ht="43.2">
      <c r="B2900" s="162" t="s">
        <v>6742</v>
      </c>
      <c r="C2900" s="162" t="s">
        <v>7603</v>
      </c>
      <c r="D2900" s="162" t="s">
        <v>7604</v>
      </c>
      <c r="E2900" s="162" t="s">
        <v>7605</v>
      </c>
      <c r="F2900" s="162">
        <v>17.809999999999999</v>
      </c>
      <c r="G2900" s="162">
        <v>1</v>
      </c>
    </row>
    <row r="2901" spans="2:7">
      <c r="B2901" s="162" t="s">
        <v>6742</v>
      </c>
      <c r="C2901" s="162" t="s">
        <v>7606</v>
      </c>
      <c r="D2901" s="162" t="s">
        <v>7607</v>
      </c>
      <c r="E2901" s="162" t="s">
        <v>7608</v>
      </c>
      <c r="F2901" s="162">
        <v>14.25</v>
      </c>
      <c r="G2901" s="162">
        <v>1</v>
      </c>
    </row>
    <row r="2902" spans="2:7">
      <c r="B2902" s="162" t="s">
        <v>6742</v>
      </c>
      <c r="C2902" s="162" t="s">
        <v>7609</v>
      </c>
      <c r="D2902" s="162" t="s">
        <v>7610</v>
      </c>
      <c r="E2902" s="162" t="s">
        <v>7611</v>
      </c>
      <c r="F2902" s="162">
        <v>14.25</v>
      </c>
      <c r="G2902" s="162">
        <v>1</v>
      </c>
    </row>
    <row r="2903" spans="2:7" ht="100.8">
      <c r="B2903" s="162" t="s">
        <v>6742</v>
      </c>
      <c r="C2903" s="162" t="s">
        <v>7612</v>
      </c>
      <c r="D2903" s="162" t="s">
        <v>7613</v>
      </c>
      <c r="E2903" s="162" t="s">
        <v>7614</v>
      </c>
      <c r="F2903" s="162">
        <v>1214</v>
      </c>
      <c r="G2903" s="162">
        <v>1</v>
      </c>
    </row>
    <row r="2904" spans="2:7" ht="100.8">
      <c r="B2904" s="162" t="s">
        <v>6742</v>
      </c>
      <c r="C2904" s="162" t="s">
        <v>7615</v>
      </c>
      <c r="D2904" s="162" t="s">
        <v>7613</v>
      </c>
      <c r="E2904" s="162" t="s">
        <v>7616</v>
      </c>
      <c r="F2904" s="162">
        <v>1214</v>
      </c>
      <c r="G2904" s="162">
        <v>1</v>
      </c>
    </row>
    <row r="2905" spans="2:7" ht="100.8">
      <c r="B2905" s="162" t="s">
        <v>6742</v>
      </c>
      <c r="C2905" s="162" t="s">
        <v>7617</v>
      </c>
      <c r="D2905" s="162" t="s">
        <v>7613</v>
      </c>
      <c r="E2905" s="162" t="s">
        <v>7618</v>
      </c>
      <c r="F2905" s="162">
        <v>1214</v>
      </c>
      <c r="G2905" s="162">
        <v>1</v>
      </c>
    </row>
    <row r="2906" spans="2:7" ht="100.8">
      <c r="B2906" s="162" t="s">
        <v>6742</v>
      </c>
      <c r="C2906" s="162" t="s">
        <v>7619</v>
      </c>
      <c r="D2906" s="162" t="s">
        <v>7613</v>
      </c>
      <c r="E2906" s="162" t="s">
        <v>7620</v>
      </c>
      <c r="F2906" s="162">
        <v>1214</v>
      </c>
      <c r="G2906" s="162">
        <v>1</v>
      </c>
    </row>
    <row r="2907" spans="2:7" ht="100.8">
      <c r="B2907" s="162" t="s">
        <v>6742</v>
      </c>
      <c r="C2907" s="162" t="s">
        <v>7621</v>
      </c>
      <c r="D2907" s="162" t="s">
        <v>7613</v>
      </c>
      <c r="E2907" s="162" t="s">
        <v>7622</v>
      </c>
      <c r="F2907" s="162">
        <v>1214</v>
      </c>
      <c r="G2907" s="162">
        <v>1</v>
      </c>
    </row>
    <row r="2908" spans="2:7" ht="100.8">
      <c r="B2908" s="162" t="s">
        <v>6742</v>
      </c>
      <c r="C2908" s="162" t="s">
        <v>7623</v>
      </c>
      <c r="D2908" s="162" t="s">
        <v>7613</v>
      </c>
      <c r="E2908" s="162" t="s">
        <v>7624</v>
      </c>
      <c r="F2908" s="162">
        <v>1214</v>
      </c>
      <c r="G2908" s="162">
        <v>1</v>
      </c>
    </row>
    <row r="2909" spans="2:7" ht="100.8">
      <c r="B2909" s="162" t="s">
        <v>6742</v>
      </c>
      <c r="C2909" s="162" t="s">
        <v>7625</v>
      </c>
      <c r="D2909" s="162" t="s">
        <v>7613</v>
      </c>
      <c r="E2909" s="162" t="s">
        <v>7626</v>
      </c>
      <c r="F2909" s="162">
        <v>1214</v>
      </c>
      <c r="G2909" s="162">
        <v>1</v>
      </c>
    </row>
    <row r="2910" spans="2:7" ht="100.8">
      <c r="B2910" s="162" t="s">
        <v>6742</v>
      </c>
      <c r="C2910" s="162" t="s">
        <v>7627</v>
      </c>
      <c r="D2910" s="162" t="s">
        <v>7613</v>
      </c>
      <c r="E2910" s="162" t="s">
        <v>7628</v>
      </c>
      <c r="F2910" s="162">
        <v>1214</v>
      </c>
      <c r="G2910" s="162">
        <v>1</v>
      </c>
    </row>
    <row r="2911" spans="2:7" ht="100.8">
      <c r="B2911" s="162" t="s">
        <v>6742</v>
      </c>
      <c r="C2911" s="162" t="s">
        <v>7629</v>
      </c>
      <c r="D2911" s="162" t="s">
        <v>7613</v>
      </c>
      <c r="E2911" s="162" t="s">
        <v>7630</v>
      </c>
      <c r="F2911" s="162">
        <v>1214</v>
      </c>
      <c r="G2911" s="162">
        <v>1</v>
      </c>
    </row>
    <row r="2912" spans="2:7" ht="100.8">
      <c r="B2912" s="162" t="s">
        <v>6742</v>
      </c>
      <c r="C2912" s="162" t="s">
        <v>7631</v>
      </c>
      <c r="D2912" s="162" t="s">
        <v>7613</v>
      </c>
      <c r="E2912" s="162" t="s">
        <v>7632</v>
      </c>
      <c r="F2912" s="162">
        <v>1214</v>
      </c>
      <c r="G2912" s="162">
        <v>1</v>
      </c>
    </row>
    <row r="2913" spans="2:7" ht="100.8">
      <c r="B2913" s="162" t="s">
        <v>6742</v>
      </c>
      <c r="C2913" s="162" t="s">
        <v>7633</v>
      </c>
      <c r="D2913" s="162" t="s">
        <v>7613</v>
      </c>
      <c r="E2913" s="162" t="s">
        <v>7634</v>
      </c>
      <c r="F2913" s="162">
        <v>1214</v>
      </c>
      <c r="G2913" s="162">
        <v>1</v>
      </c>
    </row>
    <row r="2914" spans="2:7" ht="100.8">
      <c r="B2914" s="162" t="s">
        <v>6742</v>
      </c>
      <c r="C2914" s="162" t="s">
        <v>7635</v>
      </c>
      <c r="D2914" s="162" t="s">
        <v>7613</v>
      </c>
      <c r="E2914" s="162" t="s">
        <v>7636</v>
      </c>
      <c r="F2914" s="162">
        <v>1214</v>
      </c>
      <c r="G2914" s="162">
        <v>1</v>
      </c>
    </row>
    <row r="2915" spans="2:7" ht="100.8">
      <c r="B2915" s="162" t="s">
        <v>6742</v>
      </c>
      <c r="C2915" s="162" t="s">
        <v>7637</v>
      </c>
      <c r="D2915" s="162" t="s">
        <v>7613</v>
      </c>
      <c r="E2915" s="162" t="s">
        <v>7638</v>
      </c>
      <c r="F2915" s="162">
        <v>1214</v>
      </c>
      <c r="G2915" s="162">
        <v>1</v>
      </c>
    </row>
    <row r="2916" spans="2:7" ht="100.8">
      <c r="B2916" s="162" t="s">
        <v>6742</v>
      </c>
      <c r="C2916" s="162" t="s">
        <v>7639</v>
      </c>
      <c r="D2916" s="162" t="s">
        <v>7613</v>
      </c>
      <c r="E2916" s="162" t="s">
        <v>7640</v>
      </c>
      <c r="F2916" s="162">
        <v>1214</v>
      </c>
      <c r="G2916" s="162">
        <v>1</v>
      </c>
    </row>
    <row r="2917" spans="2:7" ht="100.8">
      <c r="B2917" s="162" t="s">
        <v>6742</v>
      </c>
      <c r="C2917" s="162" t="s">
        <v>7641</v>
      </c>
      <c r="D2917" s="162" t="s">
        <v>7613</v>
      </c>
      <c r="E2917" s="162" t="s">
        <v>7642</v>
      </c>
      <c r="F2917" s="162">
        <v>1214</v>
      </c>
      <c r="G2917" s="162">
        <v>1</v>
      </c>
    </row>
    <row r="2918" spans="2:7" ht="100.8">
      <c r="B2918" s="162" t="s">
        <v>6742</v>
      </c>
      <c r="C2918" s="162" t="s">
        <v>7643</v>
      </c>
      <c r="D2918" s="162" t="s">
        <v>7613</v>
      </c>
      <c r="E2918" s="162" t="s">
        <v>7644</v>
      </c>
      <c r="F2918" s="162">
        <v>1214</v>
      </c>
      <c r="G2918" s="162">
        <v>1</v>
      </c>
    </row>
    <row r="2919" spans="2:7" ht="100.8">
      <c r="B2919" s="162" t="s">
        <v>6742</v>
      </c>
      <c r="C2919" s="162" t="s">
        <v>7645</v>
      </c>
      <c r="D2919" s="162" t="s">
        <v>7613</v>
      </c>
      <c r="E2919" s="162" t="s">
        <v>7646</v>
      </c>
      <c r="F2919" s="162">
        <v>1214</v>
      </c>
      <c r="G2919" s="162">
        <v>1</v>
      </c>
    </row>
    <row r="2920" spans="2:7" ht="129.6">
      <c r="B2920" s="162" t="s">
        <v>6742</v>
      </c>
      <c r="C2920" s="162" t="s">
        <v>7647</v>
      </c>
      <c r="D2920" s="162" t="s">
        <v>7648</v>
      </c>
      <c r="E2920" s="162" t="s">
        <v>7649</v>
      </c>
      <c r="F2920" s="162">
        <v>1705</v>
      </c>
      <c r="G2920" s="162">
        <v>1</v>
      </c>
    </row>
    <row r="2921" spans="2:7" ht="129.6">
      <c r="B2921" s="162" t="s">
        <v>6742</v>
      </c>
      <c r="C2921" s="162" t="s">
        <v>7650</v>
      </c>
      <c r="D2921" s="162" t="s">
        <v>7648</v>
      </c>
      <c r="E2921" s="162" t="s">
        <v>7651</v>
      </c>
      <c r="F2921" s="162">
        <v>1705</v>
      </c>
      <c r="G2921" s="162">
        <v>1</v>
      </c>
    </row>
    <row r="2922" spans="2:7" ht="129.6">
      <c r="B2922" s="162" t="s">
        <v>6742</v>
      </c>
      <c r="C2922" s="162" t="s">
        <v>7652</v>
      </c>
      <c r="D2922" s="162" t="s">
        <v>7648</v>
      </c>
      <c r="E2922" s="162" t="s">
        <v>7653</v>
      </c>
      <c r="F2922" s="162">
        <v>1705</v>
      </c>
      <c r="G2922" s="162">
        <v>1</v>
      </c>
    </row>
    <row r="2923" spans="2:7" ht="129.6">
      <c r="B2923" s="162" t="s">
        <v>6742</v>
      </c>
      <c r="C2923" s="162" t="s">
        <v>7654</v>
      </c>
      <c r="D2923" s="162" t="s">
        <v>7648</v>
      </c>
      <c r="E2923" s="162" t="s">
        <v>7655</v>
      </c>
      <c r="F2923" s="162">
        <v>1705</v>
      </c>
      <c r="G2923" s="162">
        <v>1</v>
      </c>
    </row>
    <row r="2924" spans="2:7" ht="100.8">
      <c r="B2924" s="162" t="s">
        <v>6742</v>
      </c>
      <c r="C2924" s="162" t="s">
        <v>7656</v>
      </c>
      <c r="D2924" s="162" t="s">
        <v>7657</v>
      </c>
      <c r="E2924" s="162" t="s">
        <v>7658</v>
      </c>
      <c r="F2924" s="162">
        <v>2464</v>
      </c>
      <c r="G2924" s="162">
        <v>1</v>
      </c>
    </row>
    <row r="2925" spans="2:7" ht="100.8">
      <c r="B2925" s="162" t="s">
        <v>6742</v>
      </c>
      <c r="C2925" s="162" t="s">
        <v>7659</v>
      </c>
      <c r="D2925" s="162" t="s">
        <v>7660</v>
      </c>
      <c r="E2925" s="162" t="s">
        <v>7661</v>
      </c>
      <c r="F2925" s="162">
        <v>836</v>
      </c>
      <c r="G2925" s="162">
        <v>1</v>
      </c>
    </row>
    <row r="2926" spans="2:7" ht="72">
      <c r="B2926" s="162" t="s">
        <v>6742</v>
      </c>
      <c r="C2926" s="162" t="s">
        <v>7662</v>
      </c>
      <c r="D2926" s="162" t="s">
        <v>7663</v>
      </c>
      <c r="E2926" s="162" t="s">
        <v>7664</v>
      </c>
      <c r="F2926" s="162">
        <v>741</v>
      </c>
      <c r="G2926" s="162">
        <v>1</v>
      </c>
    </row>
    <row r="2927" spans="2:7" ht="72">
      <c r="B2927" s="162" t="s">
        <v>6742</v>
      </c>
      <c r="C2927" s="162" t="s">
        <v>7665</v>
      </c>
      <c r="D2927" s="162" t="s">
        <v>7666</v>
      </c>
      <c r="E2927" s="162" t="s">
        <v>7667</v>
      </c>
      <c r="F2927" s="162">
        <v>368</v>
      </c>
      <c r="G2927" s="162">
        <v>1</v>
      </c>
    </row>
    <row r="2928" spans="2:7" ht="43.2">
      <c r="B2928" s="162" t="s">
        <v>6742</v>
      </c>
      <c r="C2928" s="162" t="s">
        <v>7668</v>
      </c>
      <c r="D2928" s="162" t="s">
        <v>7669</v>
      </c>
      <c r="E2928" s="162" t="s">
        <v>7670</v>
      </c>
      <c r="F2928" s="162">
        <v>117</v>
      </c>
      <c r="G2928" s="162">
        <v>1</v>
      </c>
    </row>
    <row r="2929" spans="2:7" ht="43.2">
      <c r="B2929" s="162" t="s">
        <v>6742</v>
      </c>
      <c r="C2929" s="162" t="s">
        <v>7671</v>
      </c>
      <c r="D2929" s="162" t="s">
        <v>7669</v>
      </c>
      <c r="E2929" s="162" t="s">
        <v>7672</v>
      </c>
      <c r="F2929" s="162">
        <v>117</v>
      </c>
      <c r="G2929" s="162">
        <v>1</v>
      </c>
    </row>
    <row r="2930" spans="2:7" ht="43.2">
      <c r="B2930" s="162" t="s">
        <v>6742</v>
      </c>
      <c r="C2930" s="162" t="s">
        <v>7673</v>
      </c>
      <c r="D2930" s="162" t="s">
        <v>7669</v>
      </c>
      <c r="E2930" s="162" t="s">
        <v>7674</v>
      </c>
      <c r="F2930" s="162">
        <v>117</v>
      </c>
      <c r="G2930" s="162">
        <v>1</v>
      </c>
    </row>
    <row r="2931" spans="2:7" ht="43.2">
      <c r="B2931" s="162" t="s">
        <v>6742</v>
      </c>
      <c r="C2931" s="162" t="s">
        <v>7675</v>
      </c>
      <c r="D2931" s="162" t="s">
        <v>7669</v>
      </c>
      <c r="E2931" s="162" t="s">
        <v>7676</v>
      </c>
      <c r="F2931" s="162">
        <v>117</v>
      </c>
      <c r="G2931" s="162">
        <v>1</v>
      </c>
    </row>
    <row r="2932" spans="2:7" ht="43.2">
      <c r="B2932" s="162" t="s">
        <v>6742</v>
      </c>
      <c r="C2932" s="162" t="s">
        <v>7677</v>
      </c>
      <c r="D2932" s="162" t="s">
        <v>7669</v>
      </c>
      <c r="E2932" s="162" t="s">
        <v>7678</v>
      </c>
      <c r="F2932" s="162">
        <v>117</v>
      </c>
      <c r="G2932" s="162">
        <v>1</v>
      </c>
    </row>
    <row r="2933" spans="2:7" ht="43.2">
      <c r="B2933" s="162" t="s">
        <v>6742</v>
      </c>
      <c r="C2933" s="162" t="s">
        <v>7679</v>
      </c>
      <c r="D2933" s="162" t="s">
        <v>7669</v>
      </c>
      <c r="E2933" s="162" t="s">
        <v>7680</v>
      </c>
      <c r="F2933" s="162">
        <v>117</v>
      </c>
      <c r="G2933" s="162">
        <v>1</v>
      </c>
    </row>
    <row r="2934" spans="2:7" ht="43.2">
      <c r="B2934" s="162" t="s">
        <v>6742</v>
      </c>
      <c r="C2934" s="162" t="s">
        <v>7681</v>
      </c>
      <c r="D2934" s="162" t="s">
        <v>7669</v>
      </c>
      <c r="E2934" s="162" t="s">
        <v>7682</v>
      </c>
      <c r="F2934" s="162">
        <v>117</v>
      </c>
      <c r="G2934" s="162">
        <v>1</v>
      </c>
    </row>
    <row r="2935" spans="2:7" ht="43.2">
      <c r="B2935" s="162" t="s">
        <v>6742</v>
      </c>
      <c r="C2935" s="162" t="s">
        <v>7683</v>
      </c>
      <c r="D2935" s="162" t="s">
        <v>7669</v>
      </c>
      <c r="E2935" s="162" t="s">
        <v>7684</v>
      </c>
      <c r="F2935" s="162">
        <v>117</v>
      </c>
      <c r="G2935" s="162">
        <v>1</v>
      </c>
    </row>
    <row r="2936" spans="2:7" ht="43.2">
      <c r="B2936" s="162" t="s">
        <v>6742</v>
      </c>
      <c r="C2936" s="162" t="s">
        <v>7685</v>
      </c>
      <c r="D2936" s="162" t="s">
        <v>7669</v>
      </c>
      <c r="E2936" s="162" t="s">
        <v>7686</v>
      </c>
      <c r="F2936" s="162">
        <v>117</v>
      </c>
      <c r="G2936" s="162">
        <v>1</v>
      </c>
    </row>
    <row r="2937" spans="2:7" ht="43.2">
      <c r="B2937" s="162" t="s">
        <v>6742</v>
      </c>
      <c r="C2937" s="162" t="s">
        <v>7687</v>
      </c>
      <c r="D2937" s="162" t="s">
        <v>7669</v>
      </c>
      <c r="E2937" s="162" t="s">
        <v>7688</v>
      </c>
      <c r="F2937" s="162">
        <v>117</v>
      </c>
      <c r="G2937" s="162">
        <v>1</v>
      </c>
    </row>
    <row r="2938" spans="2:7" ht="43.2">
      <c r="B2938" s="162" t="s">
        <v>6742</v>
      </c>
      <c r="C2938" s="162" t="s">
        <v>7689</v>
      </c>
      <c r="D2938" s="162" t="s">
        <v>7669</v>
      </c>
      <c r="E2938" s="162" t="s">
        <v>7690</v>
      </c>
      <c r="F2938" s="162">
        <v>117</v>
      </c>
      <c r="G2938" s="162">
        <v>1</v>
      </c>
    </row>
    <row r="2939" spans="2:7" ht="43.2">
      <c r="B2939" s="162" t="s">
        <v>6742</v>
      </c>
      <c r="C2939" s="162" t="s">
        <v>7691</v>
      </c>
      <c r="D2939" s="162" t="s">
        <v>7669</v>
      </c>
      <c r="E2939" s="162" t="s">
        <v>7692</v>
      </c>
      <c r="F2939" s="162">
        <v>117</v>
      </c>
      <c r="G2939" s="162">
        <v>1</v>
      </c>
    </row>
    <row r="2940" spans="2:7" ht="43.2">
      <c r="B2940" s="162" t="s">
        <v>6742</v>
      </c>
      <c r="C2940" s="162" t="s">
        <v>7693</v>
      </c>
      <c r="D2940" s="162" t="s">
        <v>7669</v>
      </c>
      <c r="E2940" s="162" t="s">
        <v>7694</v>
      </c>
      <c r="F2940" s="162">
        <v>117</v>
      </c>
      <c r="G2940" s="162">
        <v>1</v>
      </c>
    </row>
    <row r="2941" spans="2:7" ht="43.2">
      <c r="B2941" s="162" t="s">
        <v>6742</v>
      </c>
      <c r="C2941" s="162" t="s">
        <v>7695</v>
      </c>
      <c r="D2941" s="162" t="s">
        <v>7669</v>
      </c>
      <c r="E2941" s="162" t="s">
        <v>7696</v>
      </c>
      <c r="F2941" s="162">
        <v>117</v>
      </c>
      <c r="G2941" s="162">
        <v>1</v>
      </c>
    </row>
    <row r="2942" spans="2:7" ht="43.2">
      <c r="B2942" s="162" t="s">
        <v>6742</v>
      </c>
      <c r="C2942" s="162" t="s">
        <v>7697</v>
      </c>
      <c r="D2942" s="162" t="s">
        <v>7669</v>
      </c>
      <c r="E2942" s="162" t="s">
        <v>7698</v>
      </c>
      <c r="F2942" s="162">
        <v>117</v>
      </c>
      <c r="G2942" s="162">
        <v>1</v>
      </c>
    </row>
    <row r="2943" spans="2:7" ht="43.2">
      <c r="B2943" s="162" t="s">
        <v>6742</v>
      </c>
      <c r="C2943" s="162" t="s">
        <v>7699</v>
      </c>
      <c r="D2943" s="162" t="s">
        <v>7669</v>
      </c>
      <c r="E2943" s="162" t="s">
        <v>7700</v>
      </c>
      <c r="F2943" s="162">
        <v>117</v>
      </c>
      <c r="G2943" s="162">
        <v>1</v>
      </c>
    </row>
    <row r="2944" spans="2:7" ht="43.2">
      <c r="B2944" s="162" t="s">
        <v>6742</v>
      </c>
      <c r="C2944" s="162" t="s">
        <v>7701</v>
      </c>
      <c r="D2944" s="162" t="s">
        <v>7669</v>
      </c>
      <c r="E2944" s="162" t="s">
        <v>7702</v>
      </c>
      <c r="F2944" s="162">
        <v>117</v>
      </c>
      <c r="G2944" s="162">
        <v>1</v>
      </c>
    </row>
    <row r="2945" spans="2:7" ht="28.8">
      <c r="B2945" s="162" t="s">
        <v>6742</v>
      </c>
      <c r="C2945" s="162" t="s">
        <v>7703</v>
      </c>
      <c r="D2945" s="162" t="s">
        <v>7704</v>
      </c>
      <c r="E2945" s="162" t="s">
        <v>7705</v>
      </c>
      <c r="F2945" s="162">
        <v>203</v>
      </c>
      <c r="G2945" s="162">
        <v>1</v>
      </c>
    </row>
    <row r="2946" spans="2:7">
      <c r="B2946" s="162" t="s">
        <v>6742</v>
      </c>
      <c r="C2946" s="162" t="s">
        <v>7706</v>
      </c>
      <c r="D2946" s="162" t="s">
        <v>7707</v>
      </c>
      <c r="E2946" s="162" t="s">
        <v>7708</v>
      </c>
      <c r="F2946" s="162">
        <v>16.170000000000002</v>
      </c>
      <c r="G2946" s="162">
        <v>1</v>
      </c>
    </row>
    <row r="2947" spans="2:7">
      <c r="B2947" s="162" t="s">
        <v>6742</v>
      </c>
      <c r="C2947" s="162" t="s">
        <v>7709</v>
      </c>
      <c r="D2947" s="162" t="s">
        <v>7710</v>
      </c>
      <c r="E2947" s="162" t="s">
        <v>7711</v>
      </c>
      <c r="F2947" s="162">
        <v>23.7</v>
      </c>
      <c r="G2947" s="162">
        <v>1</v>
      </c>
    </row>
    <row r="2948" spans="2:7" ht="28.8">
      <c r="B2948" s="162" t="s">
        <v>6742</v>
      </c>
      <c r="C2948" s="162" t="s">
        <v>7712</v>
      </c>
      <c r="D2948" s="162" t="s">
        <v>7713</v>
      </c>
      <c r="E2948" s="162" t="s">
        <v>7714</v>
      </c>
      <c r="F2948" s="162">
        <v>9.49</v>
      </c>
      <c r="G2948" s="162">
        <v>1</v>
      </c>
    </row>
    <row r="2949" spans="2:7">
      <c r="B2949" s="162" t="s">
        <v>6742</v>
      </c>
      <c r="C2949" s="162" t="s">
        <v>7715</v>
      </c>
      <c r="D2949" s="162" t="s">
        <v>7716</v>
      </c>
      <c r="E2949" s="162" t="s">
        <v>7717</v>
      </c>
      <c r="F2949" s="162">
        <v>18.66</v>
      </c>
      <c r="G2949" s="162">
        <v>1</v>
      </c>
    </row>
    <row r="2950" spans="2:7">
      <c r="B2950" s="162" t="s">
        <v>6742</v>
      </c>
      <c r="C2950" s="162" t="s">
        <v>7718</v>
      </c>
      <c r="D2950" s="162" t="s">
        <v>7719</v>
      </c>
      <c r="E2950" s="162" t="s">
        <v>7720</v>
      </c>
      <c r="F2950" s="162">
        <v>17.399999999999999</v>
      </c>
      <c r="G2950" s="162">
        <v>1</v>
      </c>
    </row>
    <row r="2951" spans="2:7">
      <c r="B2951" s="162" t="s">
        <v>6742</v>
      </c>
      <c r="C2951" s="162" t="s">
        <v>7721</v>
      </c>
      <c r="D2951" s="162" t="s">
        <v>7722</v>
      </c>
      <c r="E2951" s="162" t="s">
        <v>7723</v>
      </c>
      <c r="F2951" s="162">
        <v>23.7</v>
      </c>
      <c r="G2951" s="162">
        <v>1</v>
      </c>
    </row>
    <row r="2952" spans="2:7">
      <c r="B2952" s="162" t="s">
        <v>6742</v>
      </c>
      <c r="C2952" s="162" t="s">
        <v>7724</v>
      </c>
      <c r="D2952" s="162" t="s">
        <v>7725</v>
      </c>
      <c r="E2952" s="162" t="s">
        <v>7726</v>
      </c>
      <c r="F2952" s="162">
        <v>151</v>
      </c>
      <c r="G2952" s="162">
        <v>1</v>
      </c>
    </row>
    <row r="2953" spans="2:7">
      <c r="B2953" s="162" t="s">
        <v>6742</v>
      </c>
      <c r="C2953" s="162" t="s">
        <v>7727</v>
      </c>
      <c r="D2953" s="162" t="s">
        <v>7728</v>
      </c>
      <c r="E2953" s="162" t="s">
        <v>7729</v>
      </c>
      <c r="F2953" s="162">
        <v>154</v>
      </c>
      <c r="G2953" s="162">
        <v>1</v>
      </c>
    </row>
    <row r="2954" spans="2:7">
      <c r="B2954" s="162" t="s">
        <v>6742</v>
      </c>
      <c r="C2954" s="162" t="s">
        <v>7730</v>
      </c>
      <c r="D2954" s="162" t="s">
        <v>7731</v>
      </c>
      <c r="E2954" s="162" t="s">
        <v>7732</v>
      </c>
      <c r="F2954" s="162">
        <v>248</v>
      </c>
      <c r="G2954" s="162">
        <v>1</v>
      </c>
    </row>
    <row r="2955" spans="2:7">
      <c r="B2955" s="162" t="s">
        <v>6742</v>
      </c>
      <c r="C2955" s="162" t="s">
        <v>7733</v>
      </c>
      <c r="D2955" s="162" t="s">
        <v>7734</v>
      </c>
      <c r="E2955" s="162" t="s">
        <v>7735</v>
      </c>
      <c r="F2955" s="162">
        <v>149</v>
      </c>
      <c r="G2955" s="162">
        <v>1</v>
      </c>
    </row>
    <row r="2956" spans="2:7">
      <c r="B2956" s="162" t="s">
        <v>6742</v>
      </c>
      <c r="C2956" s="162" t="s">
        <v>7736</v>
      </c>
      <c r="D2956" s="162" t="s">
        <v>7737</v>
      </c>
      <c r="E2956" s="162" t="s">
        <v>7738</v>
      </c>
      <c r="F2956" s="162">
        <v>74.400000000000006</v>
      </c>
      <c r="G2956" s="162">
        <v>1</v>
      </c>
    </row>
    <row r="2957" spans="2:7" ht="43.2">
      <c r="B2957" s="162" t="s">
        <v>6742</v>
      </c>
      <c r="C2957" s="162" t="s">
        <v>7739</v>
      </c>
      <c r="D2957" s="162" t="s">
        <v>7740</v>
      </c>
      <c r="E2957" s="162" t="s">
        <v>7741</v>
      </c>
      <c r="F2957" s="162">
        <v>14.25</v>
      </c>
      <c r="G2957" s="162">
        <v>1</v>
      </c>
    </row>
    <row r="2958" spans="2:7" ht="28.8">
      <c r="B2958" s="162" t="s">
        <v>681</v>
      </c>
      <c r="C2958" s="162" t="s">
        <v>1313</v>
      </c>
      <c r="D2958" s="162" t="s">
        <v>1314</v>
      </c>
      <c r="F2958" s="162">
        <v>12000</v>
      </c>
      <c r="G2958" s="162">
        <v>1</v>
      </c>
    </row>
    <row r="2959" spans="2:7" ht="28.8">
      <c r="B2959" s="162" t="s">
        <v>682</v>
      </c>
      <c r="C2959" s="162" t="s">
        <v>1315</v>
      </c>
      <c r="D2959" s="162" t="s">
        <v>1316</v>
      </c>
      <c r="F2959" s="162">
        <v>1050</v>
      </c>
      <c r="G2959" s="162">
        <v>1</v>
      </c>
    </row>
    <row r="2960" spans="2:7">
      <c r="B2960" s="162" t="s">
        <v>682</v>
      </c>
      <c r="C2960" s="162" t="s">
        <v>1317</v>
      </c>
      <c r="D2960" s="162" t="s">
        <v>1318</v>
      </c>
      <c r="F2960" s="162">
        <v>650</v>
      </c>
      <c r="G2960" s="162">
        <v>1</v>
      </c>
    </row>
    <row r="2961" spans="2:7">
      <c r="B2961" s="162" t="s">
        <v>682</v>
      </c>
      <c r="C2961" s="162" t="s">
        <v>1319</v>
      </c>
      <c r="D2961" s="162" t="s">
        <v>1320</v>
      </c>
      <c r="F2961" s="162">
        <v>650</v>
      </c>
      <c r="G2961" s="162">
        <v>1</v>
      </c>
    </row>
    <row r="2962" spans="2:7">
      <c r="B2962" s="162" t="s">
        <v>682</v>
      </c>
      <c r="C2962" s="162" t="s">
        <v>1321</v>
      </c>
      <c r="D2962" s="162" t="s">
        <v>1322</v>
      </c>
      <c r="F2962" s="162">
        <v>46000</v>
      </c>
      <c r="G2962" s="162">
        <v>1</v>
      </c>
    </row>
    <row r="2963" spans="2:7" ht="28.8">
      <c r="B2963" s="162" t="s">
        <v>682</v>
      </c>
      <c r="C2963" s="162" t="s">
        <v>7742</v>
      </c>
      <c r="D2963" s="162" t="s">
        <v>7743</v>
      </c>
      <c r="F2963" s="162">
        <v>58</v>
      </c>
      <c r="G2963" s="162">
        <v>1</v>
      </c>
    </row>
    <row r="2964" spans="2:7" ht="43.2">
      <c r="B2964" s="162" t="s">
        <v>682</v>
      </c>
      <c r="C2964" s="162" t="s">
        <v>7742</v>
      </c>
      <c r="D2964" s="162" t="s">
        <v>7744</v>
      </c>
      <c r="F2964" s="162">
        <v>58</v>
      </c>
      <c r="G2964" s="162">
        <v>1</v>
      </c>
    </row>
    <row r="2965" spans="2:7" ht="28.8">
      <c r="B2965" s="162" t="s">
        <v>682</v>
      </c>
      <c r="C2965" s="162" t="s">
        <v>7745</v>
      </c>
      <c r="D2965" s="162" t="s">
        <v>7746</v>
      </c>
      <c r="F2965" s="162">
        <v>410</v>
      </c>
      <c r="G2965" s="162">
        <v>1</v>
      </c>
    </row>
    <row r="2966" spans="2:7" ht="28.8">
      <c r="B2966" s="162" t="s">
        <v>682</v>
      </c>
      <c r="C2966" s="162" t="s">
        <v>7745</v>
      </c>
      <c r="D2966" s="162" t="s">
        <v>7747</v>
      </c>
      <c r="F2966" s="162">
        <v>410</v>
      </c>
      <c r="G2966" s="162">
        <v>1</v>
      </c>
    </row>
    <row r="2967" spans="2:7">
      <c r="B2967" s="162" t="s">
        <v>682</v>
      </c>
      <c r="C2967" s="162" t="s">
        <v>7748</v>
      </c>
      <c r="D2967" s="162" t="s">
        <v>7749</v>
      </c>
      <c r="F2967" s="162" t="s">
        <v>7750</v>
      </c>
      <c r="G2967" s="162">
        <v>1</v>
      </c>
    </row>
    <row r="2968" spans="2:7">
      <c r="B2968" s="162" t="s">
        <v>682</v>
      </c>
      <c r="C2968" s="162" t="s">
        <v>7751</v>
      </c>
      <c r="D2968" s="162" t="s">
        <v>7749</v>
      </c>
      <c r="F2968" s="162" t="s">
        <v>7750</v>
      </c>
      <c r="G2968" s="162">
        <v>1</v>
      </c>
    </row>
    <row r="2969" spans="2:7">
      <c r="B2969" s="162" t="s">
        <v>682</v>
      </c>
      <c r="C2969" s="162" t="s">
        <v>7752</v>
      </c>
      <c r="D2969" s="162" t="s">
        <v>7753</v>
      </c>
      <c r="F2969" s="162" t="s">
        <v>7750</v>
      </c>
      <c r="G2969" s="162">
        <v>1</v>
      </c>
    </row>
    <row r="2970" spans="2:7">
      <c r="B2970" s="162" t="s">
        <v>682</v>
      </c>
      <c r="C2970" s="162" t="s">
        <v>7754</v>
      </c>
      <c r="D2970" s="162" t="s">
        <v>7755</v>
      </c>
      <c r="F2970" s="162" t="s">
        <v>7750</v>
      </c>
      <c r="G2970" s="162">
        <v>1</v>
      </c>
    </row>
    <row r="2971" spans="2:7">
      <c r="B2971" s="162" t="s">
        <v>682</v>
      </c>
      <c r="C2971" s="162" t="s">
        <v>7756</v>
      </c>
      <c r="D2971" s="162" t="s">
        <v>7757</v>
      </c>
      <c r="F2971" s="162" t="s">
        <v>7750</v>
      </c>
      <c r="G2971" s="162">
        <v>1</v>
      </c>
    </row>
    <row r="2972" spans="2:7">
      <c r="B2972" s="162" t="s">
        <v>682</v>
      </c>
      <c r="C2972" s="162" t="s">
        <v>7758</v>
      </c>
      <c r="D2972" s="162" t="s">
        <v>7759</v>
      </c>
      <c r="F2972" s="162" t="s">
        <v>7750</v>
      </c>
      <c r="G2972" s="162">
        <v>1</v>
      </c>
    </row>
    <row r="2973" spans="2:7">
      <c r="B2973" s="162" t="s">
        <v>682</v>
      </c>
      <c r="C2973" s="162" t="s">
        <v>7760</v>
      </c>
      <c r="D2973" s="162" t="s">
        <v>7749</v>
      </c>
      <c r="F2973" s="162" t="s">
        <v>7750</v>
      </c>
      <c r="G2973" s="162">
        <v>1</v>
      </c>
    </row>
    <row r="2974" spans="2:7">
      <c r="B2974" s="162" t="s">
        <v>682</v>
      </c>
      <c r="C2974" s="162" t="s">
        <v>7761</v>
      </c>
      <c r="D2974" s="162" t="s">
        <v>7759</v>
      </c>
      <c r="F2974" s="162" t="s">
        <v>7750</v>
      </c>
      <c r="G2974" s="162">
        <v>1</v>
      </c>
    </row>
    <row r="2975" spans="2:7" ht="28.8">
      <c r="B2975" s="162" t="s">
        <v>682</v>
      </c>
      <c r="C2975" s="162" t="s">
        <v>7762</v>
      </c>
      <c r="D2975" s="162" t="s">
        <v>7759</v>
      </c>
      <c r="F2975" s="162" t="s">
        <v>7750</v>
      </c>
      <c r="G2975" s="162">
        <v>1</v>
      </c>
    </row>
    <row r="2976" spans="2:7" ht="28.8">
      <c r="B2976" s="162" t="s">
        <v>682</v>
      </c>
      <c r="C2976" s="162" t="s">
        <v>7763</v>
      </c>
      <c r="D2976" s="162" t="s">
        <v>7749</v>
      </c>
      <c r="F2976" s="162" t="s">
        <v>7750</v>
      </c>
      <c r="G2976" s="162">
        <v>1</v>
      </c>
    </row>
    <row r="2977" spans="2:7">
      <c r="B2977" s="162" t="s">
        <v>682</v>
      </c>
      <c r="C2977" s="162" t="s">
        <v>7764</v>
      </c>
      <c r="D2977" s="162" t="s">
        <v>7753</v>
      </c>
      <c r="F2977" s="162" t="s">
        <v>7750</v>
      </c>
      <c r="G2977" s="162">
        <v>1</v>
      </c>
    </row>
    <row r="2978" spans="2:7">
      <c r="B2978" s="162" t="s">
        <v>682</v>
      </c>
      <c r="C2978" s="162" t="s">
        <v>7765</v>
      </c>
      <c r="D2978" s="162" t="s">
        <v>7755</v>
      </c>
      <c r="F2978" s="162" t="s">
        <v>7750</v>
      </c>
      <c r="G2978" s="162">
        <v>1</v>
      </c>
    </row>
    <row r="2979" spans="2:7" ht="28.8">
      <c r="B2979" s="162" t="s">
        <v>682</v>
      </c>
      <c r="C2979" s="162" t="s">
        <v>7766</v>
      </c>
      <c r="D2979" s="162" t="s">
        <v>7767</v>
      </c>
      <c r="F2979" s="162" t="s">
        <v>7750</v>
      </c>
      <c r="G2979" s="162">
        <v>1</v>
      </c>
    </row>
    <row r="2980" spans="2:7" ht="28.8">
      <c r="B2980" s="162" t="s">
        <v>682</v>
      </c>
      <c r="C2980" s="162" t="s">
        <v>7768</v>
      </c>
      <c r="D2980" s="162" t="s">
        <v>7769</v>
      </c>
      <c r="F2980" s="162" t="s">
        <v>7750</v>
      </c>
      <c r="G2980" s="162">
        <v>1</v>
      </c>
    </row>
    <row r="2981" spans="2:7" ht="28.8">
      <c r="B2981" s="162" t="s">
        <v>682</v>
      </c>
      <c r="C2981" s="162" t="s">
        <v>7770</v>
      </c>
      <c r="D2981" s="162" t="s">
        <v>7771</v>
      </c>
      <c r="F2981" s="162" t="s">
        <v>7750</v>
      </c>
      <c r="G2981" s="162">
        <v>1</v>
      </c>
    </row>
    <row r="2982" spans="2:7" ht="28.8">
      <c r="B2982" s="162" t="s">
        <v>682</v>
      </c>
      <c r="C2982" s="162" t="s">
        <v>7772</v>
      </c>
      <c r="D2982" s="162" t="s">
        <v>7773</v>
      </c>
      <c r="F2982" s="162" t="s">
        <v>7750</v>
      </c>
      <c r="G2982" s="162">
        <v>1</v>
      </c>
    </row>
    <row r="2983" spans="2:7" ht="28.8">
      <c r="B2983" s="162" t="s">
        <v>682</v>
      </c>
      <c r="C2983" s="162" t="s">
        <v>7774</v>
      </c>
      <c r="D2983" s="162" t="s">
        <v>7775</v>
      </c>
      <c r="F2983" s="162" t="s">
        <v>7750</v>
      </c>
      <c r="G2983" s="162">
        <v>1</v>
      </c>
    </row>
    <row r="2984" spans="2:7" ht="28.8">
      <c r="B2984" s="162" t="s">
        <v>682</v>
      </c>
      <c r="C2984" s="162" t="s">
        <v>7776</v>
      </c>
      <c r="D2984" s="162" t="s">
        <v>7777</v>
      </c>
      <c r="F2984" s="162" t="s">
        <v>7750</v>
      </c>
      <c r="G2984" s="162">
        <v>1</v>
      </c>
    </row>
    <row r="2985" spans="2:7" ht="28.8">
      <c r="B2985" s="162" t="s">
        <v>682</v>
      </c>
      <c r="C2985" s="162" t="s">
        <v>7778</v>
      </c>
      <c r="D2985" s="162" t="s">
        <v>7779</v>
      </c>
      <c r="F2985" s="162" t="s">
        <v>7750</v>
      </c>
      <c r="G2985" s="162">
        <v>1</v>
      </c>
    </row>
    <row r="2986" spans="2:7" ht="28.8">
      <c r="B2986" s="162" t="s">
        <v>682</v>
      </c>
      <c r="C2986" s="162" t="s">
        <v>7780</v>
      </c>
      <c r="D2986" s="162" t="s">
        <v>7781</v>
      </c>
      <c r="F2986" s="162" t="s">
        <v>7750</v>
      </c>
      <c r="G2986" s="162">
        <v>1</v>
      </c>
    </row>
    <row r="2987" spans="2:7" ht="28.8">
      <c r="B2987" s="162" t="s">
        <v>682</v>
      </c>
      <c r="C2987" s="162" t="s">
        <v>7782</v>
      </c>
      <c r="D2987" s="162" t="s">
        <v>7783</v>
      </c>
      <c r="F2987" s="162" t="s">
        <v>7750</v>
      </c>
      <c r="G2987" s="162">
        <v>1</v>
      </c>
    </row>
    <row r="2988" spans="2:7" ht="28.8">
      <c r="B2988" s="162" t="s">
        <v>682</v>
      </c>
      <c r="C2988" s="162" t="s">
        <v>7784</v>
      </c>
      <c r="D2988" s="162" t="s">
        <v>7785</v>
      </c>
      <c r="F2988" s="162" t="s">
        <v>7750</v>
      </c>
      <c r="G2988" s="162">
        <v>1</v>
      </c>
    </row>
    <row r="2989" spans="2:7">
      <c r="B2989" s="162" t="s">
        <v>682</v>
      </c>
      <c r="C2989" s="162" t="s">
        <v>7786</v>
      </c>
      <c r="D2989" s="162" t="s">
        <v>7787</v>
      </c>
      <c r="F2989" s="162">
        <v>5310</v>
      </c>
      <c r="G2989" s="162">
        <v>1</v>
      </c>
    </row>
    <row r="2990" spans="2:7" ht="28.8">
      <c r="B2990" s="162" t="s">
        <v>682</v>
      </c>
      <c r="C2990" s="162" t="s">
        <v>7786</v>
      </c>
      <c r="D2990" s="162" t="s">
        <v>7788</v>
      </c>
      <c r="F2990" s="162">
        <v>7390</v>
      </c>
      <c r="G2990" s="162">
        <v>1</v>
      </c>
    </row>
    <row r="2991" spans="2:7">
      <c r="B2991" s="162" t="s">
        <v>682</v>
      </c>
      <c r="C2991" s="162" t="s">
        <v>7789</v>
      </c>
      <c r="D2991" s="162" t="s">
        <v>7790</v>
      </c>
      <c r="F2991" s="162">
        <v>5760</v>
      </c>
      <c r="G2991" s="162">
        <v>1</v>
      </c>
    </row>
    <row r="2992" spans="2:7">
      <c r="B2992" s="162" t="s">
        <v>682</v>
      </c>
      <c r="C2992" s="162" t="s">
        <v>7791</v>
      </c>
      <c r="D2992" s="162" t="s">
        <v>7787</v>
      </c>
      <c r="F2992" s="162">
        <v>4840</v>
      </c>
      <c r="G2992" s="162">
        <v>1</v>
      </c>
    </row>
    <row r="2993" spans="2:7" ht="28.8">
      <c r="B2993" s="162" t="s">
        <v>682</v>
      </c>
      <c r="C2993" s="162" t="s">
        <v>7791</v>
      </c>
      <c r="D2993" s="162" t="s">
        <v>7788</v>
      </c>
      <c r="F2993" s="162">
        <v>6920</v>
      </c>
      <c r="G2993" s="162">
        <v>1</v>
      </c>
    </row>
    <row r="2994" spans="2:7" ht="28.8">
      <c r="B2994" s="162" t="s">
        <v>682</v>
      </c>
      <c r="C2994" s="162" t="s">
        <v>7792</v>
      </c>
      <c r="D2994" s="162" t="s">
        <v>7793</v>
      </c>
      <c r="F2994" s="162">
        <v>4380</v>
      </c>
      <c r="G2994" s="162">
        <v>1</v>
      </c>
    </row>
    <row r="2995" spans="2:7" ht="28.8">
      <c r="B2995" s="162" t="s">
        <v>682</v>
      </c>
      <c r="C2995" s="162" t="s">
        <v>7792</v>
      </c>
      <c r="D2995" s="162" t="s">
        <v>7794</v>
      </c>
      <c r="F2995" s="162">
        <v>6460</v>
      </c>
      <c r="G2995" s="162">
        <v>1</v>
      </c>
    </row>
    <row r="2996" spans="2:7" ht="28.8">
      <c r="B2996" s="162" t="s">
        <v>682</v>
      </c>
      <c r="C2996" s="162" t="s">
        <v>7795</v>
      </c>
      <c r="D2996" s="162" t="s">
        <v>7796</v>
      </c>
      <c r="F2996" s="162">
        <v>4830</v>
      </c>
      <c r="G2996" s="162">
        <v>1</v>
      </c>
    </row>
    <row r="2997" spans="2:7" ht="28.8">
      <c r="B2997" s="162" t="s">
        <v>682</v>
      </c>
      <c r="C2997" s="162" t="s">
        <v>7795</v>
      </c>
      <c r="D2997" s="162" t="s">
        <v>7797</v>
      </c>
      <c r="F2997" s="162">
        <v>7360</v>
      </c>
      <c r="G2997" s="162">
        <v>1</v>
      </c>
    </row>
    <row r="2998" spans="2:7" ht="28.8">
      <c r="B2998" s="162" t="s">
        <v>682</v>
      </c>
      <c r="C2998" s="162" t="s">
        <v>7798</v>
      </c>
      <c r="D2998" s="162" t="s">
        <v>7793</v>
      </c>
      <c r="F2998" s="162">
        <v>6230</v>
      </c>
      <c r="G2998" s="162">
        <v>1</v>
      </c>
    </row>
    <row r="2999" spans="2:7" ht="28.8">
      <c r="B2999" s="162" t="s">
        <v>682</v>
      </c>
      <c r="C2999" s="162" t="s">
        <v>7798</v>
      </c>
      <c r="D2999" s="162" t="s">
        <v>7794</v>
      </c>
      <c r="F2999" s="162">
        <v>8310</v>
      </c>
      <c r="G2999" s="162">
        <v>1</v>
      </c>
    </row>
    <row r="3000" spans="2:7" ht="28.8">
      <c r="B3000" s="162" t="s">
        <v>682</v>
      </c>
      <c r="C3000" s="162" t="s">
        <v>7799</v>
      </c>
      <c r="D3000" s="162" t="s">
        <v>7796</v>
      </c>
      <c r="F3000" s="162">
        <v>6680</v>
      </c>
      <c r="G3000" s="162">
        <v>1</v>
      </c>
    </row>
    <row r="3001" spans="2:7" ht="28.8">
      <c r="B3001" s="162" t="s">
        <v>682</v>
      </c>
      <c r="C3001" s="162" t="s">
        <v>7799</v>
      </c>
      <c r="D3001" s="162" t="s">
        <v>7797</v>
      </c>
      <c r="F3001" s="162">
        <v>9210</v>
      </c>
      <c r="G3001" s="162">
        <v>1</v>
      </c>
    </row>
    <row r="3002" spans="2:7" ht="28.8">
      <c r="B3002" s="162" t="s">
        <v>682</v>
      </c>
      <c r="C3002" s="162" t="s">
        <v>7800</v>
      </c>
      <c r="D3002" s="162" t="s">
        <v>7793</v>
      </c>
      <c r="F3002" s="162">
        <v>5770</v>
      </c>
      <c r="G3002" s="162">
        <v>1</v>
      </c>
    </row>
    <row r="3003" spans="2:7" ht="28.8">
      <c r="B3003" s="162" t="s">
        <v>682</v>
      </c>
      <c r="C3003" s="162" t="s">
        <v>7800</v>
      </c>
      <c r="D3003" s="162" t="s">
        <v>7794</v>
      </c>
      <c r="F3003" s="162">
        <v>7850</v>
      </c>
      <c r="G3003" s="162">
        <v>1</v>
      </c>
    </row>
    <row r="3004" spans="2:7" ht="28.8">
      <c r="B3004" s="162" t="s">
        <v>682</v>
      </c>
      <c r="C3004" s="162" t="s">
        <v>7801</v>
      </c>
      <c r="D3004" s="162" t="s">
        <v>7796</v>
      </c>
      <c r="F3004" s="162">
        <v>6220</v>
      </c>
      <c r="G3004" s="162">
        <v>1</v>
      </c>
    </row>
    <row r="3005" spans="2:7" ht="28.8">
      <c r="B3005" s="162" t="s">
        <v>682</v>
      </c>
      <c r="C3005" s="162" t="s">
        <v>7801</v>
      </c>
      <c r="D3005" s="162" t="s">
        <v>7797</v>
      </c>
      <c r="F3005" s="162">
        <v>8750</v>
      </c>
      <c r="G3005" s="162">
        <v>1</v>
      </c>
    </row>
    <row r="3006" spans="2:7">
      <c r="B3006" s="162" t="s">
        <v>682</v>
      </c>
      <c r="C3006" s="162" t="s">
        <v>7802</v>
      </c>
      <c r="D3006" s="162" t="s">
        <v>7803</v>
      </c>
      <c r="F3006" s="162">
        <v>4380</v>
      </c>
      <c r="G3006" s="162">
        <v>1</v>
      </c>
    </row>
    <row r="3007" spans="2:7" ht="28.8">
      <c r="B3007" s="162" t="s">
        <v>682</v>
      </c>
      <c r="C3007" s="162" t="s">
        <v>7802</v>
      </c>
      <c r="D3007" s="162" t="s">
        <v>7804</v>
      </c>
      <c r="F3007" s="162">
        <v>6460</v>
      </c>
      <c r="G3007" s="162">
        <v>1</v>
      </c>
    </row>
    <row r="3008" spans="2:7" ht="28.8">
      <c r="B3008" s="162" t="s">
        <v>682</v>
      </c>
      <c r="C3008" s="162" t="s">
        <v>7805</v>
      </c>
      <c r="D3008" s="162" t="s">
        <v>7806</v>
      </c>
      <c r="F3008" s="162">
        <v>3590</v>
      </c>
      <c r="G3008" s="162">
        <v>1</v>
      </c>
    </row>
    <row r="3009" spans="2:7" ht="28.8">
      <c r="B3009" s="162" t="s">
        <v>682</v>
      </c>
      <c r="C3009" s="162" t="s">
        <v>7805</v>
      </c>
      <c r="D3009" s="162" t="s">
        <v>7806</v>
      </c>
      <c r="F3009" s="162">
        <v>5670</v>
      </c>
      <c r="G3009" s="162">
        <v>1</v>
      </c>
    </row>
    <row r="3010" spans="2:7" ht="28.8">
      <c r="B3010" s="162" t="s">
        <v>682</v>
      </c>
      <c r="C3010" s="162" t="s">
        <v>7807</v>
      </c>
      <c r="D3010" s="162" t="s">
        <v>7806</v>
      </c>
      <c r="F3010" s="162">
        <v>4040</v>
      </c>
      <c r="G3010" s="162">
        <v>1</v>
      </c>
    </row>
    <row r="3011" spans="2:7" ht="28.8">
      <c r="B3011" s="162" t="s">
        <v>682</v>
      </c>
      <c r="C3011" s="162" t="s">
        <v>7807</v>
      </c>
      <c r="D3011" s="162" t="s">
        <v>7806</v>
      </c>
      <c r="F3011" s="162">
        <v>6570</v>
      </c>
      <c r="G3011" s="162">
        <v>1</v>
      </c>
    </row>
    <row r="3012" spans="2:7">
      <c r="B3012" s="162" t="s">
        <v>682</v>
      </c>
      <c r="C3012" s="162" t="s">
        <v>7808</v>
      </c>
      <c r="D3012" s="162" t="s">
        <v>7809</v>
      </c>
      <c r="F3012" s="162">
        <v>4830</v>
      </c>
      <c r="G3012" s="162">
        <v>1</v>
      </c>
    </row>
    <row r="3013" spans="2:7" ht="28.8">
      <c r="B3013" s="162" t="s">
        <v>682</v>
      </c>
      <c r="C3013" s="162" t="s">
        <v>7808</v>
      </c>
      <c r="D3013" s="162" t="s">
        <v>7810</v>
      </c>
      <c r="F3013" s="162">
        <v>7360</v>
      </c>
      <c r="G3013" s="162">
        <v>1</v>
      </c>
    </row>
    <row r="3014" spans="2:7">
      <c r="B3014" s="162" t="s">
        <v>682</v>
      </c>
      <c r="C3014" s="162" t="s">
        <v>7811</v>
      </c>
      <c r="D3014" s="162" t="s">
        <v>7803</v>
      </c>
      <c r="F3014" s="162">
        <v>5310</v>
      </c>
      <c r="G3014" s="162">
        <v>1</v>
      </c>
    </row>
    <row r="3015" spans="2:7" ht="28.8">
      <c r="B3015" s="162" t="s">
        <v>682</v>
      </c>
      <c r="C3015" s="162" t="s">
        <v>7811</v>
      </c>
      <c r="D3015" s="162" t="s">
        <v>7804</v>
      </c>
      <c r="F3015" s="162">
        <v>7390</v>
      </c>
      <c r="G3015" s="162">
        <v>1</v>
      </c>
    </row>
    <row r="3016" spans="2:7" ht="28.8">
      <c r="B3016" s="162" t="s">
        <v>682</v>
      </c>
      <c r="C3016" s="162" t="s">
        <v>7812</v>
      </c>
      <c r="D3016" s="162" t="s">
        <v>7813</v>
      </c>
      <c r="F3016" s="162">
        <v>4510</v>
      </c>
      <c r="G3016" s="162">
        <v>1</v>
      </c>
    </row>
    <row r="3017" spans="2:7" ht="28.8">
      <c r="B3017" s="162" t="s">
        <v>682</v>
      </c>
      <c r="C3017" s="162" t="s">
        <v>7812</v>
      </c>
      <c r="D3017" s="162" t="s">
        <v>7813</v>
      </c>
      <c r="F3017" s="162">
        <v>6590</v>
      </c>
      <c r="G3017" s="162">
        <v>1</v>
      </c>
    </row>
    <row r="3018" spans="2:7" ht="28.8">
      <c r="B3018" s="162" t="s">
        <v>682</v>
      </c>
      <c r="C3018" s="162" t="s">
        <v>7814</v>
      </c>
      <c r="D3018" s="162" t="s">
        <v>7813</v>
      </c>
      <c r="F3018" s="162">
        <v>4970</v>
      </c>
      <c r="G3018" s="162">
        <v>1</v>
      </c>
    </row>
    <row r="3019" spans="2:7" ht="28.8">
      <c r="B3019" s="162" t="s">
        <v>682</v>
      </c>
      <c r="C3019" s="162" t="s">
        <v>7814</v>
      </c>
      <c r="D3019" s="162" t="s">
        <v>7813</v>
      </c>
      <c r="F3019" s="162">
        <v>7500</v>
      </c>
      <c r="G3019" s="162">
        <v>1</v>
      </c>
    </row>
    <row r="3020" spans="2:7">
      <c r="B3020" s="162" t="s">
        <v>682</v>
      </c>
      <c r="C3020" s="162" t="s">
        <v>7815</v>
      </c>
      <c r="D3020" s="162" t="s">
        <v>7809</v>
      </c>
      <c r="F3020" s="162">
        <v>5760</v>
      </c>
      <c r="G3020" s="162">
        <v>1</v>
      </c>
    </row>
    <row r="3021" spans="2:7" ht="28.8">
      <c r="B3021" s="162" t="s">
        <v>682</v>
      </c>
      <c r="C3021" s="162" t="s">
        <v>7815</v>
      </c>
      <c r="D3021" s="162" t="s">
        <v>7810</v>
      </c>
      <c r="F3021" s="162">
        <v>8290</v>
      </c>
      <c r="G3021" s="162">
        <v>1</v>
      </c>
    </row>
    <row r="3022" spans="2:7">
      <c r="B3022" s="162" t="s">
        <v>682</v>
      </c>
      <c r="C3022" s="162" t="s">
        <v>7816</v>
      </c>
      <c r="D3022" s="162" t="s">
        <v>7803</v>
      </c>
      <c r="F3022" s="162">
        <v>4840</v>
      </c>
      <c r="G3022" s="162">
        <v>1</v>
      </c>
    </row>
    <row r="3023" spans="2:7" ht="28.8">
      <c r="B3023" s="162" t="s">
        <v>682</v>
      </c>
      <c r="C3023" s="162" t="s">
        <v>7816</v>
      </c>
      <c r="D3023" s="162" t="s">
        <v>7804</v>
      </c>
      <c r="F3023" s="162">
        <v>6920</v>
      </c>
      <c r="G3023" s="162">
        <v>1</v>
      </c>
    </row>
    <row r="3024" spans="2:7" ht="28.8">
      <c r="B3024" s="162" t="s">
        <v>682</v>
      </c>
      <c r="C3024" s="162" t="s">
        <v>7817</v>
      </c>
      <c r="D3024" s="162" t="s">
        <v>7813</v>
      </c>
      <c r="F3024" s="162">
        <v>4050</v>
      </c>
      <c r="G3024" s="162">
        <v>1</v>
      </c>
    </row>
    <row r="3025" spans="2:7" ht="28.8">
      <c r="B3025" s="162" t="s">
        <v>682</v>
      </c>
      <c r="C3025" s="162" t="s">
        <v>7817</v>
      </c>
      <c r="D3025" s="162" t="s">
        <v>7813</v>
      </c>
      <c r="F3025" s="162">
        <v>6130</v>
      </c>
      <c r="G3025" s="162">
        <v>1</v>
      </c>
    </row>
    <row r="3026" spans="2:7" ht="28.8">
      <c r="B3026" s="162" t="s">
        <v>682</v>
      </c>
      <c r="C3026" s="162" t="s">
        <v>7818</v>
      </c>
      <c r="D3026" s="162" t="s">
        <v>7813</v>
      </c>
      <c r="F3026" s="162">
        <v>4500</v>
      </c>
      <c r="G3026" s="162">
        <v>1</v>
      </c>
    </row>
    <row r="3027" spans="2:7" ht="28.8">
      <c r="B3027" s="162" t="s">
        <v>682</v>
      </c>
      <c r="C3027" s="162" t="s">
        <v>7818</v>
      </c>
      <c r="D3027" s="162" t="s">
        <v>7813</v>
      </c>
      <c r="F3027" s="162">
        <v>7030</v>
      </c>
      <c r="G3027" s="162">
        <v>1</v>
      </c>
    </row>
    <row r="3028" spans="2:7">
      <c r="B3028" s="162" t="s">
        <v>682</v>
      </c>
      <c r="C3028" s="162" t="s">
        <v>7819</v>
      </c>
      <c r="D3028" s="162" t="s">
        <v>7809</v>
      </c>
      <c r="F3028" s="162">
        <v>5300</v>
      </c>
      <c r="G3028" s="162">
        <v>1</v>
      </c>
    </row>
    <row r="3029" spans="2:7" ht="28.8">
      <c r="B3029" s="162" t="s">
        <v>682</v>
      </c>
      <c r="C3029" s="162" t="s">
        <v>7819</v>
      </c>
      <c r="D3029" s="162" t="s">
        <v>7810</v>
      </c>
      <c r="F3029" s="162">
        <v>7830</v>
      </c>
      <c r="G3029" s="162">
        <v>1</v>
      </c>
    </row>
    <row r="3030" spans="2:7" ht="28.8">
      <c r="B3030" s="162" t="s">
        <v>682</v>
      </c>
      <c r="C3030" s="162" t="s">
        <v>7820</v>
      </c>
      <c r="D3030" s="162" t="s">
        <v>7821</v>
      </c>
      <c r="F3030" s="162">
        <v>108</v>
      </c>
      <c r="G3030" s="162">
        <v>1</v>
      </c>
    </row>
    <row r="3031" spans="2:7" ht="28.8">
      <c r="B3031" s="162" t="s">
        <v>682</v>
      </c>
      <c r="C3031" s="162" t="s">
        <v>7822</v>
      </c>
      <c r="D3031" s="162" t="s">
        <v>7823</v>
      </c>
      <c r="F3031" s="162">
        <v>86</v>
      </c>
      <c r="G3031" s="162">
        <v>1</v>
      </c>
    </row>
    <row r="3032" spans="2:7">
      <c r="B3032" s="162" t="s">
        <v>682</v>
      </c>
      <c r="C3032" s="162" t="s">
        <v>7824</v>
      </c>
      <c r="D3032" s="162" t="s">
        <v>7825</v>
      </c>
      <c r="F3032" s="162">
        <v>104</v>
      </c>
      <c r="G3032" s="162">
        <v>1</v>
      </c>
    </row>
    <row r="3033" spans="2:7">
      <c r="B3033" s="162" t="s">
        <v>682</v>
      </c>
      <c r="C3033" s="162" t="s">
        <v>7826</v>
      </c>
      <c r="D3033" s="162" t="s">
        <v>7827</v>
      </c>
      <c r="F3033" s="162">
        <v>990</v>
      </c>
      <c r="G3033" s="162">
        <v>1</v>
      </c>
    </row>
    <row r="3034" spans="2:7">
      <c r="B3034" s="162" t="s">
        <v>682</v>
      </c>
      <c r="C3034" s="162" t="s">
        <v>7826</v>
      </c>
      <c r="D3034" s="162" t="s">
        <v>7828</v>
      </c>
      <c r="F3034" s="162">
        <v>2370</v>
      </c>
      <c r="G3034" s="162">
        <v>1</v>
      </c>
    </row>
    <row r="3035" spans="2:7">
      <c r="B3035" s="162" t="s">
        <v>682</v>
      </c>
      <c r="C3035" s="162" t="s">
        <v>7829</v>
      </c>
      <c r="D3035" s="162" t="s">
        <v>7830</v>
      </c>
      <c r="F3035" s="162">
        <v>1150</v>
      </c>
      <c r="G3035" s="162">
        <v>1</v>
      </c>
    </row>
    <row r="3036" spans="2:7" ht="28.8">
      <c r="B3036" s="162" t="s">
        <v>682</v>
      </c>
      <c r="C3036" s="162" t="s">
        <v>7831</v>
      </c>
      <c r="D3036" s="162" t="s">
        <v>7832</v>
      </c>
      <c r="F3036" s="162">
        <v>1840</v>
      </c>
      <c r="G3036" s="162">
        <v>1</v>
      </c>
    </row>
    <row r="3037" spans="2:7" ht="28.8">
      <c r="B3037" s="162" t="s">
        <v>682</v>
      </c>
      <c r="C3037" s="162" t="s">
        <v>7831</v>
      </c>
      <c r="D3037" s="162" t="s">
        <v>7833</v>
      </c>
      <c r="F3037" s="162">
        <v>1920</v>
      </c>
      <c r="G3037" s="162">
        <v>1</v>
      </c>
    </row>
    <row r="3038" spans="2:7">
      <c r="B3038" s="162" t="s">
        <v>682</v>
      </c>
      <c r="C3038" s="162" t="s">
        <v>7834</v>
      </c>
      <c r="D3038" s="162" t="s">
        <v>7830</v>
      </c>
      <c r="F3038" s="162">
        <v>1150</v>
      </c>
      <c r="G3038" s="162">
        <v>1</v>
      </c>
    </row>
    <row r="3039" spans="2:7">
      <c r="B3039" s="162" t="s">
        <v>682</v>
      </c>
      <c r="C3039" s="162" t="s">
        <v>7835</v>
      </c>
      <c r="D3039" s="162" t="s">
        <v>7830</v>
      </c>
      <c r="F3039" s="162">
        <v>580</v>
      </c>
      <c r="G3039" s="162">
        <v>1</v>
      </c>
    </row>
    <row r="3040" spans="2:7">
      <c r="B3040" s="162" t="s">
        <v>682</v>
      </c>
      <c r="C3040" s="162" t="s">
        <v>7836</v>
      </c>
      <c r="D3040" s="162" t="s">
        <v>7830</v>
      </c>
      <c r="F3040" s="162">
        <v>1040</v>
      </c>
      <c r="G3040" s="162">
        <v>1</v>
      </c>
    </row>
    <row r="3041" spans="2:7" ht="28.8">
      <c r="B3041" s="162" t="s">
        <v>682</v>
      </c>
      <c r="C3041" s="162" t="s">
        <v>7837</v>
      </c>
      <c r="D3041" s="162" t="s">
        <v>7838</v>
      </c>
      <c r="F3041" s="162">
        <v>920</v>
      </c>
      <c r="G3041" s="162">
        <v>1</v>
      </c>
    </row>
    <row r="3042" spans="2:7">
      <c r="B3042" s="162" t="s">
        <v>682</v>
      </c>
      <c r="C3042" s="162" t="s">
        <v>7837</v>
      </c>
      <c r="D3042" s="162" t="s">
        <v>7839</v>
      </c>
      <c r="F3042" s="162" t="s">
        <v>7750</v>
      </c>
      <c r="G3042" s="162">
        <v>1</v>
      </c>
    </row>
    <row r="3043" spans="2:7">
      <c r="B3043" s="162" t="s">
        <v>682</v>
      </c>
      <c r="C3043" s="162" t="s">
        <v>7837</v>
      </c>
      <c r="D3043" s="162" t="s">
        <v>7840</v>
      </c>
      <c r="F3043" s="162" t="s">
        <v>7750</v>
      </c>
      <c r="G3043" s="162">
        <v>1</v>
      </c>
    </row>
    <row r="3044" spans="2:7">
      <c r="B3044" s="162" t="s">
        <v>682</v>
      </c>
      <c r="C3044" s="162" t="s">
        <v>7837</v>
      </c>
      <c r="D3044" s="162" t="s">
        <v>7841</v>
      </c>
      <c r="F3044" s="162" t="s">
        <v>7750</v>
      </c>
      <c r="G3044" s="162">
        <v>1</v>
      </c>
    </row>
    <row r="3045" spans="2:7">
      <c r="B3045" s="162" t="s">
        <v>682</v>
      </c>
      <c r="C3045" s="162" t="s">
        <v>7837</v>
      </c>
      <c r="D3045" s="162" t="s">
        <v>7842</v>
      </c>
      <c r="F3045" s="162" t="s">
        <v>7750</v>
      </c>
      <c r="G3045" s="162">
        <v>1</v>
      </c>
    </row>
    <row r="3046" spans="2:7" ht="28.8">
      <c r="B3046" s="162" t="s">
        <v>682</v>
      </c>
      <c r="C3046" s="162" t="s">
        <v>7843</v>
      </c>
      <c r="D3046" s="162" t="s">
        <v>7844</v>
      </c>
      <c r="F3046" s="162" t="s">
        <v>7750</v>
      </c>
      <c r="G3046" s="162">
        <v>1</v>
      </c>
    </row>
    <row r="3047" spans="2:7" ht="28.8">
      <c r="B3047" s="162" t="s">
        <v>682</v>
      </c>
      <c r="C3047" s="162" t="s">
        <v>7843</v>
      </c>
      <c r="D3047" s="162" t="s">
        <v>7845</v>
      </c>
      <c r="F3047" s="162" t="s">
        <v>7750</v>
      </c>
      <c r="G3047" s="162">
        <v>1</v>
      </c>
    </row>
    <row r="3048" spans="2:7" ht="28.8">
      <c r="B3048" s="162" t="s">
        <v>682</v>
      </c>
      <c r="C3048" s="162" t="s">
        <v>7843</v>
      </c>
      <c r="D3048" s="162" t="s">
        <v>7846</v>
      </c>
      <c r="F3048" s="162" t="s">
        <v>7750</v>
      </c>
      <c r="G3048" s="162">
        <v>1</v>
      </c>
    </row>
    <row r="3049" spans="2:7" ht="28.8">
      <c r="B3049" s="162" t="s">
        <v>682</v>
      </c>
      <c r="C3049" s="162" t="s">
        <v>7843</v>
      </c>
      <c r="D3049" s="162" t="s">
        <v>7847</v>
      </c>
      <c r="F3049" s="162" t="s">
        <v>7750</v>
      </c>
      <c r="G3049" s="162">
        <v>1</v>
      </c>
    </row>
    <row r="3050" spans="2:7" ht="43.2">
      <c r="B3050" s="162" t="s">
        <v>682</v>
      </c>
      <c r="C3050" s="162" t="s">
        <v>7848</v>
      </c>
      <c r="D3050" s="162" t="s">
        <v>7849</v>
      </c>
      <c r="F3050" s="162" t="s">
        <v>7750</v>
      </c>
      <c r="G3050" s="162">
        <v>1</v>
      </c>
    </row>
    <row r="3051" spans="2:7" ht="43.2">
      <c r="B3051" s="162" t="s">
        <v>682</v>
      </c>
      <c r="C3051" s="162" t="s">
        <v>7848</v>
      </c>
      <c r="D3051" s="162" t="s">
        <v>7850</v>
      </c>
      <c r="F3051" s="162" t="s">
        <v>7750</v>
      </c>
      <c r="G3051" s="162">
        <v>1</v>
      </c>
    </row>
    <row r="3052" spans="2:7" ht="43.2">
      <c r="B3052" s="162" t="s">
        <v>682</v>
      </c>
      <c r="C3052" s="162" t="s">
        <v>7848</v>
      </c>
      <c r="D3052" s="162" t="s">
        <v>7851</v>
      </c>
      <c r="F3052" s="162" t="s">
        <v>7750</v>
      </c>
      <c r="G3052" s="162">
        <v>1</v>
      </c>
    </row>
    <row r="3053" spans="2:7" ht="43.2">
      <c r="B3053" s="162" t="s">
        <v>682</v>
      </c>
      <c r="C3053" s="162" t="s">
        <v>7848</v>
      </c>
      <c r="D3053" s="162" t="s">
        <v>7852</v>
      </c>
      <c r="F3053" s="162" t="s">
        <v>7750</v>
      </c>
      <c r="G3053" s="162">
        <v>1</v>
      </c>
    </row>
    <row r="3054" spans="2:7">
      <c r="B3054" s="162" t="s">
        <v>682</v>
      </c>
      <c r="C3054" s="162" t="s">
        <v>7853</v>
      </c>
      <c r="D3054" s="162" t="s">
        <v>7854</v>
      </c>
      <c r="F3054" s="162" t="s">
        <v>7750</v>
      </c>
      <c r="G3054" s="162">
        <v>1</v>
      </c>
    </row>
    <row r="3055" spans="2:7" ht="28.8">
      <c r="B3055" s="162" t="s">
        <v>682</v>
      </c>
      <c r="C3055" s="162" t="s">
        <v>7855</v>
      </c>
      <c r="D3055" s="162" t="s">
        <v>7856</v>
      </c>
      <c r="F3055" s="162" t="s">
        <v>7750</v>
      </c>
      <c r="G3055" s="162">
        <v>1</v>
      </c>
    </row>
    <row r="3056" spans="2:7" ht="28.8">
      <c r="B3056" s="162" t="s">
        <v>682</v>
      </c>
      <c r="C3056" s="162" t="s">
        <v>7855</v>
      </c>
      <c r="D3056" s="162" t="s">
        <v>7857</v>
      </c>
      <c r="F3056" s="162" t="s">
        <v>7750</v>
      </c>
      <c r="G3056" s="162">
        <v>1</v>
      </c>
    </row>
    <row r="3057" spans="2:7" ht="43.2">
      <c r="B3057" s="162" t="s">
        <v>682</v>
      </c>
      <c r="C3057" s="162" t="s">
        <v>7858</v>
      </c>
      <c r="D3057" s="162" t="s">
        <v>7859</v>
      </c>
      <c r="F3057" s="162" t="s">
        <v>7750</v>
      </c>
      <c r="G3057" s="162">
        <v>1</v>
      </c>
    </row>
    <row r="3058" spans="2:7" ht="43.2">
      <c r="B3058" s="162" t="s">
        <v>682</v>
      </c>
      <c r="C3058" s="162" t="s">
        <v>7858</v>
      </c>
      <c r="D3058" s="162" t="s">
        <v>7860</v>
      </c>
      <c r="F3058" s="162" t="s">
        <v>7750</v>
      </c>
      <c r="G3058" s="162">
        <v>1</v>
      </c>
    </row>
    <row r="3059" spans="2:7" ht="28.8">
      <c r="B3059" s="162" t="s">
        <v>682</v>
      </c>
      <c r="C3059" s="162" t="s">
        <v>7861</v>
      </c>
      <c r="D3059" s="162" t="s">
        <v>7862</v>
      </c>
      <c r="F3059" s="162" t="s">
        <v>7750</v>
      </c>
      <c r="G3059" s="162">
        <v>1</v>
      </c>
    </row>
    <row r="3060" spans="2:7" ht="28.8">
      <c r="B3060" s="162" t="s">
        <v>682</v>
      </c>
      <c r="C3060" s="162" t="s">
        <v>7861</v>
      </c>
      <c r="D3060" s="162" t="s">
        <v>7863</v>
      </c>
      <c r="F3060" s="162" t="s">
        <v>7750</v>
      </c>
      <c r="G3060" s="162">
        <v>1</v>
      </c>
    </row>
    <row r="3061" spans="2:7" ht="28.8">
      <c r="B3061" s="162" t="s">
        <v>682</v>
      </c>
      <c r="C3061" s="162" t="s">
        <v>7864</v>
      </c>
      <c r="D3061" s="162" t="s">
        <v>7865</v>
      </c>
      <c r="F3061" s="162" t="s">
        <v>7750</v>
      </c>
      <c r="G3061" s="162">
        <v>1</v>
      </c>
    </row>
    <row r="3062" spans="2:7" ht="28.8">
      <c r="B3062" s="162" t="s">
        <v>682</v>
      </c>
      <c r="C3062" s="162" t="s">
        <v>7864</v>
      </c>
      <c r="D3062" s="162" t="s">
        <v>7866</v>
      </c>
      <c r="F3062" s="162" t="s">
        <v>7750</v>
      </c>
      <c r="G3062" s="162">
        <v>1</v>
      </c>
    </row>
    <row r="3063" spans="2:7" ht="28.8">
      <c r="B3063" s="162" t="s">
        <v>682</v>
      </c>
      <c r="C3063" s="162" t="s">
        <v>7867</v>
      </c>
      <c r="D3063" s="162" t="s">
        <v>7868</v>
      </c>
      <c r="F3063" s="162">
        <v>3230</v>
      </c>
      <c r="G3063" s="162">
        <v>1</v>
      </c>
    </row>
    <row r="3064" spans="2:7" ht="28.8">
      <c r="B3064" s="162" t="s">
        <v>682</v>
      </c>
      <c r="C3064" s="162" t="s">
        <v>7869</v>
      </c>
      <c r="D3064" s="162" t="s">
        <v>7759</v>
      </c>
      <c r="F3064" s="162">
        <v>1150</v>
      </c>
      <c r="G3064" s="162">
        <v>1</v>
      </c>
    </row>
    <row r="3065" spans="2:7">
      <c r="B3065" s="162" t="s">
        <v>682</v>
      </c>
      <c r="C3065" s="162" t="s">
        <v>7870</v>
      </c>
      <c r="D3065" s="162" t="s">
        <v>7871</v>
      </c>
      <c r="F3065" s="162" t="s">
        <v>7750</v>
      </c>
      <c r="G3065" s="162">
        <v>1</v>
      </c>
    </row>
    <row r="3066" spans="2:7" ht="28.8">
      <c r="B3066" s="162" t="s">
        <v>682</v>
      </c>
      <c r="C3066" s="162" t="s">
        <v>7872</v>
      </c>
      <c r="D3066" s="162" t="s">
        <v>7873</v>
      </c>
      <c r="F3066" s="162" t="s">
        <v>7750</v>
      </c>
      <c r="G3066" s="162">
        <v>1</v>
      </c>
    </row>
    <row r="3067" spans="2:7" ht="28.8">
      <c r="B3067" s="162" t="s">
        <v>682</v>
      </c>
      <c r="C3067" s="162" t="s">
        <v>7874</v>
      </c>
      <c r="D3067" s="162" t="s">
        <v>7875</v>
      </c>
      <c r="F3067" s="162" t="s">
        <v>7750</v>
      </c>
      <c r="G3067" s="162">
        <v>1</v>
      </c>
    </row>
    <row r="3068" spans="2:7">
      <c r="B3068" s="162" t="s">
        <v>682</v>
      </c>
      <c r="C3068" s="162" t="s">
        <v>7876</v>
      </c>
      <c r="D3068" s="162" t="s">
        <v>7877</v>
      </c>
      <c r="F3068" s="162">
        <v>220</v>
      </c>
      <c r="G3068" s="162">
        <v>1</v>
      </c>
    </row>
    <row r="3069" spans="2:7">
      <c r="B3069" s="162" t="s">
        <v>682</v>
      </c>
      <c r="C3069" s="162" t="s">
        <v>7876</v>
      </c>
      <c r="D3069" s="162" t="s">
        <v>7878</v>
      </c>
      <c r="F3069" s="162">
        <v>210</v>
      </c>
      <c r="G3069" s="162">
        <v>1</v>
      </c>
    </row>
    <row r="3070" spans="2:7">
      <c r="B3070" s="162" t="s">
        <v>682</v>
      </c>
      <c r="C3070" s="162" t="s">
        <v>7879</v>
      </c>
      <c r="D3070" s="162" t="s">
        <v>7880</v>
      </c>
      <c r="F3070" s="162">
        <v>8080</v>
      </c>
      <c r="G3070" s="162">
        <v>1</v>
      </c>
    </row>
    <row r="3071" spans="2:7">
      <c r="B3071" s="162" t="s">
        <v>682</v>
      </c>
      <c r="C3071" s="162" t="s">
        <v>7881</v>
      </c>
      <c r="D3071" s="162" t="s">
        <v>7882</v>
      </c>
      <c r="F3071" s="162" t="s">
        <v>7750</v>
      </c>
      <c r="G3071" s="162">
        <v>1</v>
      </c>
    </row>
    <row r="3072" spans="2:7">
      <c r="B3072" s="162" t="s">
        <v>682</v>
      </c>
      <c r="C3072" s="162" t="s">
        <v>7883</v>
      </c>
      <c r="D3072" s="162" t="s">
        <v>7884</v>
      </c>
      <c r="F3072" s="162">
        <v>4610</v>
      </c>
      <c r="G3072" s="162">
        <v>1</v>
      </c>
    </row>
    <row r="3073" spans="2:7" ht="28.8">
      <c r="B3073" s="162" t="s">
        <v>682</v>
      </c>
      <c r="C3073" s="162" t="s">
        <v>7885</v>
      </c>
      <c r="D3073" s="162" t="s">
        <v>7886</v>
      </c>
      <c r="F3073" s="162">
        <v>6920</v>
      </c>
      <c r="G3073" s="162">
        <v>1</v>
      </c>
    </row>
    <row r="3074" spans="2:7" ht="28.8">
      <c r="B3074" s="162" t="s">
        <v>682</v>
      </c>
      <c r="C3074" s="162" t="s">
        <v>7885</v>
      </c>
      <c r="D3074" s="162" t="s">
        <v>7887</v>
      </c>
      <c r="F3074" s="162">
        <v>6920</v>
      </c>
      <c r="G3074" s="162">
        <v>1</v>
      </c>
    </row>
    <row r="3075" spans="2:7">
      <c r="B3075" s="162" t="s">
        <v>682</v>
      </c>
      <c r="C3075" s="162" t="s">
        <v>7888</v>
      </c>
      <c r="D3075" s="162" t="s">
        <v>7889</v>
      </c>
      <c r="F3075" s="162">
        <v>6920</v>
      </c>
      <c r="G3075" s="162">
        <v>1</v>
      </c>
    </row>
    <row r="3076" spans="2:7" ht="28.8">
      <c r="B3076" s="162" t="s">
        <v>682</v>
      </c>
      <c r="C3076" s="162" t="s">
        <v>7890</v>
      </c>
      <c r="D3076" s="162" t="s">
        <v>7891</v>
      </c>
      <c r="F3076" s="162">
        <v>66</v>
      </c>
      <c r="G3076" s="162">
        <v>1</v>
      </c>
    </row>
    <row r="3077" spans="2:7" ht="28.8">
      <c r="B3077" s="162" t="s">
        <v>682</v>
      </c>
      <c r="C3077" s="162" t="s">
        <v>7892</v>
      </c>
      <c r="D3077" s="162" t="s">
        <v>7893</v>
      </c>
      <c r="F3077" s="162">
        <v>78</v>
      </c>
      <c r="G3077" s="162">
        <v>1</v>
      </c>
    </row>
    <row r="3078" spans="2:7" ht="28.8">
      <c r="B3078" s="162" t="s">
        <v>682</v>
      </c>
      <c r="C3078" s="162" t="s">
        <v>7894</v>
      </c>
      <c r="D3078" s="162" t="s">
        <v>7895</v>
      </c>
      <c r="F3078" s="162">
        <v>88</v>
      </c>
      <c r="G3078" s="162">
        <v>1</v>
      </c>
    </row>
    <row r="3079" spans="2:7" ht="43.2">
      <c r="B3079" s="162" t="s">
        <v>682</v>
      </c>
      <c r="C3079" s="162" t="s">
        <v>7896</v>
      </c>
      <c r="D3079" s="162" t="s">
        <v>7897</v>
      </c>
      <c r="F3079" s="162">
        <v>390</v>
      </c>
      <c r="G3079" s="162">
        <v>1</v>
      </c>
    </row>
    <row r="3080" spans="2:7" ht="43.2">
      <c r="B3080" s="162" t="s">
        <v>682</v>
      </c>
      <c r="C3080" s="162" t="s">
        <v>7898</v>
      </c>
      <c r="D3080" s="162" t="s">
        <v>7899</v>
      </c>
      <c r="F3080" s="162">
        <v>400</v>
      </c>
      <c r="G3080" s="162">
        <v>1</v>
      </c>
    </row>
    <row r="3081" spans="2:7" ht="43.2">
      <c r="B3081" s="162" t="s">
        <v>682</v>
      </c>
      <c r="C3081" s="162" t="s">
        <v>7900</v>
      </c>
      <c r="D3081" s="162" t="s">
        <v>7901</v>
      </c>
      <c r="F3081" s="162">
        <v>460</v>
      </c>
      <c r="G3081" s="162">
        <v>1</v>
      </c>
    </row>
    <row r="3082" spans="2:7" ht="43.2">
      <c r="B3082" s="162" t="s">
        <v>682</v>
      </c>
      <c r="C3082" s="162" t="s">
        <v>7902</v>
      </c>
      <c r="D3082" s="162" t="s">
        <v>7903</v>
      </c>
      <c r="F3082" s="162">
        <v>480</v>
      </c>
      <c r="G3082" s="162">
        <v>1</v>
      </c>
    </row>
    <row r="3083" spans="2:7" ht="28.8">
      <c r="B3083" s="162" t="s">
        <v>682</v>
      </c>
      <c r="C3083" s="162" t="s">
        <v>7904</v>
      </c>
      <c r="D3083" s="162" t="s">
        <v>7905</v>
      </c>
      <c r="F3083" s="162" t="s">
        <v>7750</v>
      </c>
      <c r="G3083" s="162">
        <v>1</v>
      </c>
    </row>
    <row r="3084" spans="2:7" ht="28.8">
      <c r="B3084" s="162" t="s">
        <v>683</v>
      </c>
      <c r="C3084" s="162" t="s">
        <v>7906</v>
      </c>
      <c r="D3084" s="162" t="s">
        <v>7907</v>
      </c>
      <c r="E3084" s="162" t="s">
        <v>7908</v>
      </c>
      <c r="F3084" s="162">
        <v>129</v>
      </c>
      <c r="G3084" s="162">
        <v>1</v>
      </c>
    </row>
    <row r="3085" spans="2:7" ht="28.8">
      <c r="B3085" s="162" t="s">
        <v>683</v>
      </c>
      <c r="C3085" s="162" t="s">
        <v>7909</v>
      </c>
      <c r="D3085" s="162" t="s">
        <v>7910</v>
      </c>
      <c r="E3085" s="162" t="s">
        <v>7911</v>
      </c>
      <c r="F3085" s="162">
        <v>129</v>
      </c>
      <c r="G3085" s="162">
        <v>1</v>
      </c>
    </row>
    <row r="3086" spans="2:7" ht="28.8">
      <c r="B3086" s="162" t="s">
        <v>683</v>
      </c>
      <c r="C3086" s="162" t="s">
        <v>7912</v>
      </c>
      <c r="D3086" s="162" t="s">
        <v>7913</v>
      </c>
      <c r="E3086" s="162" t="s">
        <v>7914</v>
      </c>
      <c r="F3086" s="162">
        <v>91</v>
      </c>
      <c r="G3086" s="162">
        <v>1</v>
      </c>
    </row>
    <row r="3087" spans="2:7">
      <c r="B3087" s="162" t="s">
        <v>683</v>
      </c>
      <c r="C3087" s="162" t="s">
        <v>7915</v>
      </c>
      <c r="D3087" s="162" t="s">
        <v>7916</v>
      </c>
      <c r="E3087" s="162" t="s">
        <v>7917</v>
      </c>
      <c r="F3087" s="162">
        <v>95</v>
      </c>
      <c r="G3087" s="162">
        <v>1</v>
      </c>
    </row>
    <row r="3088" spans="2:7" ht="43.2">
      <c r="B3088" s="162" t="s">
        <v>683</v>
      </c>
      <c r="C3088" s="162" t="s">
        <v>7918</v>
      </c>
      <c r="D3088" s="162" t="s">
        <v>7919</v>
      </c>
      <c r="E3088" s="162" t="s">
        <v>7920</v>
      </c>
      <c r="F3088" s="162">
        <v>91</v>
      </c>
      <c r="G3088" s="162">
        <v>1</v>
      </c>
    </row>
    <row r="3089" spans="2:7" ht="28.8">
      <c r="B3089" s="162" t="s">
        <v>683</v>
      </c>
      <c r="C3089" s="162" t="s">
        <v>7921</v>
      </c>
      <c r="D3089" s="162" t="s">
        <v>7922</v>
      </c>
      <c r="E3089" s="162" t="s">
        <v>7923</v>
      </c>
      <c r="F3089" s="162">
        <v>328</v>
      </c>
      <c r="G3089" s="162">
        <v>1</v>
      </c>
    </row>
    <row r="3090" spans="2:7" ht="28.8">
      <c r="B3090" s="162" t="s">
        <v>683</v>
      </c>
      <c r="C3090" s="162" t="s">
        <v>7924</v>
      </c>
      <c r="D3090" s="162" t="s">
        <v>7925</v>
      </c>
      <c r="E3090" s="162" t="s">
        <v>7926</v>
      </c>
      <c r="F3090" s="162">
        <v>328</v>
      </c>
      <c r="G3090" s="162">
        <v>1</v>
      </c>
    </row>
    <row r="3091" spans="2:7" ht="28.8">
      <c r="B3091" s="162" t="s">
        <v>683</v>
      </c>
      <c r="C3091" s="162" t="s">
        <v>7927</v>
      </c>
      <c r="D3091" s="162" t="s">
        <v>7928</v>
      </c>
      <c r="E3091" s="162" t="s">
        <v>7929</v>
      </c>
      <c r="F3091" s="162">
        <v>328</v>
      </c>
      <c r="G3091" s="162">
        <v>1</v>
      </c>
    </row>
    <row r="3092" spans="2:7" ht="28.8">
      <c r="B3092" s="162" t="s">
        <v>683</v>
      </c>
      <c r="C3092" s="162" t="s">
        <v>7930</v>
      </c>
      <c r="D3092" s="162" t="s">
        <v>7931</v>
      </c>
      <c r="E3092" s="162" t="s">
        <v>7932</v>
      </c>
      <c r="F3092" s="162">
        <v>328</v>
      </c>
      <c r="G3092" s="162">
        <v>1</v>
      </c>
    </row>
    <row r="3093" spans="2:7" ht="28.8">
      <c r="B3093" s="162" t="s">
        <v>683</v>
      </c>
      <c r="C3093" s="162" t="s">
        <v>7933</v>
      </c>
      <c r="D3093" s="162" t="s">
        <v>7934</v>
      </c>
      <c r="E3093" s="162" t="s">
        <v>7935</v>
      </c>
      <c r="F3093" s="162">
        <v>328</v>
      </c>
      <c r="G3093" s="162">
        <v>1</v>
      </c>
    </row>
    <row r="3094" spans="2:7">
      <c r="B3094" s="162" t="s">
        <v>683</v>
      </c>
      <c r="C3094" s="162" t="s">
        <v>7936</v>
      </c>
      <c r="D3094" s="162" t="s">
        <v>7937</v>
      </c>
      <c r="E3094" s="162" t="s">
        <v>7938</v>
      </c>
      <c r="F3094" s="162">
        <v>328</v>
      </c>
      <c r="G3094" s="162">
        <v>1</v>
      </c>
    </row>
    <row r="3095" spans="2:7">
      <c r="B3095" s="162" t="s">
        <v>683</v>
      </c>
      <c r="C3095" s="162" t="s">
        <v>7939</v>
      </c>
      <c r="D3095" s="162" t="s">
        <v>7940</v>
      </c>
      <c r="E3095" s="162" t="s">
        <v>7941</v>
      </c>
      <c r="F3095" s="162">
        <v>328</v>
      </c>
      <c r="G3095" s="162">
        <v>1</v>
      </c>
    </row>
    <row r="3096" spans="2:7">
      <c r="B3096" s="162" t="s">
        <v>683</v>
      </c>
      <c r="C3096" s="162" t="s">
        <v>7942</v>
      </c>
      <c r="D3096" s="162" t="s">
        <v>7943</v>
      </c>
      <c r="E3096" s="162" t="s">
        <v>7944</v>
      </c>
      <c r="F3096" s="162">
        <v>328</v>
      </c>
      <c r="G3096" s="162">
        <v>1</v>
      </c>
    </row>
    <row r="3097" spans="2:7">
      <c r="B3097" s="162" t="s">
        <v>683</v>
      </c>
      <c r="C3097" s="162" t="s">
        <v>7945</v>
      </c>
      <c r="D3097" s="162" t="s">
        <v>7946</v>
      </c>
      <c r="E3097" s="162" t="s">
        <v>7947</v>
      </c>
      <c r="F3097" s="162">
        <v>328</v>
      </c>
      <c r="G3097" s="162">
        <v>1</v>
      </c>
    </row>
    <row r="3098" spans="2:7" ht="28.8">
      <c r="B3098" s="162" t="s">
        <v>683</v>
      </c>
      <c r="C3098" s="162" t="s">
        <v>7948</v>
      </c>
      <c r="D3098" s="162" t="s">
        <v>7949</v>
      </c>
      <c r="E3098" s="162" t="s">
        <v>7950</v>
      </c>
      <c r="F3098" s="162">
        <v>328</v>
      </c>
      <c r="G3098" s="162">
        <v>1</v>
      </c>
    </row>
    <row r="3099" spans="2:7" ht="28.8">
      <c r="B3099" s="162" t="s">
        <v>683</v>
      </c>
      <c r="C3099" s="162" t="s">
        <v>7951</v>
      </c>
      <c r="D3099" s="162" t="s">
        <v>7949</v>
      </c>
      <c r="E3099" s="162" t="s">
        <v>7952</v>
      </c>
      <c r="F3099" s="162">
        <v>328</v>
      </c>
      <c r="G3099" s="162">
        <v>1</v>
      </c>
    </row>
    <row r="3100" spans="2:7" ht="28.8">
      <c r="B3100" s="162" t="s">
        <v>683</v>
      </c>
      <c r="C3100" s="162" t="s">
        <v>7953</v>
      </c>
      <c r="D3100" s="162" t="s">
        <v>7954</v>
      </c>
      <c r="E3100" s="162" t="s">
        <v>7955</v>
      </c>
      <c r="F3100" s="162">
        <v>328</v>
      </c>
      <c r="G3100" s="162">
        <v>1</v>
      </c>
    </row>
    <row r="3101" spans="2:7" ht="28.8">
      <c r="B3101" s="162" t="s">
        <v>683</v>
      </c>
      <c r="C3101" s="162" t="s">
        <v>7956</v>
      </c>
      <c r="D3101" s="162" t="s">
        <v>7957</v>
      </c>
      <c r="E3101" s="162" t="s">
        <v>7958</v>
      </c>
      <c r="F3101" s="162">
        <v>328</v>
      </c>
      <c r="G3101" s="162">
        <v>1</v>
      </c>
    </row>
    <row r="3102" spans="2:7" ht="28.8">
      <c r="B3102" s="162" t="s">
        <v>683</v>
      </c>
      <c r="C3102" s="162" t="s">
        <v>7959</v>
      </c>
      <c r="D3102" s="162" t="s">
        <v>7960</v>
      </c>
      <c r="E3102" s="162" t="s">
        <v>7961</v>
      </c>
      <c r="F3102" s="162">
        <v>204</v>
      </c>
      <c r="G3102" s="162">
        <v>1</v>
      </c>
    </row>
    <row r="3103" spans="2:7" ht="28.8">
      <c r="B3103" s="162" t="s">
        <v>683</v>
      </c>
      <c r="C3103" s="162" t="s">
        <v>7962</v>
      </c>
      <c r="D3103" s="162" t="s">
        <v>7963</v>
      </c>
      <c r="E3103" s="162" t="s">
        <v>7964</v>
      </c>
      <c r="F3103" s="162">
        <v>204</v>
      </c>
      <c r="G3103" s="162">
        <v>1</v>
      </c>
    </row>
    <row r="3104" spans="2:7" ht="28.8">
      <c r="B3104" s="162" t="s">
        <v>683</v>
      </c>
      <c r="C3104" s="162" t="s">
        <v>7965</v>
      </c>
      <c r="D3104" s="162" t="s">
        <v>7966</v>
      </c>
      <c r="E3104" s="162" t="s">
        <v>7967</v>
      </c>
      <c r="F3104" s="162">
        <v>204</v>
      </c>
      <c r="G3104" s="162">
        <v>1</v>
      </c>
    </row>
    <row r="3105" spans="2:7">
      <c r="B3105" s="162" t="s">
        <v>683</v>
      </c>
      <c r="C3105" s="162" t="s">
        <v>7968</v>
      </c>
      <c r="D3105" s="162" t="s">
        <v>7969</v>
      </c>
      <c r="E3105" s="162" t="s">
        <v>7970</v>
      </c>
      <c r="F3105" s="162">
        <v>276</v>
      </c>
      <c r="G3105" s="162">
        <v>1</v>
      </c>
    </row>
    <row r="3106" spans="2:7">
      <c r="B3106" s="162" t="s">
        <v>683</v>
      </c>
      <c r="C3106" s="162" t="s">
        <v>7971</v>
      </c>
      <c r="D3106" s="162" t="s">
        <v>7972</v>
      </c>
      <c r="E3106" s="162" t="s">
        <v>7973</v>
      </c>
      <c r="F3106" s="162">
        <v>457</v>
      </c>
      <c r="G3106" s="162">
        <v>1</v>
      </c>
    </row>
    <row r="3107" spans="2:7">
      <c r="B3107" s="162" t="s">
        <v>683</v>
      </c>
      <c r="C3107" s="162" t="s">
        <v>7974</v>
      </c>
      <c r="D3107" s="162" t="s">
        <v>7975</v>
      </c>
      <c r="E3107" s="162" t="s">
        <v>7976</v>
      </c>
      <c r="F3107" s="162">
        <v>457</v>
      </c>
      <c r="G3107" s="162">
        <v>1</v>
      </c>
    </row>
    <row r="3108" spans="2:7" ht="28.8">
      <c r="B3108" s="162" t="s">
        <v>683</v>
      </c>
      <c r="C3108" s="162" t="s">
        <v>7977</v>
      </c>
      <c r="D3108" s="162" t="s">
        <v>7978</v>
      </c>
      <c r="E3108" s="162" t="s">
        <v>7979</v>
      </c>
      <c r="F3108" s="162">
        <v>696</v>
      </c>
      <c r="G3108" s="162">
        <v>1</v>
      </c>
    </row>
    <row r="3109" spans="2:7" ht="28.8">
      <c r="B3109" s="162" t="s">
        <v>683</v>
      </c>
      <c r="C3109" s="162" t="s">
        <v>7980</v>
      </c>
      <c r="D3109" s="162" t="s">
        <v>7981</v>
      </c>
      <c r="E3109" s="162" t="s">
        <v>7982</v>
      </c>
      <c r="F3109" s="162">
        <v>696</v>
      </c>
      <c r="G3109" s="162">
        <v>1</v>
      </c>
    </row>
    <row r="3110" spans="2:7" ht="28.8">
      <c r="B3110" s="162" t="s">
        <v>683</v>
      </c>
      <c r="C3110" s="162" t="s">
        <v>7983</v>
      </c>
      <c r="D3110" s="162" t="s">
        <v>7984</v>
      </c>
      <c r="E3110" s="162" t="s">
        <v>7985</v>
      </c>
      <c r="F3110" s="162">
        <v>696</v>
      </c>
      <c r="G3110" s="162">
        <v>1</v>
      </c>
    </row>
    <row r="3111" spans="2:7" ht="28.8">
      <c r="B3111" s="162" t="s">
        <v>683</v>
      </c>
      <c r="C3111" s="162" t="s">
        <v>7986</v>
      </c>
      <c r="D3111" s="162" t="s">
        <v>7987</v>
      </c>
      <c r="E3111" s="162" t="s">
        <v>7988</v>
      </c>
      <c r="F3111" s="162">
        <v>696</v>
      </c>
      <c r="G3111" s="162">
        <v>1</v>
      </c>
    </row>
    <row r="3112" spans="2:7" ht="28.8">
      <c r="B3112" s="162" t="s">
        <v>683</v>
      </c>
      <c r="C3112" s="162" t="s">
        <v>7989</v>
      </c>
      <c r="D3112" s="162" t="s">
        <v>7990</v>
      </c>
      <c r="E3112" s="162" t="s">
        <v>7991</v>
      </c>
      <c r="F3112" s="162">
        <v>696</v>
      </c>
      <c r="G3112" s="162">
        <v>1</v>
      </c>
    </row>
    <row r="3113" spans="2:7" ht="28.8">
      <c r="B3113" s="162" t="s">
        <v>683</v>
      </c>
      <c r="C3113" s="162" t="s">
        <v>7992</v>
      </c>
      <c r="D3113" s="162" t="s">
        <v>7993</v>
      </c>
      <c r="E3113" s="162" t="s">
        <v>7994</v>
      </c>
      <c r="F3113" s="162">
        <v>696</v>
      </c>
      <c r="G3113" s="162">
        <v>1</v>
      </c>
    </row>
    <row r="3114" spans="2:7" ht="28.8">
      <c r="B3114" s="162" t="s">
        <v>683</v>
      </c>
      <c r="C3114" s="162" t="s">
        <v>7995</v>
      </c>
      <c r="D3114" s="162" t="s">
        <v>7996</v>
      </c>
      <c r="E3114" s="162" t="s">
        <v>7997</v>
      </c>
      <c r="F3114" s="162">
        <v>696</v>
      </c>
      <c r="G3114" s="162">
        <v>1</v>
      </c>
    </row>
    <row r="3115" spans="2:7" ht="28.8">
      <c r="B3115" s="162" t="s">
        <v>683</v>
      </c>
      <c r="C3115" s="162" t="s">
        <v>7998</v>
      </c>
      <c r="D3115" s="162" t="s">
        <v>7999</v>
      </c>
      <c r="E3115" s="162" t="s">
        <v>8000</v>
      </c>
      <c r="F3115" s="162">
        <v>696</v>
      </c>
      <c r="G3115" s="162">
        <v>1</v>
      </c>
    </row>
    <row r="3116" spans="2:7" ht="28.8">
      <c r="B3116" s="162" t="s">
        <v>683</v>
      </c>
      <c r="C3116" s="162" t="s">
        <v>8001</v>
      </c>
      <c r="D3116" s="162" t="s">
        <v>8002</v>
      </c>
      <c r="E3116" s="162" t="s">
        <v>8003</v>
      </c>
      <c r="F3116" s="162">
        <v>696</v>
      </c>
      <c r="G3116" s="162">
        <v>1</v>
      </c>
    </row>
    <row r="3117" spans="2:7">
      <c r="B3117" s="162" t="s">
        <v>683</v>
      </c>
      <c r="C3117" s="162" t="s">
        <v>8004</v>
      </c>
      <c r="D3117" s="162" t="s">
        <v>8005</v>
      </c>
      <c r="E3117" s="162" t="s">
        <v>8006</v>
      </c>
      <c r="F3117" s="162">
        <v>696</v>
      </c>
      <c r="G3117" s="162">
        <v>1</v>
      </c>
    </row>
    <row r="3118" spans="2:7">
      <c r="B3118" s="162" t="s">
        <v>683</v>
      </c>
      <c r="C3118" s="162" t="s">
        <v>8007</v>
      </c>
      <c r="D3118" s="162" t="s">
        <v>8008</v>
      </c>
      <c r="E3118" s="162" t="s">
        <v>8009</v>
      </c>
      <c r="F3118" s="162">
        <v>696</v>
      </c>
      <c r="G3118" s="162">
        <v>1</v>
      </c>
    </row>
    <row r="3119" spans="2:7" ht="28.8">
      <c r="B3119" s="162" t="s">
        <v>683</v>
      </c>
      <c r="C3119" s="162" t="s">
        <v>8010</v>
      </c>
      <c r="D3119" s="162" t="s">
        <v>8011</v>
      </c>
      <c r="E3119" s="162" t="s">
        <v>8012</v>
      </c>
      <c r="F3119" s="162">
        <v>48</v>
      </c>
      <c r="G3119" s="162">
        <v>1</v>
      </c>
    </row>
    <row r="3120" spans="2:7" ht="28.8">
      <c r="B3120" s="162" t="s">
        <v>683</v>
      </c>
      <c r="C3120" s="162" t="s">
        <v>8013</v>
      </c>
      <c r="D3120" s="162" t="s">
        <v>8014</v>
      </c>
      <c r="E3120" s="162" t="s">
        <v>8015</v>
      </c>
      <c r="F3120" s="162">
        <v>659</v>
      </c>
      <c r="G3120" s="162">
        <v>1</v>
      </c>
    </row>
    <row r="3121" spans="2:7" ht="28.8">
      <c r="B3121" s="162" t="s">
        <v>683</v>
      </c>
      <c r="C3121" s="162" t="s">
        <v>8016</v>
      </c>
      <c r="D3121" s="162" t="s">
        <v>8017</v>
      </c>
      <c r="E3121" s="162" t="s">
        <v>8018</v>
      </c>
      <c r="F3121" s="162">
        <v>659</v>
      </c>
      <c r="G3121" s="162">
        <v>1</v>
      </c>
    </row>
    <row r="3122" spans="2:7" ht="28.8">
      <c r="B3122" s="162" t="s">
        <v>683</v>
      </c>
      <c r="C3122" s="162" t="s">
        <v>8019</v>
      </c>
      <c r="D3122" s="162" t="s">
        <v>8020</v>
      </c>
      <c r="E3122" s="162" t="s">
        <v>8021</v>
      </c>
      <c r="F3122" s="162">
        <v>659</v>
      </c>
      <c r="G3122" s="162">
        <v>1</v>
      </c>
    </row>
    <row r="3123" spans="2:7" ht="28.8">
      <c r="B3123" s="162" t="s">
        <v>683</v>
      </c>
      <c r="C3123" s="162" t="s">
        <v>8022</v>
      </c>
      <c r="D3123" s="162" t="s">
        <v>8023</v>
      </c>
      <c r="E3123" s="162" t="s">
        <v>8024</v>
      </c>
      <c r="F3123" s="162">
        <v>659</v>
      </c>
      <c r="G3123" s="162">
        <v>1</v>
      </c>
    </row>
    <row r="3124" spans="2:7" ht="28.8">
      <c r="B3124" s="162" t="s">
        <v>683</v>
      </c>
      <c r="C3124" s="162" t="s">
        <v>8025</v>
      </c>
      <c r="D3124" s="162" t="s">
        <v>8026</v>
      </c>
      <c r="E3124" s="162" t="s">
        <v>8027</v>
      </c>
      <c r="F3124" s="162">
        <v>659</v>
      </c>
      <c r="G3124" s="162">
        <v>1</v>
      </c>
    </row>
    <row r="3125" spans="2:7" ht="43.2">
      <c r="B3125" s="162" t="s">
        <v>683</v>
      </c>
      <c r="C3125" s="162" t="s">
        <v>8028</v>
      </c>
      <c r="D3125" s="162" t="s">
        <v>8029</v>
      </c>
      <c r="E3125" s="162" t="s">
        <v>8030</v>
      </c>
      <c r="F3125" s="162">
        <v>659</v>
      </c>
      <c r="G3125" s="162">
        <v>1</v>
      </c>
    </row>
    <row r="3126" spans="2:7" ht="43.2">
      <c r="B3126" s="162" t="s">
        <v>683</v>
      </c>
      <c r="C3126" s="162" t="s">
        <v>8031</v>
      </c>
      <c r="D3126" s="162" t="s">
        <v>8032</v>
      </c>
      <c r="E3126" s="162" t="s">
        <v>8033</v>
      </c>
      <c r="F3126" s="162">
        <v>659</v>
      </c>
      <c r="G3126" s="162">
        <v>1</v>
      </c>
    </row>
    <row r="3127" spans="2:7" ht="43.2">
      <c r="B3127" s="162" t="s">
        <v>683</v>
      </c>
      <c r="C3127" s="162" t="s">
        <v>8034</v>
      </c>
      <c r="D3127" s="162" t="s">
        <v>8035</v>
      </c>
      <c r="E3127" s="162" t="s">
        <v>8036</v>
      </c>
      <c r="F3127" s="162">
        <v>659</v>
      </c>
      <c r="G3127" s="162">
        <v>1</v>
      </c>
    </row>
    <row r="3128" spans="2:7" ht="43.2">
      <c r="B3128" s="162" t="s">
        <v>683</v>
      </c>
      <c r="C3128" s="162" t="s">
        <v>8037</v>
      </c>
      <c r="D3128" s="162" t="s">
        <v>8038</v>
      </c>
      <c r="E3128" s="162" t="s">
        <v>8039</v>
      </c>
      <c r="F3128" s="162">
        <v>659</v>
      </c>
      <c r="G3128" s="162">
        <v>1</v>
      </c>
    </row>
    <row r="3129" spans="2:7" ht="28.8">
      <c r="B3129" s="162" t="s">
        <v>683</v>
      </c>
      <c r="C3129" s="162" t="s">
        <v>8040</v>
      </c>
      <c r="D3129" s="162" t="s">
        <v>8041</v>
      </c>
      <c r="E3129" s="162" t="s">
        <v>8042</v>
      </c>
      <c r="F3129" s="162">
        <v>659</v>
      </c>
      <c r="G3129" s="162">
        <v>1</v>
      </c>
    </row>
    <row r="3130" spans="2:7" ht="28.8">
      <c r="B3130" s="162" t="s">
        <v>683</v>
      </c>
      <c r="C3130" s="162" t="s">
        <v>8043</v>
      </c>
      <c r="D3130" s="162" t="s">
        <v>8044</v>
      </c>
      <c r="E3130" s="162" t="s">
        <v>8045</v>
      </c>
      <c r="F3130" s="162">
        <v>659</v>
      </c>
      <c r="G3130" s="162">
        <v>1</v>
      </c>
    </row>
    <row r="3131" spans="2:7" ht="28.8">
      <c r="B3131" s="162" t="s">
        <v>683</v>
      </c>
      <c r="C3131" s="162" t="s">
        <v>8046</v>
      </c>
      <c r="D3131" s="162" t="s">
        <v>8047</v>
      </c>
      <c r="E3131" s="162" t="s">
        <v>8048</v>
      </c>
      <c r="F3131" s="162">
        <v>659</v>
      </c>
      <c r="G3131" s="162">
        <v>1</v>
      </c>
    </row>
    <row r="3132" spans="2:7" ht="28.8">
      <c r="B3132" s="162" t="s">
        <v>683</v>
      </c>
      <c r="C3132" s="162" t="s">
        <v>8049</v>
      </c>
      <c r="D3132" s="162" t="s">
        <v>8050</v>
      </c>
      <c r="E3132" s="162" t="s">
        <v>8051</v>
      </c>
      <c r="F3132" s="162">
        <v>659</v>
      </c>
      <c r="G3132" s="162">
        <v>1</v>
      </c>
    </row>
    <row r="3133" spans="2:7" ht="28.8">
      <c r="B3133" s="162" t="s">
        <v>683</v>
      </c>
      <c r="C3133" s="162" t="s">
        <v>8052</v>
      </c>
      <c r="D3133" s="162" t="s">
        <v>8053</v>
      </c>
      <c r="E3133" s="162" t="s">
        <v>8054</v>
      </c>
      <c r="F3133" s="162">
        <v>443</v>
      </c>
      <c r="G3133" s="162">
        <v>1</v>
      </c>
    </row>
    <row r="3134" spans="2:7">
      <c r="B3134" s="162" t="s">
        <v>683</v>
      </c>
      <c r="C3134" s="162" t="s">
        <v>8055</v>
      </c>
      <c r="D3134" s="162" t="s">
        <v>7972</v>
      </c>
      <c r="E3134" s="162" t="s">
        <v>8056</v>
      </c>
      <c r="F3134" s="162">
        <v>443</v>
      </c>
      <c r="G3134" s="162">
        <v>1</v>
      </c>
    </row>
    <row r="3135" spans="2:7" ht="28.8">
      <c r="B3135" s="162" t="s">
        <v>683</v>
      </c>
      <c r="C3135" s="162" t="s">
        <v>8057</v>
      </c>
      <c r="D3135" s="162" t="s">
        <v>8058</v>
      </c>
      <c r="E3135" s="162" t="s">
        <v>8059</v>
      </c>
      <c r="F3135" s="162">
        <v>720</v>
      </c>
      <c r="G3135" s="162">
        <v>1</v>
      </c>
    </row>
    <row r="3136" spans="2:7">
      <c r="B3136" s="162" t="s">
        <v>683</v>
      </c>
      <c r="C3136" s="162" t="s">
        <v>8060</v>
      </c>
      <c r="D3136" s="162" t="s">
        <v>8061</v>
      </c>
      <c r="E3136" s="162" t="s">
        <v>8062</v>
      </c>
      <c r="F3136" s="162">
        <v>659</v>
      </c>
      <c r="G3136" s="162">
        <v>1</v>
      </c>
    </row>
    <row r="3137" spans="2:7" ht="28.8">
      <c r="B3137" s="162" t="s">
        <v>683</v>
      </c>
      <c r="C3137" s="162" t="s">
        <v>8063</v>
      </c>
      <c r="D3137" s="162" t="s">
        <v>8064</v>
      </c>
      <c r="E3137" s="162" t="s">
        <v>8065</v>
      </c>
      <c r="F3137" s="162">
        <v>48</v>
      </c>
      <c r="G3137" s="162">
        <v>1</v>
      </c>
    </row>
    <row r="3138" spans="2:7" ht="43.2">
      <c r="B3138" s="162" t="s">
        <v>683</v>
      </c>
      <c r="C3138" s="162" t="s">
        <v>8066</v>
      </c>
      <c r="D3138" s="162" t="s">
        <v>8067</v>
      </c>
      <c r="E3138" s="162" t="s">
        <v>8068</v>
      </c>
      <c r="F3138" s="162">
        <v>115</v>
      </c>
      <c r="G3138" s="162">
        <v>1</v>
      </c>
    </row>
    <row r="3139" spans="2:7" ht="43.2">
      <c r="B3139" s="162" t="s">
        <v>683</v>
      </c>
      <c r="C3139" s="162" t="s">
        <v>8069</v>
      </c>
      <c r="D3139" s="162" t="s">
        <v>8067</v>
      </c>
      <c r="E3139" s="162" t="s">
        <v>8070</v>
      </c>
      <c r="F3139" s="162">
        <v>115</v>
      </c>
      <c r="G3139" s="162">
        <v>1</v>
      </c>
    </row>
    <row r="3140" spans="2:7" ht="43.2">
      <c r="B3140" s="162" t="s">
        <v>683</v>
      </c>
      <c r="C3140" s="162" t="s">
        <v>8071</v>
      </c>
      <c r="D3140" s="162" t="s">
        <v>8067</v>
      </c>
      <c r="E3140" s="162" t="s">
        <v>8072</v>
      </c>
      <c r="F3140" s="162">
        <v>115</v>
      </c>
      <c r="G3140" s="162">
        <v>1</v>
      </c>
    </row>
    <row r="3141" spans="2:7" ht="43.2">
      <c r="B3141" s="162" t="s">
        <v>683</v>
      </c>
      <c r="C3141" s="162" t="s">
        <v>8073</v>
      </c>
      <c r="D3141" s="162" t="s">
        <v>8067</v>
      </c>
      <c r="E3141" s="162" t="s">
        <v>8074</v>
      </c>
      <c r="F3141" s="162">
        <v>115</v>
      </c>
      <c r="G3141" s="162">
        <v>1</v>
      </c>
    </row>
    <row r="3142" spans="2:7" ht="43.2">
      <c r="B3142" s="162" t="s">
        <v>683</v>
      </c>
      <c r="C3142" s="162" t="s">
        <v>8075</v>
      </c>
      <c r="D3142" s="162" t="s">
        <v>8067</v>
      </c>
      <c r="E3142" s="162" t="s">
        <v>8076</v>
      </c>
      <c r="F3142" s="162">
        <v>115</v>
      </c>
      <c r="G3142" s="162">
        <v>1</v>
      </c>
    </row>
    <row r="3143" spans="2:7" ht="28.8">
      <c r="B3143" s="162" t="s">
        <v>683</v>
      </c>
      <c r="C3143" s="162" t="s">
        <v>8077</v>
      </c>
      <c r="D3143" s="162" t="s">
        <v>8078</v>
      </c>
      <c r="E3143" s="162" t="s">
        <v>8079</v>
      </c>
      <c r="F3143" s="162">
        <v>228</v>
      </c>
      <c r="G3143" s="162">
        <v>1</v>
      </c>
    </row>
    <row r="3144" spans="2:7" ht="28.8">
      <c r="B3144" s="162" t="s">
        <v>683</v>
      </c>
      <c r="C3144" s="162" t="s">
        <v>8080</v>
      </c>
      <c r="D3144" s="162" t="s">
        <v>8081</v>
      </c>
      <c r="E3144" s="162" t="s">
        <v>8082</v>
      </c>
      <c r="F3144" s="162">
        <v>228</v>
      </c>
      <c r="G3144" s="162">
        <v>1</v>
      </c>
    </row>
    <row r="3145" spans="2:7">
      <c r="B3145" s="162" t="s">
        <v>683</v>
      </c>
      <c r="C3145" s="162" t="s">
        <v>8083</v>
      </c>
      <c r="D3145" s="162" t="s">
        <v>8084</v>
      </c>
      <c r="E3145" s="162" t="s">
        <v>8085</v>
      </c>
      <c r="F3145" s="162">
        <v>228</v>
      </c>
      <c r="G3145" s="162">
        <v>1</v>
      </c>
    </row>
    <row r="3146" spans="2:7">
      <c r="B3146" s="162" t="s">
        <v>683</v>
      </c>
      <c r="C3146" s="162" t="s">
        <v>8086</v>
      </c>
      <c r="D3146" s="162" t="s">
        <v>8087</v>
      </c>
      <c r="E3146" s="162" t="s">
        <v>8088</v>
      </c>
      <c r="F3146" s="162">
        <v>241</v>
      </c>
      <c r="G3146" s="162">
        <v>1</v>
      </c>
    </row>
    <row r="3147" spans="2:7">
      <c r="B3147" s="162" t="s">
        <v>683</v>
      </c>
      <c r="C3147" s="162" t="s">
        <v>8089</v>
      </c>
      <c r="D3147" s="162" t="s">
        <v>8090</v>
      </c>
      <c r="E3147" s="162" t="s">
        <v>8091</v>
      </c>
      <c r="F3147" s="162">
        <v>241</v>
      </c>
      <c r="G3147" s="162">
        <v>1</v>
      </c>
    </row>
    <row r="3148" spans="2:7">
      <c r="B3148" s="162" t="s">
        <v>683</v>
      </c>
      <c r="C3148" s="162" t="s">
        <v>8092</v>
      </c>
      <c r="D3148" s="162" t="s">
        <v>8093</v>
      </c>
      <c r="E3148" s="162" t="s">
        <v>8094</v>
      </c>
      <c r="F3148" s="162">
        <v>253</v>
      </c>
      <c r="G3148" s="162">
        <v>1</v>
      </c>
    </row>
    <row r="3149" spans="2:7">
      <c r="B3149" s="162" t="s">
        <v>683</v>
      </c>
      <c r="C3149" s="162" t="s">
        <v>8095</v>
      </c>
      <c r="D3149" s="162" t="s">
        <v>8096</v>
      </c>
      <c r="E3149" s="162" t="s">
        <v>8097</v>
      </c>
      <c r="F3149" s="162">
        <v>276</v>
      </c>
      <c r="G3149" s="162">
        <v>1</v>
      </c>
    </row>
    <row r="3150" spans="2:7" ht="28.8">
      <c r="B3150" s="162" t="s">
        <v>683</v>
      </c>
      <c r="C3150" s="162" t="s">
        <v>8098</v>
      </c>
      <c r="D3150" s="162" t="s">
        <v>8099</v>
      </c>
      <c r="E3150" s="162" t="s">
        <v>8100</v>
      </c>
      <c r="F3150" s="162">
        <v>55</v>
      </c>
      <c r="G3150" s="162">
        <v>1</v>
      </c>
    </row>
    <row r="3151" spans="2:7" ht="28.8">
      <c r="B3151" s="162" t="s">
        <v>683</v>
      </c>
      <c r="C3151" s="162" t="s">
        <v>8101</v>
      </c>
      <c r="D3151" s="162" t="s">
        <v>8102</v>
      </c>
      <c r="E3151" s="162" t="s">
        <v>8103</v>
      </c>
      <c r="F3151" s="162">
        <v>55</v>
      </c>
      <c r="G3151" s="162">
        <v>1</v>
      </c>
    </row>
    <row r="3152" spans="2:7" ht="28.8">
      <c r="B3152" s="162" t="s">
        <v>683</v>
      </c>
      <c r="C3152" s="162" t="s">
        <v>8104</v>
      </c>
      <c r="D3152" s="162" t="s">
        <v>8105</v>
      </c>
      <c r="E3152" s="162" t="s">
        <v>8106</v>
      </c>
      <c r="F3152" s="162">
        <v>55</v>
      </c>
      <c r="G3152" s="162">
        <v>1</v>
      </c>
    </row>
    <row r="3153" spans="2:7">
      <c r="B3153" s="162" t="s">
        <v>683</v>
      </c>
      <c r="C3153" s="162" t="s">
        <v>8107</v>
      </c>
      <c r="D3153" s="162" t="s">
        <v>8108</v>
      </c>
      <c r="E3153" s="162" t="s">
        <v>8109</v>
      </c>
      <c r="F3153" s="162">
        <v>24</v>
      </c>
      <c r="G3153" s="162">
        <v>1</v>
      </c>
    </row>
    <row r="3154" spans="2:7">
      <c r="B3154" s="162" t="s">
        <v>683</v>
      </c>
      <c r="C3154" s="162" t="s">
        <v>8110</v>
      </c>
      <c r="D3154" s="162" t="s">
        <v>8108</v>
      </c>
      <c r="E3154" s="162" t="s">
        <v>8111</v>
      </c>
      <c r="F3154" s="162">
        <v>24</v>
      </c>
      <c r="G3154" s="162">
        <v>1</v>
      </c>
    </row>
    <row r="3155" spans="2:7">
      <c r="B3155" s="162" t="s">
        <v>683</v>
      </c>
      <c r="C3155" s="162" t="s">
        <v>8112</v>
      </c>
      <c r="D3155" s="162" t="s">
        <v>8108</v>
      </c>
      <c r="E3155" s="162" t="s">
        <v>8113</v>
      </c>
      <c r="F3155" s="162">
        <v>24</v>
      </c>
      <c r="G3155" s="162">
        <v>1</v>
      </c>
    </row>
    <row r="3156" spans="2:7">
      <c r="B3156" s="162" t="s">
        <v>683</v>
      </c>
      <c r="C3156" s="162" t="s">
        <v>8114</v>
      </c>
      <c r="D3156" s="162" t="s">
        <v>8108</v>
      </c>
      <c r="E3156" s="162" t="s">
        <v>8115</v>
      </c>
      <c r="F3156" s="162">
        <v>24</v>
      </c>
      <c r="G3156" s="162">
        <v>1</v>
      </c>
    </row>
    <row r="3157" spans="2:7" ht="28.8">
      <c r="B3157" s="162" t="s">
        <v>683</v>
      </c>
      <c r="C3157" s="162" t="s">
        <v>8116</v>
      </c>
      <c r="D3157" s="162" t="s">
        <v>8117</v>
      </c>
      <c r="E3157" s="162" t="s">
        <v>8118</v>
      </c>
      <c r="F3157" s="162">
        <v>115</v>
      </c>
      <c r="G3157" s="162">
        <v>1</v>
      </c>
    </row>
    <row r="3158" spans="2:7" ht="28.8">
      <c r="B3158" s="162" t="s">
        <v>683</v>
      </c>
      <c r="C3158" s="162" t="s">
        <v>8119</v>
      </c>
      <c r="D3158" s="162" t="s">
        <v>8120</v>
      </c>
      <c r="E3158" s="162" t="s">
        <v>8121</v>
      </c>
      <c r="F3158" s="162">
        <v>756</v>
      </c>
      <c r="G3158" s="162">
        <v>1</v>
      </c>
    </row>
    <row r="3159" spans="2:7" ht="28.8">
      <c r="B3159" s="162" t="s">
        <v>683</v>
      </c>
      <c r="C3159" s="162" t="s">
        <v>8122</v>
      </c>
      <c r="D3159" s="162" t="s">
        <v>8123</v>
      </c>
      <c r="E3159" s="162" t="s">
        <v>8124</v>
      </c>
      <c r="F3159" s="162">
        <v>756</v>
      </c>
      <c r="G3159" s="162">
        <v>1</v>
      </c>
    </row>
    <row r="3160" spans="2:7" ht="28.8">
      <c r="B3160" s="162" t="s">
        <v>683</v>
      </c>
      <c r="C3160" s="162" t="s">
        <v>8125</v>
      </c>
      <c r="D3160" s="162" t="s">
        <v>8020</v>
      </c>
      <c r="E3160" s="162" t="s">
        <v>8126</v>
      </c>
      <c r="F3160" s="162">
        <v>756</v>
      </c>
      <c r="G3160" s="162">
        <v>1</v>
      </c>
    </row>
    <row r="3161" spans="2:7" ht="28.8">
      <c r="B3161" s="162" t="s">
        <v>683</v>
      </c>
      <c r="C3161" s="162" t="s">
        <v>8127</v>
      </c>
      <c r="D3161" s="162" t="s">
        <v>8128</v>
      </c>
      <c r="E3161" s="162" t="s">
        <v>8129</v>
      </c>
      <c r="F3161" s="162">
        <v>756</v>
      </c>
      <c r="G3161" s="162">
        <v>1</v>
      </c>
    </row>
    <row r="3162" spans="2:7" ht="28.8">
      <c r="B3162" s="162" t="s">
        <v>683</v>
      </c>
      <c r="C3162" s="162" t="s">
        <v>8130</v>
      </c>
      <c r="D3162" s="162" t="s">
        <v>8131</v>
      </c>
      <c r="E3162" s="162" t="s">
        <v>8132</v>
      </c>
      <c r="F3162" s="162">
        <v>756</v>
      </c>
      <c r="G3162" s="162">
        <v>1</v>
      </c>
    </row>
    <row r="3163" spans="2:7" ht="43.2">
      <c r="B3163" s="162" t="s">
        <v>683</v>
      </c>
      <c r="C3163" s="162" t="s">
        <v>8133</v>
      </c>
      <c r="D3163" s="162" t="s">
        <v>8134</v>
      </c>
      <c r="E3163" s="162" t="s">
        <v>8135</v>
      </c>
      <c r="F3163" s="162">
        <v>756</v>
      </c>
      <c r="G3163" s="162">
        <v>1</v>
      </c>
    </row>
    <row r="3164" spans="2:7" ht="43.2">
      <c r="B3164" s="162" t="s">
        <v>683</v>
      </c>
      <c r="C3164" s="162" t="s">
        <v>8136</v>
      </c>
      <c r="D3164" s="162" t="s">
        <v>8137</v>
      </c>
      <c r="E3164" s="162" t="s">
        <v>8138</v>
      </c>
      <c r="F3164" s="162">
        <v>756</v>
      </c>
      <c r="G3164" s="162">
        <v>1</v>
      </c>
    </row>
    <row r="3165" spans="2:7" ht="43.2">
      <c r="B3165" s="162" t="s">
        <v>683</v>
      </c>
      <c r="C3165" s="162" t="s">
        <v>8139</v>
      </c>
      <c r="D3165" s="162" t="s">
        <v>8140</v>
      </c>
      <c r="E3165" s="162" t="s">
        <v>8141</v>
      </c>
      <c r="F3165" s="162">
        <v>756</v>
      </c>
      <c r="G3165" s="162">
        <v>1</v>
      </c>
    </row>
    <row r="3166" spans="2:7" ht="43.2">
      <c r="B3166" s="162" t="s">
        <v>683</v>
      </c>
      <c r="C3166" s="162" t="s">
        <v>8142</v>
      </c>
      <c r="D3166" s="162" t="s">
        <v>8143</v>
      </c>
      <c r="E3166" s="162" t="s">
        <v>8144</v>
      </c>
      <c r="F3166" s="162">
        <v>756</v>
      </c>
      <c r="G3166" s="162">
        <v>1</v>
      </c>
    </row>
    <row r="3167" spans="2:7" ht="28.8">
      <c r="B3167" s="162" t="s">
        <v>683</v>
      </c>
      <c r="C3167" s="162" t="s">
        <v>8145</v>
      </c>
      <c r="D3167" s="162" t="s">
        <v>8146</v>
      </c>
      <c r="E3167" s="162" t="s">
        <v>8147</v>
      </c>
      <c r="F3167" s="162">
        <v>756</v>
      </c>
      <c r="G3167" s="162">
        <v>1</v>
      </c>
    </row>
    <row r="3168" spans="2:7" ht="28.8">
      <c r="B3168" s="162" t="s">
        <v>683</v>
      </c>
      <c r="C3168" s="162" t="s">
        <v>8148</v>
      </c>
      <c r="D3168" s="162" t="s">
        <v>8149</v>
      </c>
      <c r="E3168" s="162" t="s">
        <v>8150</v>
      </c>
      <c r="F3168" s="162">
        <v>756</v>
      </c>
      <c r="G3168" s="162">
        <v>1</v>
      </c>
    </row>
    <row r="3169" spans="2:7" ht="28.8">
      <c r="B3169" s="162" t="s">
        <v>683</v>
      </c>
      <c r="C3169" s="162" t="s">
        <v>8151</v>
      </c>
      <c r="D3169" s="162" t="s">
        <v>8152</v>
      </c>
      <c r="E3169" s="162" t="s">
        <v>8153</v>
      </c>
      <c r="F3169" s="162">
        <v>756</v>
      </c>
      <c r="G3169" s="162">
        <v>1</v>
      </c>
    </row>
    <row r="3170" spans="2:7" ht="28.8">
      <c r="B3170" s="162" t="s">
        <v>683</v>
      </c>
      <c r="C3170" s="162" t="s">
        <v>8154</v>
      </c>
      <c r="D3170" s="162" t="s">
        <v>8155</v>
      </c>
      <c r="E3170" s="162" t="s">
        <v>8156</v>
      </c>
      <c r="F3170" s="162">
        <v>756</v>
      </c>
      <c r="G3170" s="162">
        <v>1</v>
      </c>
    </row>
    <row r="3171" spans="2:7" ht="28.8">
      <c r="B3171" s="162" t="s">
        <v>683</v>
      </c>
      <c r="C3171" s="162" t="s">
        <v>8157</v>
      </c>
      <c r="D3171" s="162" t="s">
        <v>8158</v>
      </c>
      <c r="E3171" s="162" t="s">
        <v>8159</v>
      </c>
      <c r="F3171" s="162">
        <v>516</v>
      </c>
      <c r="G3171" s="162">
        <v>1</v>
      </c>
    </row>
    <row r="3172" spans="2:7">
      <c r="B3172" s="162" t="s">
        <v>683</v>
      </c>
      <c r="C3172" s="162" t="s">
        <v>8160</v>
      </c>
      <c r="D3172" s="162" t="s">
        <v>7972</v>
      </c>
      <c r="E3172" s="162" t="s">
        <v>8161</v>
      </c>
      <c r="F3172" s="162">
        <v>516</v>
      </c>
      <c r="G3172" s="162">
        <v>1</v>
      </c>
    </row>
    <row r="3173" spans="2:7" ht="28.8">
      <c r="B3173" s="162" t="s">
        <v>683</v>
      </c>
      <c r="C3173" s="162" t="s">
        <v>8162</v>
      </c>
      <c r="D3173" s="162" t="s">
        <v>8163</v>
      </c>
      <c r="E3173" s="162" t="s">
        <v>8164</v>
      </c>
      <c r="F3173" s="162">
        <v>1284</v>
      </c>
      <c r="G3173" s="162">
        <v>1</v>
      </c>
    </row>
    <row r="3174" spans="2:7" ht="28.8">
      <c r="B3174" s="162" t="s">
        <v>683</v>
      </c>
      <c r="C3174" s="162" t="s">
        <v>8165</v>
      </c>
      <c r="D3174" s="162" t="s">
        <v>8166</v>
      </c>
      <c r="E3174" s="162" t="s">
        <v>8167</v>
      </c>
      <c r="F3174" s="162">
        <v>313</v>
      </c>
      <c r="G3174" s="162">
        <v>1</v>
      </c>
    </row>
    <row r="3175" spans="2:7">
      <c r="B3175" s="162" t="s">
        <v>683</v>
      </c>
      <c r="C3175" s="162" t="s">
        <v>8168</v>
      </c>
      <c r="D3175" s="162" t="s">
        <v>8169</v>
      </c>
      <c r="E3175" s="162" t="s">
        <v>8170</v>
      </c>
      <c r="F3175" s="162">
        <v>313</v>
      </c>
      <c r="G3175" s="162">
        <v>1</v>
      </c>
    </row>
    <row r="3176" spans="2:7">
      <c r="B3176" s="162" t="s">
        <v>683</v>
      </c>
      <c r="C3176" s="162" t="s">
        <v>8171</v>
      </c>
      <c r="D3176" s="162" t="s">
        <v>8172</v>
      </c>
      <c r="E3176" s="162" t="s">
        <v>8173</v>
      </c>
      <c r="F3176" s="162">
        <v>325</v>
      </c>
      <c r="G3176" s="162">
        <v>1</v>
      </c>
    </row>
    <row r="3177" spans="2:7">
      <c r="B3177" s="162" t="s">
        <v>683</v>
      </c>
      <c r="C3177" s="162" t="s">
        <v>8174</v>
      </c>
      <c r="D3177" s="162" t="s">
        <v>8175</v>
      </c>
      <c r="E3177" s="162" t="s">
        <v>8176</v>
      </c>
      <c r="F3177" s="162">
        <v>325</v>
      </c>
      <c r="G3177" s="162">
        <v>1</v>
      </c>
    </row>
    <row r="3178" spans="2:7">
      <c r="B3178" s="162" t="s">
        <v>683</v>
      </c>
      <c r="C3178" s="162" t="s">
        <v>8177</v>
      </c>
      <c r="D3178" s="162" t="s">
        <v>8178</v>
      </c>
      <c r="E3178" s="162" t="s">
        <v>8179</v>
      </c>
      <c r="F3178" s="162">
        <v>336</v>
      </c>
      <c r="G3178" s="162">
        <v>1</v>
      </c>
    </row>
    <row r="3179" spans="2:7">
      <c r="B3179" s="162" t="s">
        <v>683</v>
      </c>
      <c r="C3179" s="162" t="s">
        <v>8180</v>
      </c>
      <c r="D3179" s="162" t="s">
        <v>8181</v>
      </c>
      <c r="E3179" s="162" t="s">
        <v>8182</v>
      </c>
      <c r="F3179" s="162">
        <v>361</v>
      </c>
      <c r="G3179" s="162">
        <v>1</v>
      </c>
    </row>
    <row r="3180" spans="2:7" ht="28.8">
      <c r="B3180" s="162" t="s">
        <v>683</v>
      </c>
      <c r="C3180" s="162" t="s">
        <v>8183</v>
      </c>
      <c r="D3180" s="162" t="s">
        <v>8184</v>
      </c>
      <c r="E3180" s="162" t="s">
        <v>8185</v>
      </c>
      <c r="F3180" s="162">
        <v>27</v>
      </c>
      <c r="G3180" s="162">
        <v>1</v>
      </c>
    </row>
    <row r="3181" spans="2:7">
      <c r="B3181" s="162" t="s">
        <v>683</v>
      </c>
      <c r="C3181" s="162" t="s">
        <v>8186</v>
      </c>
      <c r="D3181" s="162" t="s">
        <v>8187</v>
      </c>
      <c r="E3181" s="162" t="s">
        <v>8188</v>
      </c>
      <c r="F3181" s="162">
        <v>27</v>
      </c>
      <c r="G3181" s="162">
        <v>1</v>
      </c>
    </row>
    <row r="3182" spans="2:7">
      <c r="B3182" s="162" t="s">
        <v>683</v>
      </c>
      <c r="C3182" s="162" t="s">
        <v>8189</v>
      </c>
      <c r="D3182" s="162" t="s">
        <v>8190</v>
      </c>
      <c r="E3182" s="162" t="s">
        <v>8191</v>
      </c>
      <c r="F3182" s="162">
        <v>27</v>
      </c>
      <c r="G3182" s="162">
        <v>1</v>
      </c>
    </row>
    <row r="3183" spans="2:7">
      <c r="B3183" s="162" t="s">
        <v>683</v>
      </c>
      <c r="C3183" s="162" t="s">
        <v>8107</v>
      </c>
      <c r="D3183" s="162" t="s">
        <v>8108</v>
      </c>
      <c r="E3183" s="162" t="s">
        <v>8109</v>
      </c>
      <c r="F3183" s="162">
        <v>24</v>
      </c>
      <c r="G3183" s="162">
        <v>1</v>
      </c>
    </row>
    <row r="3184" spans="2:7">
      <c r="B3184" s="162" t="s">
        <v>683</v>
      </c>
      <c r="C3184" s="162" t="s">
        <v>8110</v>
      </c>
      <c r="D3184" s="162" t="s">
        <v>8108</v>
      </c>
      <c r="E3184" s="162" t="s">
        <v>8111</v>
      </c>
      <c r="F3184" s="162">
        <v>24</v>
      </c>
      <c r="G3184" s="162">
        <v>1</v>
      </c>
    </row>
    <row r="3185" spans="2:7">
      <c r="B3185" s="162" t="s">
        <v>683</v>
      </c>
      <c r="C3185" s="162" t="s">
        <v>8112</v>
      </c>
      <c r="D3185" s="162" t="s">
        <v>8108</v>
      </c>
      <c r="E3185" s="162" t="s">
        <v>8113</v>
      </c>
      <c r="F3185" s="162">
        <v>24</v>
      </c>
      <c r="G3185" s="162">
        <v>1</v>
      </c>
    </row>
    <row r="3186" spans="2:7">
      <c r="B3186" s="162" t="s">
        <v>683</v>
      </c>
      <c r="C3186" s="162" t="s">
        <v>8114</v>
      </c>
      <c r="D3186" s="162" t="s">
        <v>8108</v>
      </c>
      <c r="E3186" s="162" t="s">
        <v>8115</v>
      </c>
      <c r="F3186" s="162">
        <v>24</v>
      </c>
      <c r="G3186" s="162">
        <v>1</v>
      </c>
    </row>
    <row r="3187" spans="2:7" ht="28.8">
      <c r="B3187" s="162" t="s">
        <v>683</v>
      </c>
      <c r="C3187" s="162" t="s">
        <v>8192</v>
      </c>
      <c r="D3187" s="162" t="s">
        <v>8193</v>
      </c>
      <c r="E3187" s="162" t="s">
        <v>8194</v>
      </c>
      <c r="F3187" s="162">
        <v>115</v>
      </c>
      <c r="G3187" s="162">
        <v>1</v>
      </c>
    </row>
    <row r="3188" spans="2:7">
      <c r="B3188" s="162" t="s">
        <v>683</v>
      </c>
      <c r="C3188" s="162" t="s">
        <v>8195</v>
      </c>
      <c r="D3188" s="162" t="s">
        <v>8196</v>
      </c>
      <c r="E3188" s="162" t="s">
        <v>8197</v>
      </c>
      <c r="F3188" s="162">
        <v>194</v>
      </c>
      <c r="G3188" s="162">
        <v>1</v>
      </c>
    </row>
    <row r="3189" spans="2:7">
      <c r="B3189" s="162" t="s">
        <v>683</v>
      </c>
      <c r="C3189" s="162" t="s">
        <v>8198</v>
      </c>
      <c r="D3189" s="162" t="s">
        <v>8199</v>
      </c>
      <c r="E3189" s="162" t="s">
        <v>8200</v>
      </c>
      <c r="F3189" s="162">
        <v>48</v>
      </c>
      <c r="G3189" s="162">
        <v>1</v>
      </c>
    </row>
    <row r="3190" spans="2:7" ht="28.8">
      <c r="B3190" s="162" t="s">
        <v>683</v>
      </c>
      <c r="C3190" s="162" t="s">
        <v>8201</v>
      </c>
      <c r="D3190" s="162" t="s">
        <v>8202</v>
      </c>
      <c r="E3190" s="162" t="s">
        <v>8203</v>
      </c>
      <c r="F3190" s="162">
        <v>325</v>
      </c>
      <c r="G3190" s="162">
        <v>1</v>
      </c>
    </row>
    <row r="3191" spans="2:7" ht="28.8">
      <c r="B3191" s="162" t="s">
        <v>683</v>
      </c>
      <c r="C3191" s="162" t="s">
        <v>8204</v>
      </c>
      <c r="D3191" s="162" t="s">
        <v>7978</v>
      </c>
      <c r="E3191" s="162" t="s">
        <v>8205</v>
      </c>
      <c r="F3191" s="162">
        <v>659</v>
      </c>
      <c r="G3191" s="162">
        <v>1</v>
      </c>
    </row>
    <row r="3192" spans="2:7" ht="28.8">
      <c r="B3192" s="162" t="s">
        <v>683</v>
      </c>
      <c r="C3192" s="162" t="s">
        <v>8206</v>
      </c>
      <c r="D3192" s="162" t="s">
        <v>7987</v>
      </c>
      <c r="E3192" s="162" t="s">
        <v>8207</v>
      </c>
      <c r="F3192" s="162">
        <v>659</v>
      </c>
      <c r="G3192" s="162">
        <v>1</v>
      </c>
    </row>
    <row r="3193" spans="2:7" ht="28.8">
      <c r="B3193" s="162" t="s">
        <v>683</v>
      </c>
      <c r="C3193" s="162" t="s">
        <v>8208</v>
      </c>
      <c r="D3193" s="162" t="s">
        <v>8209</v>
      </c>
      <c r="E3193" s="162" t="s">
        <v>8210</v>
      </c>
      <c r="F3193" s="162">
        <v>659</v>
      </c>
      <c r="G3193" s="162">
        <v>1</v>
      </c>
    </row>
    <row r="3194" spans="2:7" ht="28.8">
      <c r="B3194" s="162" t="s">
        <v>683</v>
      </c>
      <c r="C3194" s="162" t="s">
        <v>8211</v>
      </c>
      <c r="D3194" s="162" t="s">
        <v>8212</v>
      </c>
      <c r="E3194" s="162" t="s">
        <v>8213</v>
      </c>
      <c r="F3194" s="162">
        <v>420</v>
      </c>
      <c r="G3194" s="162">
        <v>1</v>
      </c>
    </row>
    <row r="3195" spans="2:7">
      <c r="B3195" s="162" t="s">
        <v>683</v>
      </c>
      <c r="C3195" s="162" t="s">
        <v>8214</v>
      </c>
      <c r="D3195" s="162" t="s">
        <v>8215</v>
      </c>
      <c r="E3195" s="162" t="s">
        <v>8216</v>
      </c>
      <c r="F3195" s="162">
        <v>228</v>
      </c>
      <c r="G3195" s="162">
        <v>1</v>
      </c>
    </row>
    <row r="3196" spans="2:7" ht="28.8">
      <c r="B3196" s="162" t="s">
        <v>683</v>
      </c>
      <c r="C3196" s="162" t="s">
        <v>8217</v>
      </c>
      <c r="D3196" s="162" t="s">
        <v>7987</v>
      </c>
      <c r="E3196" s="162" t="s">
        <v>8218</v>
      </c>
      <c r="F3196" s="162">
        <v>659</v>
      </c>
      <c r="G3196" s="162">
        <v>1</v>
      </c>
    </row>
    <row r="3197" spans="2:7" ht="28.8">
      <c r="B3197" s="162" t="s">
        <v>683</v>
      </c>
      <c r="C3197" s="162" t="s">
        <v>8219</v>
      </c>
      <c r="D3197" s="162" t="s">
        <v>7978</v>
      </c>
      <c r="E3197" s="162" t="s">
        <v>8220</v>
      </c>
      <c r="F3197" s="162">
        <v>659</v>
      </c>
      <c r="G3197" s="162">
        <v>1</v>
      </c>
    </row>
    <row r="3198" spans="2:7" ht="28.8">
      <c r="B3198" s="162" t="s">
        <v>683</v>
      </c>
      <c r="C3198" s="162" t="s">
        <v>8221</v>
      </c>
      <c r="D3198" s="162" t="s">
        <v>8222</v>
      </c>
      <c r="E3198" s="162" t="s">
        <v>8223</v>
      </c>
      <c r="F3198" s="162">
        <v>659</v>
      </c>
      <c r="G3198" s="162">
        <v>1</v>
      </c>
    </row>
    <row r="3199" spans="2:7" ht="28.8">
      <c r="B3199" s="162" t="s">
        <v>683</v>
      </c>
      <c r="C3199" s="162" t="s">
        <v>8224</v>
      </c>
      <c r="D3199" s="162" t="s">
        <v>8209</v>
      </c>
      <c r="E3199" s="162" t="s">
        <v>8225</v>
      </c>
      <c r="F3199" s="162">
        <v>659</v>
      </c>
      <c r="G3199" s="162">
        <v>1</v>
      </c>
    </row>
    <row r="3200" spans="2:7" ht="28.8">
      <c r="B3200" s="162" t="s">
        <v>683</v>
      </c>
      <c r="C3200" s="162" t="s">
        <v>8226</v>
      </c>
      <c r="D3200" s="162" t="s">
        <v>8212</v>
      </c>
      <c r="E3200" s="162" t="s">
        <v>8227</v>
      </c>
      <c r="F3200" s="162">
        <v>420</v>
      </c>
      <c r="G3200" s="162">
        <v>1</v>
      </c>
    </row>
    <row r="3201" spans="2:7">
      <c r="B3201" s="162" t="s">
        <v>683</v>
      </c>
      <c r="C3201" s="162" t="s">
        <v>8228</v>
      </c>
      <c r="D3201" s="162" t="s">
        <v>8229</v>
      </c>
      <c r="E3201" s="162" t="s">
        <v>8230</v>
      </c>
      <c r="F3201" s="162">
        <v>205</v>
      </c>
      <c r="G3201" s="162">
        <v>1</v>
      </c>
    </row>
    <row r="3202" spans="2:7">
      <c r="B3202" s="162" t="s">
        <v>683</v>
      </c>
      <c r="C3202" s="162" t="s">
        <v>8231</v>
      </c>
      <c r="D3202" s="162" t="s">
        <v>8232</v>
      </c>
      <c r="E3202" s="162" t="s">
        <v>8233</v>
      </c>
      <c r="F3202" s="162">
        <v>169</v>
      </c>
      <c r="G3202" s="162">
        <v>1</v>
      </c>
    </row>
    <row r="3203" spans="2:7">
      <c r="B3203" s="162" t="s">
        <v>683</v>
      </c>
      <c r="C3203" s="162" t="s">
        <v>8234</v>
      </c>
      <c r="D3203" s="162" t="s">
        <v>8235</v>
      </c>
      <c r="E3203" s="162" t="s">
        <v>8236</v>
      </c>
      <c r="F3203" s="162">
        <v>228</v>
      </c>
      <c r="G3203" s="162">
        <v>1</v>
      </c>
    </row>
    <row r="3204" spans="2:7" ht="28.8">
      <c r="B3204" s="162" t="s">
        <v>683</v>
      </c>
      <c r="C3204" s="162" t="s">
        <v>8237</v>
      </c>
      <c r="D3204" s="162" t="s">
        <v>8238</v>
      </c>
      <c r="E3204" s="162" t="s">
        <v>8239</v>
      </c>
      <c r="F3204" s="162">
        <v>39</v>
      </c>
      <c r="G3204" s="162">
        <v>1</v>
      </c>
    </row>
    <row r="3205" spans="2:7" ht="28.8">
      <c r="B3205" s="162" t="s">
        <v>683</v>
      </c>
      <c r="C3205" s="162" t="s">
        <v>8240</v>
      </c>
      <c r="D3205" s="162" t="s">
        <v>8241</v>
      </c>
      <c r="E3205" s="162" t="s">
        <v>8242</v>
      </c>
      <c r="F3205" s="162">
        <v>39</v>
      </c>
      <c r="G3205" s="162">
        <v>1</v>
      </c>
    </row>
    <row r="3206" spans="2:7" ht="28.8">
      <c r="B3206" s="162" t="s">
        <v>683</v>
      </c>
      <c r="C3206" s="162" t="s">
        <v>8243</v>
      </c>
      <c r="D3206" s="162" t="s">
        <v>8244</v>
      </c>
      <c r="E3206" s="162" t="s">
        <v>8245</v>
      </c>
      <c r="F3206" s="162">
        <v>44</v>
      </c>
      <c r="G3206" s="162">
        <v>1</v>
      </c>
    </row>
    <row r="3207" spans="2:7" ht="28.8">
      <c r="B3207" s="162" t="s">
        <v>683</v>
      </c>
      <c r="C3207" s="162" t="s">
        <v>8246</v>
      </c>
      <c r="D3207" s="162" t="s">
        <v>8247</v>
      </c>
      <c r="E3207" s="162" t="s">
        <v>8248</v>
      </c>
      <c r="F3207" s="162">
        <v>44</v>
      </c>
      <c r="G3207" s="162">
        <v>1</v>
      </c>
    </row>
    <row r="3208" spans="2:7" ht="28.8">
      <c r="B3208" s="162" t="s">
        <v>683</v>
      </c>
      <c r="C3208" s="162" t="s">
        <v>8249</v>
      </c>
      <c r="D3208" s="162" t="s">
        <v>8250</v>
      </c>
      <c r="E3208" s="162" t="s">
        <v>8251</v>
      </c>
      <c r="F3208" s="162">
        <v>44</v>
      </c>
      <c r="G3208" s="162">
        <v>1</v>
      </c>
    </row>
    <row r="3209" spans="2:7" ht="28.8">
      <c r="B3209" s="162" t="s">
        <v>683</v>
      </c>
      <c r="C3209" s="162" t="s">
        <v>8252</v>
      </c>
      <c r="D3209" s="162" t="s">
        <v>8253</v>
      </c>
      <c r="E3209" s="162" t="s">
        <v>8254</v>
      </c>
      <c r="F3209" s="162">
        <v>1175</v>
      </c>
      <c r="G3209" s="162">
        <v>1</v>
      </c>
    </row>
    <row r="3210" spans="2:7" ht="28.8">
      <c r="B3210" s="162" t="s">
        <v>683</v>
      </c>
      <c r="C3210" s="162" t="s">
        <v>8255</v>
      </c>
      <c r="D3210" s="162" t="s">
        <v>8256</v>
      </c>
      <c r="E3210" s="162" t="s">
        <v>8257</v>
      </c>
      <c r="F3210" s="162">
        <v>1175</v>
      </c>
      <c r="G3210" s="162">
        <v>1</v>
      </c>
    </row>
    <row r="3211" spans="2:7" ht="28.8">
      <c r="B3211" s="162" t="s">
        <v>683</v>
      </c>
      <c r="C3211" s="162" t="s">
        <v>8258</v>
      </c>
      <c r="D3211" s="162" t="s">
        <v>8259</v>
      </c>
      <c r="E3211" s="162" t="s">
        <v>8260</v>
      </c>
      <c r="F3211" s="162">
        <v>505</v>
      </c>
      <c r="G3211" s="162">
        <v>1</v>
      </c>
    </row>
    <row r="3212" spans="2:7" ht="28.8">
      <c r="B3212" s="162" t="s">
        <v>683</v>
      </c>
      <c r="C3212" s="162" t="s">
        <v>8261</v>
      </c>
      <c r="D3212" s="162" t="s">
        <v>8262</v>
      </c>
      <c r="E3212" s="162" t="s">
        <v>8263</v>
      </c>
      <c r="F3212" s="162">
        <v>599</v>
      </c>
      <c r="G3212" s="162">
        <v>1</v>
      </c>
    </row>
    <row r="3213" spans="2:7" ht="28.8">
      <c r="B3213" s="162" t="s">
        <v>683</v>
      </c>
      <c r="C3213" s="162" t="s">
        <v>8264</v>
      </c>
      <c r="D3213" s="162" t="s">
        <v>8265</v>
      </c>
      <c r="E3213" s="162" t="s">
        <v>8266</v>
      </c>
      <c r="F3213" s="162">
        <v>553</v>
      </c>
      <c r="G3213" s="162">
        <v>1</v>
      </c>
    </row>
    <row r="3214" spans="2:7" ht="28.8">
      <c r="B3214" s="162" t="s">
        <v>683</v>
      </c>
      <c r="C3214" s="162" t="s">
        <v>8267</v>
      </c>
      <c r="D3214" s="162" t="s">
        <v>8268</v>
      </c>
      <c r="E3214" s="162" t="s">
        <v>8269</v>
      </c>
      <c r="F3214" s="162">
        <v>553</v>
      </c>
      <c r="G3214" s="162">
        <v>1</v>
      </c>
    </row>
    <row r="3215" spans="2:7" ht="28.8">
      <c r="B3215" s="162" t="s">
        <v>683</v>
      </c>
      <c r="C3215" s="162" t="s">
        <v>8270</v>
      </c>
      <c r="D3215" s="162" t="s">
        <v>8271</v>
      </c>
      <c r="E3215" s="162" t="s">
        <v>8272</v>
      </c>
      <c r="F3215" s="162">
        <v>194</v>
      </c>
      <c r="G3215" s="162">
        <v>1</v>
      </c>
    </row>
    <row r="3216" spans="2:7">
      <c r="B3216" s="162" t="s">
        <v>683</v>
      </c>
      <c r="C3216" s="162" t="s">
        <v>8273</v>
      </c>
      <c r="D3216" s="162" t="s">
        <v>8274</v>
      </c>
      <c r="E3216" s="162" t="s">
        <v>8275</v>
      </c>
      <c r="F3216" s="162">
        <v>118</v>
      </c>
      <c r="G3216" s="162">
        <v>1</v>
      </c>
    </row>
    <row r="3217" spans="2:7">
      <c r="B3217" s="162" t="s">
        <v>683</v>
      </c>
      <c r="C3217" s="162" t="s">
        <v>8276</v>
      </c>
      <c r="D3217" s="162" t="s">
        <v>8277</v>
      </c>
      <c r="E3217" s="162" t="s">
        <v>8278</v>
      </c>
      <c r="F3217" s="162">
        <v>118</v>
      </c>
      <c r="G3217" s="162">
        <v>1</v>
      </c>
    </row>
    <row r="3218" spans="2:7">
      <c r="B3218" s="162" t="s">
        <v>683</v>
      </c>
      <c r="C3218" s="162" t="s">
        <v>8279</v>
      </c>
      <c r="D3218" s="162" t="s">
        <v>8280</v>
      </c>
      <c r="E3218" s="162" t="s">
        <v>8281</v>
      </c>
      <c r="F3218" s="162">
        <v>37</v>
      </c>
      <c r="G3218" s="162">
        <v>1</v>
      </c>
    </row>
    <row r="3219" spans="2:7">
      <c r="B3219" s="162" t="s">
        <v>683</v>
      </c>
      <c r="C3219" s="162" t="s">
        <v>8282</v>
      </c>
      <c r="D3219" s="162" t="s">
        <v>8283</v>
      </c>
      <c r="E3219" s="162" t="s">
        <v>8284</v>
      </c>
      <c r="F3219" s="162">
        <v>900</v>
      </c>
      <c r="G3219" s="162">
        <v>1</v>
      </c>
    </row>
    <row r="3220" spans="2:7">
      <c r="B3220" s="162" t="s">
        <v>683</v>
      </c>
      <c r="C3220" s="162" t="s">
        <v>8285</v>
      </c>
      <c r="D3220" s="162" t="s">
        <v>8286</v>
      </c>
      <c r="E3220" s="162" t="s">
        <v>8287</v>
      </c>
      <c r="F3220" s="162">
        <v>301</v>
      </c>
      <c r="G3220" s="162">
        <v>1</v>
      </c>
    </row>
    <row r="3221" spans="2:7">
      <c r="B3221" s="162" t="s">
        <v>683</v>
      </c>
      <c r="C3221" s="162" t="s">
        <v>8288</v>
      </c>
      <c r="D3221" s="162" t="s">
        <v>8289</v>
      </c>
      <c r="E3221" s="162" t="s">
        <v>8290</v>
      </c>
      <c r="F3221" s="162">
        <v>553</v>
      </c>
      <c r="G3221" s="162">
        <v>1</v>
      </c>
    </row>
    <row r="3222" spans="2:7">
      <c r="B3222" s="162" t="s">
        <v>683</v>
      </c>
      <c r="C3222" s="162" t="s">
        <v>8291</v>
      </c>
      <c r="D3222" s="162" t="s">
        <v>8292</v>
      </c>
      <c r="E3222" s="162" t="s">
        <v>8293</v>
      </c>
      <c r="F3222" s="162">
        <v>553</v>
      </c>
      <c r="G3222" s="162">
        <v>1</v>
      </c>
    </row>
    <row r="3223" spans="2:7">
      <c r="B3223" s="162" t="s">
        <v>683</v>
      </c>
      <c r="C3223" s="162" t="s">
        <v>8294</v>
      </c>
      <c r="D3223" s="162" t="s">
        <v>8295</v>
      </c>
      <c r="E3223" s="162" t="s">
        <v>8296</v>
      </c>
      <c r="F3223" s="162">
        <v>553</v>
      </c>
      <c r="G3223" s="162">
        <v>1</v>
      </c>
    </row>
    <row r="3224" spans="2:7" ht="28.8">
      <c r="B3224" s="162" t="s">
        <v>683</v>
      </c>
      <c r="C3224" s="162" t="s">
        <v>8297</v>
      </c>
      <c r="D3224" s="162" t="s">
        <v>8298</v>
      </c>
      <c r="E3224" s="162" t="s">
        <v>8299</v>
      </c>
      <c r="F3224" s="162">
        <v>635</v>
      </c>
      <c r="G3224" s="162">
        <v>1</v>
      </c>
    </row>
    <row r="3225" spans="2:7" ht="28.8">
      <c r="B3225" s="162" t="s">
        <v>683</v>
      </c>
      <c r="C3225" s="162" t="s">
        <v>8300</v>
      </c>
      <c r="D3225" s="162" t="s">
        <v>8301</v>
      </c>
      <c r="E3225" s="162" t="s">
        <v>8302</v>
      </c>
      <c r="F3225" s="162">
        <v>635</v>
      </c>
      <c r="G3225" s="162">
        <v>1</v>
      </c>
    </row>
    <row r="3226" spans="2:7" ht="28.8">
      <c r="B3226" s="162" t="s">
        <v>683</v>
      </c>
      <c r="C3226" s="162" t="s">
        <v>8303</v>
      </c>
      <c r="D3226" s="162" t="s">
        <v>8304</v>
      </c>
      <c r="E3226" s="162" t="s">
        <v>8305</v>
      </c>
      <c r="F3226" s="162">
        <v>635</v>
      </c>
      <c r="G3226" s="162">
        <v>1</v>
      </c>
    </row>
    <row r="3227" spans="2:7">
      <c r="B3227" s="162" t="s">
        <v>683</v>
      </c>
      <c r="C3227" s="162" t="s">
        <v>8306</v>
      </c>
      <c r="D3227" s="162" t="s">
        <v>8307</v>
      </c>
      <c r="E3227" s="162" t="s">
        <v>8308</v>
      </c>
      <c r="F3227" s="162">
        <v>134</v>
      </c>
      <c r="G3227" s="162">
        <v>1</v>
      </c>
    </row>
    <row r="3228" spans="2:7">
      <c r="B3228" s="162" t="s">
        <v>683</v>
      </c>
      <c r="C3228" s="162" t="s">
        <v>8309</v>
      </c>
      <c r="D3228" s="162" t="s">
        <v>8310</v>
      </c>
      <c r="E3228" s="162" t="s">
        <v>8311</v>
      </c>
      <c r="F3228" s="162">
        <v>14</v>
      </c>
      <c r="G3228" s="162">
        <v>1</v>
      </c>
    </row>
    <row r="3229" spans="2:7">
      <c r="B3229" s="162" t="s">
        <v>683</v>
      </c>
      <c r="C3229" s="162" t="s">
        <v>8312</v>
      </c>
      <c r="D3229" s="162" t="s">
        <v>8313</v>
      </c>
      <c r="E3229" s="162" t="s">
        <v>8314</v>
      </c>
      <c r="F3229" s="162">
        <v>14</v>
      </c>
      <c r="G3229" s="162">
        <v>1</v>
      </c>
    </row>
    <row r="3230" spans="2:7">
      <c r="B3230" s="162" t="s">
        <v>683</v>
      </c>
      <c r="C3230" s="162" t="s">
        <v>8315</v>
      </c>
      <c r="D3230" s="162" t="s">
        <v>8316</v>
      </c>
      <c r="E3230" s="162" t="s">
        <v>8317</v>
      </c>
      <c r="F3230" s="162">
        <v>31</v>
      </c>
      <c r="G3230" s="162">
        <v>1</v>
      </c>
    </row>
    <row r="3231" spans="2:7" ht="28.8">
      <c r="B3231" s="162" t="s">
        <v>683</v>
      </c>
      <c r="C3231" s="162" t="s">
        <v>8318</v>
      </c>
      <c r="D3231" s="162" t="s">
        <v>8319</v>
      </c>
      <c r="E3231" s="162" t="s">
        <v>8320</v>
      </c>
      <c r="F3231" s="162">
        <v>26</v>
      </c>
      <c r="G3231" s="162">
        <v>1</v>
      </c>
    </row>
    <row r="3232" spans="2:7" ht="28.8">
      <c r="B3232" s="162" t="s">
        <v>683</v>
      </c>
      <c r="C3232" s="162" t="s">
        <v>8321</v>
      </c>
      <c r="D3232" s="162" t="s">
        <v>8322</v>
      </c>
      <c r="E3232" s="162" t="s">
        <v>8323</v>
      </c>
      <c r="F3232" s="162">
        <v>28</v>
      </c>
      <c r="G3232" s="162">
        <v>1</v>
      </c>
    </row>
    <row r="3233" spans="2:7">
      <c r="B3233" s="162" t="s">
        <v>683</v>
      </c>
      <c r="C3233" s="162" t="s">
        <v>8324</v>
      </c>
      <c r="D3233" s="162" t="s">
        <v>8325</v>
      </c>
      <c r="E3233" s="162" t="s">
        <v>8326</v>
      </c>
      <c r="F3233" s="162">
        <v>31</v>
      </c>
      <c r="G3233" s="162">
        <v>1</v>
      </c>
    </row>
    <row r="3234" spans="2:7">
      <c r="B3234" s="162" t="s">
        <v>683</v>
      </c>
      <c r="C3234" s="162" t="s">
        <v>8327</v>
      </c>
      <c r="D3234" s="162" t="s">
        <v>8328</v>
      </c>
      <c r="E3234" s="162" t="s">
        <v>8329</v>
      </c>
      <c r="F3234" s="162">
        <v>14</v>
      </c>
      <c r="G3234" s="162">
        <v>1</v>
      </c>
    </row>
    <row r="3235" spans="2:7">
      <c r="B3235" s="162" t="s">
        <v>683</v>
      </c>
      <c r="C3235" s="162" t="s">
        <v>8330</v>
      </c>
      <c r="D3235" s="162" t="s">
        <v>8331</v>
      </c>
      <c r="E3235" s="162" t="s">
        <v>8332</v>
      </c>
      <c r="F3235" s="162">
        <v>24</v>
      </c>
      <c r="G3235" s="162">
        <v>1</v>
      </c>
    </row>
    <row r="3236" spans="2:7">
      <c r="B3236" s="162" t="s">
        <v>683</v>
      </c>
      <c r="C3236" s="162" t="s">
        <v>8333</v>
      </c>
      <c r="D3236" s="162" t="s">
        <v>8334</v>
      </c>
      <c r="E3236" s="162" t="s">
        <v>8335</v>
      </c>
      <c r="F3236" s="162">
        <v>31</v>
      </c>
      <c r="G3236" s="162">
        <v>1</v>
      </c>
    </row>
    <row r="3237" spans="2:7">
      <c r="B3237" s="162" t="s">
        <v>683</v>
      </c>
      <c r="C3237" s="162" t="s">
        <v>8336</v>
      </c>
      <c r="D3237" s="162" t="s">
        <v>8337</v>
      </c>
      <c r="E3237" s="162" t="s">
        <v>8338</v>
      </c>
      <c r="F3237" s="162">
        <v>16</v>
      </c>
      <c r="G3237" s="162">
        <v>1</v>
      </c>
    </row>
    <row r="3238" spans="2:7" ht="28.8">
      <c r="B3238" s="162" t="s">
        <v>683</v>
      </c>
      <c r="C3238" s="162" t="s">
        <v>8339</v>
      </c>
      <c r="D3238" s="162" t="s">
        <v>8340</v>
      </c>
      <c r="E3238" s="162" t="s">
        <v>8341</v>
      </c>
      <c r="F3238" s="162">
        <v>16</v>
      </c>
      <c r="G3238" s="162">
        <v>1</v>
      </c>
    </row>
    <row r="3239" spans="2:7" ht="28.8">
      <c r="B3239" s="162" t="s">
        <v>683</v>
      </c>
      <c r="C3239" s="162" t="s">
        <v>8342</v>
      </c>
      <c r="D3239" s="162" t="s">
        <v>8343</v>
      </c>
      <c r="E3239" s="162" t="s">
        <v>8344</v>
      </c>
      <c r="F3239" s="162">
        <v>16</v>
      </c>
      <c r="G3239" s="162">
        <v>1</v>
      </c>
    </row>
    <row r="3240" spans="2:7">
      <c r="B3240" s="162" t="s">
        <v>683</v>
      </c>
      <c r="C3240" s="162" t="s">
        <v>8345</v>
      </c>
      <c r="D3240" s="162" t="s">
        <v>8346</v>
      </c>
      <c r="E3240" s="162" t="s">
        <v>8347</v>
      </c>
      <c r="F3240" s="162">
        <v>16</v>
      </c>
      <c r="G3240" s="162">
        <v>1</v>
      </c>
    </row>
    <row r="3241" spans="2:7">
      <c r="B3241" s="162" t="s">
        <v>683</v>
      </c>
      <c r="C3241" s="162" t="s">
        <v>8348</v>
      </c>
      <c r="D3241" s="162" t="s">
        <v>8349</v>
      </c>
      <c r="E3241" s="162" t="s">
        <v>8350</v>
      </c>
      <c r="F3241" s="162">
        <v>16</v>
      </c>
      <c r="G3241" s="162">
        <v>1</v>
      </c>
    </row>
    <row r="3242" spans="2:7">
      <c r="B3242" s="162" t="s">
        <v>683</v>
      </c>
      <c r="C3242" s="162" t="s">
        <v>8351</v>
      </c>
      <c r="D3242" s="162" t="s">
        <v>8352</v>
      </c>
      <c r="E3242" s="162" t="s">
        <v>8353</v>
      </c>
      <c r="F3242" s="162">
        <v>16</v>
      </c>
      <c r="G3242" s="162">
        <v>1</v>
      </c>
    </row>
    <row r="3243" spans="2:7">
      <c r="B3243" s="162" t="s">
        <v>683</v>
      </c>
      <c r="C3243" s="162" t="s">
        <v>8354</v>
      </c>
      <c r="D3243" s="162" t="s">
        <v>8355</v>
      </c>
      <c r="E3243" s="162" t="s">
        <v>8356</v>
      </c>
      <c r="F3243" s="162">
        <v>19</v>
      </c>
      <c r="G3243" s="162">
        <v>1</v>
      </c>
    </row>
    <row r="3244" spans="2:7">
      <c r="B3244" s="162" t="s">
        <v>683</v>
      </c>
      <c r="C3244" s="162" t="s">
        <v>8357</v>
      </c>
      <c r="D3244" s="162" t="s">
        <v>8358</v>
      </c>
      <c r="E3244" s="162" t="s">
        <v>8359</v>
      </c>
      <c r="F3244" s="162">
        <v>19</v>
      </c>
      <c r="G3244" s="162">
        <v>1</v>
      </c>
    </row>
    <row r="3245" spans="2:7">
      <c r="B3245" s="162" t="s">
        <v>683</v>
      </c>
      <c r="C3245" s="162" t="s">
        <v>8360</v>
      </c>
      <c r="D3245" s="162" t="s">
        <v>8361</v>
      </c>
      <c r="E3245" s="162" t="s">
        <v>8362</v>
      </c>
      <c r="F3245" s="162">
        <v>19</v>
      </c>
      <c r="G3245" s="162">
        <v>1</v>
      </c>
    </row>
    <row r="3246" spans="2:7" ht="28.8">
      <c r="B3246" s="162" t="s">
        <v>683</v>
      </c>
      <c r="C3246" s="162" t="s">
        <v>8363</v>
      </c>
      <c r="D3246" s="162" t="s">
        <v>8364</v>
      </c>
      <c r="E3246" s="162" t="s">
        <v>8365</v>
      </c>
      <c r="F3246" s="162">
        <v>48</v>
      </c>
      <c r="G3246" s="162">
        <v>1</v>
      </c>
    </row>
    <row r="3247" spans="2:7" ht="28.8">
      <c r="B3247" s="162" t="s">
        <v>683</v>
      </c>
      <c r="C3247" s="162" t="s">
        <v>8366</v>
      </c>
      <c r="D3247" s="162" t="s">
        <v>8367</v>
      </c>
      <c r="E3247" s="162" t="s">
        <v>8368</v>
      </c>
      <c r="F3247" s="162">
        <v>74</v>
      </c>
      <c r="G3247" s="162">
        <v>1</v>
      </c>
    </row>
    <row r="3248" spans="2:7">
      <c r="B3248" s="162" t="s">
        <v>683</v>
      </c>
      <c r="C3248" s="162" t="s">
        <v>8369</v>
      </c>
      <c r="D3248" s="162" t="s">
        <v>8370</v>
      </c>
      <c r="E3248" s="162" t="s">
        <v>8371</v>
      </c>
      <c r="F3248" s="162">
        <v>14</v>
      </c>
      <c r="G3248" s="162">
        <v>1</v>
      </c>
    </row>
    <row r="3249" spans="2:7">
      <c r="B3249" s="162" t="s">
        <v>683</v>
      </c>
      <c r="C3249" s="162" t="s">
        <v>8372</v>
      </c>
      <c r="D3249" s="162" t="s">
        <v>8373</v>
      </c>
      <c r="E3249" s="162" t="s">
        <v>8374</v>
      </c>
      <c r="F3249" s="162">
        <v>19</v>
      </c>
      <c r="G3249" s="162">
        <v>1</v>
      </c>
    </row>
    <row r="3250" spans="2:7">
      <c r="B3250" s="162" t="s">
        <v>683</v>
      </c>
      <c r="C3250" s="162" t="s">
        <v>8375</v>
      </c>
      <c r="D3250" s="162" t="s">
        <v>8376</v>
      </c>
      <c r="E3250" s="162" t="s">
        <v>8377</v>
      </c>
      <c r="F3250" s="162">
        <v>19</v>
      </c>
      <c r="G3250" s="162">
        <v>1</v>
      </c>
    </row>
    <row r="3251" spans="2:7">
      <c r="B3251" s="162" t="s">
        <v>683</v>
      </c>
      <c r="C3251" s="162" t="s">
        <v>8378</v>
      </c>
      <c r="D3251" s="162" t="s">
        <v>8379</v>
      </c>
      <c r="E3251" s="162" t="s">
        <v>8380</v>
      </c>
      <c r="F3251" s="162">
        <v>19</v>
      </c>
      <c r="G3251" s="162">
        <v>1</v>
      </c>
    </row>
    <row r="3252" spans="2:7" ht="28.8">
      <c r="B3252" s="162" t="s">
        <v>683</v>
      </c>
      <c r="C3252" s="162" t="s">
        <v>8381</v>
      </c>
      <c r="D3252" s="162" t="s">
        <v>8382</v>
      </c>
      <c r="E3252" s="162" t="s">
        <v>8383</v>
      </c>
      <c r="F3252" s="162">
        <v>37</v>
      </c>
      <c r="G3252" s="162">
        <v>1</v>
      </c>
    </row>
    <row r="3253" spans="2:7" ht="28.8">
      <c r="B3253" s="162" t="s">
        <v>683</v>
      </c>
      <c r="C3253" s="162" t="s">
        <v>8384</v>
      </c>
      <c r="D3253" s="162" t="s">
        <v>8385</v>
      </c>
      <c r="E3253" s="162" t="s">
        <v>8386</v>
      </c>
      <c r="F3253" s="162">
        <v>37</v>
      </c>
      <c r="G3253" s="162">
        <v>1</v>
      </c>
    </row>
    <row r="3254" spans="2:7" ht="28.8">
      <c r="B3254" s="162" t="s">
        <v>683</v>
      </c>
      <c r="C3254" s="162" t="s">
        <v>8387</v>
      </c>
      <c r="D3254" s="162" t="s">
        <v>8388</v>
      </c>
      <c r="E3254" s="162" t="s">
        <v>8389</v>
      </c>
      <c r="F3254" s="162">
        <v>37</v>
      </c>
      <c r="G3254" s="162">
        <v>1</v>
      </c>
    </row>
    <row r="3255" spans="2:7" ht="28.8">
      <c r="B3255" s="162" t="s">
        <v>683</v>
      </c>
      <c r="C3255" s="162" t="s">
        <v>8390</v>
      </c>
      <c r="D3255" s="162" t="s">
        <v>8391</v>
      </c>
      <c r="E3255" s="162" t="s">
        <v>8392</v>
      </c>
      <c r="F3255" s="162">
        <v>37</v>
      </c>
      <c r="G3255" s="162">
        <v>1</v>
      </c>
    </row>
    <row r="3256" spans="2:7" ht="28.8">
      <c r="B3256" s="162" t="s">
        <v>683</v>
      </c>
      <c r="C3256" s="162" t="s">
        <v>8393</v>
      </c>
      <c r="D3256" s="162" t="s">
        <v>8394</v>
      </c>
      <c r="E3256" s="162" t="s">
        <v>8395</v>
      </c>
      <c r="F3256" s="162">
        <v>37</v>
      </c>
      <c r="G3256" s="162">
        <v>1</v>
      </c>
    </row>
    <row r="3257" spans="2:7">
      <c r="B3257" s="162" t="s">
        <v>683</v>
      </c>
      <c r="C3257" s="162" t="s">
        <v>8396</v>
      </c>
      <c r="D3257" s="162" t="s">
        <v>8397</v>
      </c>
      <c r="E3257" s="162" t="s">
        <v>8398</v>
      </c>
      <c r="F3257" s="162">
        <v>47</v>
      </c>
      <c r="G3257" s="162">
        <v>1</v>
      </c>
    </row>
    <row r="3258" spans="2:7" ht="28.8">
      <c r="B3258" s="162" t="s">
        <v>683</v>
      </c>
      <c r="C3258" s="162" t="s">
        <v>8399</v>
      </c>
      <c r="D3258" s="162" t="s">
        <v>8400</v>
      </c>
      <c r="E3258" s="162" t="s">
        <v>8401</v>
      </c>
      <c r="F3258" s="162">
        <v>64</v>
      </c>
      <c r="G3258" s="162">
        <v>1</v>
      </c>
    </row>
    <row r="3259" spans="2:7">
      <c r="B3259" s="162" t="s">
        <v>683</v>
      </c>
      <c r="C3259" s="162" t="s">
        <v>8402</v>
      </c>
      <c r="D3259" s="162" t="s">
        <v>8403</v>
      </c>
      <c r="E3259" s="162" t="s">
        <v>8404</v>
      </c>
      <c r="F3259" s="162">
        <v>31</v>
      </c>
      <c r="G3259" s="162">
        <v>1</v>
      </c>
    </row>
    <row r="3260" spans="2:7">
      <c r="B3260" s="162" t="s">
        <v>683</v>
      </c>
      <c r="C3260" s="162" t="s">
        <v>8405</v>
      </c>
      <c r="D3260" s="162" t="s">
        <v>8406</v>
      </c>
      <c r="E3260" s="162" t="s">
        <v>8407</v>
      </c>
      <c r="F3260" s="162">
        <v>36</v>
      </c>
      <c r="G3260" s="162">
        <v>1</v>
      </c>
    </row>
    <row r="3261" spans="2:7" ht="28.8">
      <c r="B3261" s="162" t="s">
        <v>683</v>
      </c>
      <c r="C3261" s="162" t="s">
        <v>8408</v>
      </c>
      <c r="D3261" s="162" t="s">
        <v>8409</v>
      </c>
      <c r="E3261" s="162" t="s">
        <v>8410</v>
      </c>
      <c r="F3261" s="162">
        <v>36</v>
      </c>
      <c r="G3261" s="162">
        <v>1</v>
      </c>
    </row>
    <row r="3262" spans="2:7" ht="28.8">
      <c r="B3262" s="162" t="s">
        <v>683</v>
      </c>
      <c r="C3262" s="162" t="s">
        <v>8411</v>
      </c>
      <c r="D3262" s="162" t="s">
        <v>8412</v>
      </c>
      <c r="E3262" s="162" t="s">
        <v>8413</v>
      </c>
      <c r="F3262" s="162">
        <v>36</v>
      </c>
      <c r="G3262" s="162">
        <v>1</v>
      </c>
    </row>
    <row r="3263" spans="2:7" ht="28.8">
      <c r="B3263" s="162" t="s">
        <v>683</v>
      </c>
      <c r="C3263" s="162" t="s">
        <v>8414</v>
      </c>
      <c r="D3263" s="162" t="s">
        <v>8415</v>
      </c>
      <c r="E3263" s="162" t="s">
        <v>8416</v>
      </c>
      <c r="F3263" s="162">
        <v>36</v>
      </c>
      <c r="G3263" s="162">
        <v>1</v>
      </c>
    </row>
    <row r="3264" spans="2:7" ht="28.8">
      <c r="B3264" s="162" t="s">
        <v>683</v>
      </c>
      <c r="C3264" s="162" t="s">
        <v>8417</v>
      </c>
      <c r="D3264" s="162" t="s">
        <v>8418</v>
      </c>
      <c r="E3264" s="162" t="s">
        <v>8419</v>
      </c>
      <c r="F3264" s="162">
        <v>36</v>
      </c>
      <c r="G3264" s="162">
        <v>1</v>
      </c>
    </row>
    <row r="3265" spans="2:7">
      <c r="B3265" s="162" t="s">
        <v>683</v>
      </c>
      <c r="C3265" s="162" t="s">
        <v>8420</v>
      </c>
      <c r="D3265" s="162" t="s">
        <v>8421</v>
      </c>
      <c r="E3265" s="162" t="s">
        <v>8422</v>
      </c>
      <c r="F3265" s="162">
        <v>36</v>
      </c>
      <c r="G3265" s="162">
        <v>1</v>
      </c>
    </row>
    <row r="3266" spans="2:7">
      <c r="B3266" s="162" t="s">
        <v>683</v>
      </c>
      <c r="C3266" s="162" t="s">
        <v>8423</v>
      </c>
      <c r="D3266" s="162" t="s">
        <v>8424</v>
      </c>
      <c r="E3266" s="162" t="s">
        <v>8425</v>
      </c>
      <c r="F3266" s="162">
        <v>31</v>
      </c>
      <c r="G3266" s="162">
        <v>1</v>
      </c>
    </row>
    <row r="3267" spans="2:7">
      <c r="B3267" s="162" t="s">
        <v>683</v>
      </c>
      <c r="C3267" s="162" t="s">
        <v>8426</v>
      </c>
      <c r="D3267" s="162" t="s">
        <v>8427</v>
      </c>
      <c r="E3267" s="162" t="s">
        <v>8428</v>
      </c>
      <c r="F3267" s="162">
        <v>24</v>
      </c>
      <c r="G3267" s="162">
        <v>1</v>
      </c>
    </row>
    <row r="3268" spans="2:7">
      <c r="B3268" s="162" t="s">
        <v>683</v>
      </c>
      <c r="C3268" s="162" t="s">
        <v>8429</v>
      </c>
      <c r="D3268" s="162" t="s">
        <v>8430</v>
      </c>
      <c r="E3268" s="162" t="s">
        <v>8431</v>
      </c>
      <c r="F3268" s="162">
        <v>24</v>
      </c>
      <c r="G3268" s="162">
        <v>1</v>
      </c>
    </row>
    <row r="3269" spans="2:7">
      <c r="B3269" s="162" t="s">
        <v>683</v>
      </c>
      <c r="C3269" s="162" t="s">
        <v>8432</v>
      </c>
      <c r="D3269" s="162" t="s">
        <v>8433</v>
      </c>
      <c r="E3269" s="162" t="s">
        <v>8434</v>
      </c>
      <c r="F3269" s="162">
        <v>226</v>
      </c>
      <c r="G3269" s="162">
        <v>1</v>
      </c>
    </row>
    <row r="3270" spans="2:7">
      <c r="B3270" s="162" t="s">
        <v>683</v>
      </c>
      <c r="C3270" s="162" t="s">
        <v>8435</v>
      </c>
      <c r="D3270" s="162" t="s">
        <v>8436</v>
      </c>
      <c r="E3270" s="162" t="s">
        <v>8437</v>
      </c>
      <c r="F3270" s="162">
        <v>227</v>
      </c>
      <c r="G3270" s="162">
        <v>1</v>
      </c>
    </row>
    <row r="3271" spans="2:7">
      <c r="B3271" s="162" t="s">
        <v>683</v>
      </c>
      <c r="C3271" s="162" t="s">
        <v>8438</v>
      </c>
      <c r="D3271" s="162" t="s">
        <v>8439</v>
      </c>
      <c r="E3271" s="162" t="s">
        <v>8440</v>
      </c>
      <c r="F3271" s="162">
        <v>226</v>
      </c>
      <c r="G3271" s="162">
        <v>1</v>
      </c>
    </row>
    <row r="3272" spans="2:7">
      <c r="B3272" s="162" t="s">
        <v>683</v>
      </c>
      <c r="C3272" s="162" t="s">
        <v>8441</v>
      </c>
      <c r="D3272" s="162" t="s">
        <v>8442</v>
      </c>
      <c r="E3272" s="162" t="s">
        <v>8443</v>
      </c>
      <c r="F3272" s="162">
        <v>226</v>
      </c>
      <c r="G3272" s="162">
        <v>1</v>
      </c>
    </row>
    <row r="3273" spans="2:7">
      <c r="B3273" s="162" t="s">
        <v>683</v>
      </c>
      <c r="C3273" s="162" t="s">
        <v>8444</v>
      </c>
      <c r="D3273" s="162" t="s">
        <v>8445</v>
      </c>
      <c r="E3273" s="162" t="s">
        <v>8446</v>
      </c>
      <c r="F3273" s="162">
        <v>227</v>
      </c>
      <c r="G3273" s="162">
        <v>1</v>
      </c>
    </row>
    <row r="3274" spans="2:7">
      <c r="B3274" s="162" t="s">
        <v>683</v>
      </c>
      <c r="C3274" s="162" t="s">
        <v>8447</v>
      </c>
      <c r="D3274" s="162" t="s">
        <v>8448</v>
      </c>
      <c r="E3274" s="162" t="s">
        <v>8449</v>
      </c>
      <c r="F3274" s="162">
        <v>226</v>
      </c>
      <c r="G3274" s="162">
        <v>1</v>
      </c>
    </row>
    <row r="3275" spans="2:7" ht="28.8">
      <c r="B3275" s="162" t="s">
        <v>683</v>
      </c>
      <c r="C3275" s="162" t="s">
        <v>8450</v>
      </c>
      <c r="D3275" s="162" t="s">
        <v>8451</v>
      </c>
      <c r="E3275" s="162" t="s">
        <v>8452</v>
      </c>
      <c r="F3275" s="162">
        <v>295</v>
      </c>
      <c r="G3275" s="162">
        <v>1</v>
      </c>
    </row>
    <row r="3276" spans="2:7" ht="28.8">
      <c r="B3276" s="162" t="s">
        <v>683</v>
      </c>
      <c r="C3276" s="162" t="s">
        <v>8453</v>
      </c>
      <c r="D3276" s="162" t="s">
        <v>8454</v>
      </c>
      <c r="E3276" s="162" t="s">
        <v>8455</v>
      </c>
      <c r="F3276" s="162">
        <v>295</v>
      </c>
      <c r="G3276" s="162">
        <v>1</v>
      </c>
    </row>
    <row r="3277" spans="2:7">
      <c r="B3277" s="162" t="s">
        <v>683</v>
      </c>
      <c r="C3277" s="162" t="s">
        <v>8456</v>
      </c>
      <c r="D3277" s="162" t="s">
        <v>8457</v>
      </c>
      <c r="E3277" s="162" t="s">
        <v>8458</v>
      </c>
      <c r="F3277" s="162">
        <v>69</v>
      </c>
      <c r="G3277" s="162">
        <v>1</v>
      </c>
    </row>
    <row r="3278" spans="2:7">
      <c r="B3278" s="162" t="s">
        <v>683</v>
      </c>
      <c r="C3278" s="162" t="s">
        <v>8459</v>
      </c>
      <c r="D3278" s="162" t="s">
        <v>8460</v>
      </c>
      <c r="E3278" s="162" t="s">
        <v>8461</v>
      </c>
      <c r="F3278" s="162">
        <v>69</v>
      </c>
      <c r="G3278" s="162">
        <v>1</v>
      </c>
    </row>
    <row r="3279" spans="2:7">
      <c r="B3279" s="162" t="s">
        <v>683</v>
      </c>
      <c r="C3279" s="162" t="s">
        <v>8462</v>
      </c>
      <c r="D3279" s="162" t="s">
        <v>8463</v>
      </c>
      <c r="E3279" s="162" t="s">
        <v>8464</v>
      </c>
      <c r="F3279" s="162">
        <v>91</v>
      </c>
      <c r="G3279" s="162">
        <v>1</v>
      </c>
    </row>
    <row r="3280" spans="2:7" ht="28.8">
      <c r="B3280" s="162" t="s">
        <v>683</v>
      </c>
      <c r="C3280" s="162" t="s">
        <v>8465</v>
      </c>
      <c r="D3280" s="162" t="s">
        <v>8466</v>
      </c>
      <c r="E3280" s="162" t="s">
        <v>8467</v>
      </c>
      <c r="F3280" s="162">
        <v>107</v>
      </c>
      <c r="G3280" s="162">
        <v>1</v>
      </c>
    </row>
    <row r="3281" spans="2:7" ht="28.8">
      <c r="B3281" s="162" t="s">
        <v>683</v>
      </c>
      <c r="C3281" s="162" t="s">
        <v>8468</v>
      </c>
      <c r="D3281" s="162" t="s">
        <v>8469</v>
      </c>
      <c r="E3281" s="162" t="s">
        <v>8470</v>
      </c>
      <c r="F3281" s="162">
        <v>610</v>
      </c>
      <c r="G3281" s="162">
        <v>1</v>
      </c>
    </row>
    <row r="3282" spans="2:7" ht="28.8">
      <c r="B3282" s="162" t="s">
        <v>683</v>
      </c>
      <c r="C3282" s="162" t="s">
        <v>8471</v>
      </c>
      <c r="D3282" s="162" t="s">
        <v>8472</v>
      </c>
      <c r="E3282" s="162" t="s">
        <v>8473</v>
      </c>
      <c r="F3282" s="162">
        <v>610</v>
      </c>
      <c r="G3282" s="162">
        <v>1</v>
      </c>
    </row>
    <row r="3283" spans="2:7" ht="28.8">
      <c r="B3283" s="162" t="s">
        <v>683</v>
      </c>
      <c r="C3283" s="162" t="s">
        <v>8474</v>
      </c>
      <c r="D3283" s="162" t="s">
        <v>8475</v>
      </c>
      <c r="E3283" s="162" t="s">
        <v>8476</v>
      </c>
      <c r="F3283" s="162">
        <v>606</v>
      </c>
      <c r="G3283" s="162">
        <v>1</v>
      </c>
    </row>
    <row r="3284" spans="2:7">
      <c r="B3284" s="162" t="s">
        <v>683</v>
      </c>
      <c r="C3284" s="162" t="s">
        <v>8477</v>
      </c>
      <c r="D3284" s="162" t="s">
        <v>8478</v>
      </c>
      <c r="E3284" s="162" t="s">
        <v>8479</v>
      </c>
      <c r="F3284" s="162">
        <v>505</v>
      </c>
      <c r="G3284" s="162">
        <v>1</v>
      </c>
    </row>
    <row r="3285" spans="2:7">
      <c r="B3285" s="162" t="s">
        <v>683</v>
      </c>
      <c r="C3285" s="162" t="s">
        <v>8480</v>
      </c>
      <c r="D3285" s="162" t="s">
        <v>8478</v>
      </c>
      <c r="E3285" s="162" t="s">
        <v>8481</v>
      </c>
      <c r="F3285" s="162">
        <v>505</v>
      </c>
      <c r="G3285" s="162">
        <v>1</v>
      </c>
    </row>
    <row r="3286" spans="2:7">
      <c r="B3286" s="162" t="s">
        <v>683</v>
      </c>
      <c r="C3286" s="162" t="s">
        <v>8482</v>
      </c>
      <c r="D3286" s="162" t="s">
        <v>8478</v>
      </c>
      <c r="E3286" s="162" t="s">
        <v>8483</v>
      </c>
      <c r="F3286" s="162">
        <v>511</v>
      </c>
      <c r="G3286" s="162">
        <v>1</v>
      </c>
    </row>
    <row r="3287" spans="2:7" ht="28.8">
      <c r="B3287" s="162" t="s">
        <v>683</v>
      </c>
      <c r="C3287" s="162" t="s">
        <v>8484</v>
      </c>
      <c r="D3287" s="162" t="s">
        <v>8485</v>
      </c>
      <c r="E3287" s="162" t="s">
        <v>8486</v>
      </c>
      <c r="F3287" s="162">
        <v>516</v>
      </c>
      <c r="G3287" s="162">
        <v>1</v>
      </c>
    </row>
    <row r="3288" spans="2:7" ht="28.8">
      <c r="B3288" s="162" t="s">
        <v>683</v>
      </c>
      <c r="C3288" s="162" t="s">
        <v>8487</v>
      </c>
      <c r="D3288" s="162" t="s">
        <v>8488</v>
      </c>
      <c r="E3288" s="162" t="s">
        <v>8489</v>
      </c>
      <c r="F3288" s="162">
        <v>379</v>
      </c>
      <c r="G3288" s="162">
        <v>1</v>
      </c>
    </row>
    <row r="3289" spans="2:7">
      <c r="B3289" s="162" t="s">
        <v>683</v>
      </c>
      <c r="C3289" s="162" t="s">
        <v>8490</v>
      </c>
      <c r="D3289" s="162" t="s">
        <v>8491</v>
      </c>
      <c r="E3289" s="162" t="s">
        <v>8492</v>
      </c>
      <c r="F3289" s="162">
        <v>325</v>
      </c>
      <c r="G3289" s="162">
        <v>1</v>
      </c>
    </row>
    <row r="3290" spans="2:7">
      <c r="B3290" s="162" t="s">
        <v>683</v>
      </c>
      <c r="C3290" s="162" t="s">
        <v>8493</v>
      </c>
      <c r="D3290" s="162" t="s">
        <v>8494</v>
      </c>
      <c r="E3290" s="162" t="s">
        <v>8495</v>
      </c>
      <c r="F3290" s="162">
        <v>325</v>
      </c>
      <c r="G3290" s="162">
        <v>1</v>
      </c>
    </row>
    <row r="3291" spans="2:7">
      <c r="B3291" s="162" t="s">
        <v>683</v>
      </c>
      <c r="C3291" s="162" t="s">
        <v>8496</v>
      </c>
      <c r="D3291" s="162" t="s">
        <v>8497</v>
      </c>
      <c r="E3291" s="162" t="s">
        <v>8498</v>
      </c>
      <c r="F3291" s="162">
        <v>325</v>
      </c>
      <c r="G3291" s="162">
        <v>1</v>
      </c>
    </row>
    <row r="3292" spans="2:7" ht="28.8">
      <c r="B3292" s="162" t="s">
        <v>683</v>
      </c>
      <c r="C3292" s="162" t="s">
        <v>8499</v>
      </c>
      <c r="D3292" s="162" t="s">
        <v>8500</v>
      </c>
      <c r="E3292" s="162" t="s">
        <v>8501</v>
      </c>
      <c r="F3292" s="162">
        <v>20</v>
      </c>
      <c r="G3292" s="162">
        <v>1</v>
      </c>
    </row>
    <row r="3293" spans="2:7">
      <c r="B3293" s="162" t="s">
        <v>683</v>
      </c>
      <c r="C3293" s="162" t="s">
        <v>8502</v>
      </c>
      <c r="D3293" s="162" t="s">
        <v>8503</v>
      </c>
      <c r="E3293" s="162" t="s">
        <v>8504</v>
      </c>
      <c r="F3293" s="162">
        <v>20</v>
      </c>
      <c r="G3293" s="162">
        <v>1</v>
      </c>
    </row>
    <row r="3294" spans="2:7" ht="28.8">
      <c r="B3294" s="162" t="s">
        <v>683</v>
      </c>
      <c r="C3294" s="162" t="s">
        <v>8505</v>
      </c>
      <c r="D3294" s="162" t="s">
        <v>8506</v>
      </c>
      <c r="E3294" s="162" t="s">
        <v>8507</v>
      </c>
      <c r="F3294" s="162">
        <v>211</v>
      </c>
      <c r="G3294" s="162">
        <v>1</v>
      </c>
    </row>
    <row r="3295" spans="2:7" ht="28.8">
      <c r="B3295" s="162" t="s">
        <v>683</v>
      </c>
      <c r="C3295" s="162" t="s">
        <v>8508</v>
      </c>
      <c r="D3295" s="162" t="s">
        <v>8509</v>
      </c>
      <c r="E3295" s="162" t="s">
        <v>8510</v>
      </c>
      <c r="F3295" s="162">
        <v>152</v>
      </c>
      <c r="G3295" s="162">
        <v>1</v>
      </c>
    </row>
    <row r="3296" spans="2:7" ht="28.8">
      <c r="B3296" s="162" t="s">
        <v>683</v>
      </c>
      <c r="C3296" s="162" t="s">
        <v>8511</v>
      </c>
      <c r="D3296" s="162" t="s">
        <v>8512</v>
      </c>
      <c r="E3296" s="162" t="s">
        <v>8513</v>
      </c>
      <c r="F3296" s="162">
        <v>180</v>
      </c>
      <c r="G3296" s="162">
        <v>1</v>
      </c>
    </row>
    <row r="3297" spans="2:7" ht="28.8">
      <c r="B3297" s="162" t="s">
        <v>683</v>
      </c>
      <c r="C3297" s="162" t="s">
        <v>8514</v>
      </c>
      <c r="D3297" s="162" t="s">
        <v>8515</v>
      </c>
      <c r="E3297" s="162" t="s">
        <v>8516</v>
      </c>
      <c r="F3297" s="162">
        <v>197</v>
      </c>
      <c r="G3297" s="162">
        <v>1</v>
      </c>
    </row>
    <row r="3298" spans="2:7" ht="28.8">
      <c r="B3298" s="162" t="s">
        <v>683</v>
      </c>
      <c r="C3298" s="162" t="s">
        <v>8517</v>
      </c>
      <c r="D3298" s="162" t="s">
        <v>8518</v>
      </c>
      <c r="E3298" s="162" t="s">
        <v>8519</v>
      </c>
      <c r="F3298" s="162">
        <v>769</v>
      </c>
      <c r="G3298" s="162">
        <v>1</v>
      </c>
    </row>
    <row r="3299" spans="2:7" ht="28.8">
      <c r="B3299" s="162" t="s">
        <v>683</v>
      </c>
      <c r="C3299" s="162" t="s">
        <v>8520</v>
      </c>
      <c r="D3299" s="162" t="s">
        <v>8518</v>
      </c>
      <c r="E3299" s="162" t="s">
        <v>8521</v>
      </c>
      <c r="F3299" s="162">
        <v>769</v>
      </c>
      <c r="G3299" s="162">
        <v>1</v>
      </c>
    </row>
    <row r="3300" spans="2:7" ht="28.8">
      <c r="B3300" s="162" t="s">
        <v>683</v>
      </c>
      <c r="C3300" s="162" t="s">
        <v>8522</v>
      </c>
      <c r="D3300" s="162" t="s">
        <v>8518</v>
      </c>
      <c r="E3300" s="162" t="s">
        <v>8523</v>
      </c>
      <c r="F3300" s="162">
        <v>769</v>
      </c>
      <c r="G3300" s="162">
        <v>1</v>
      </c>
    </row>
    <row r="3301" spans="2:7" ht="28.8">
      <c r="B3301" s="162" t="s">
        <v>683</v>
      </c>
      <c r="C3301" s="162" t="s">
        <v>8524</v>
      </c>
      <c r="D3301" s="162" t="s">
        <v>8525</v>
      </c>
      <c r="E3301" s="162" t="s">
        <v>8526</v>
      </c>
      <c r="F3301" s="162">
        <v>769</v>
      </c>
      <c r="G3301" s="162">
        <v>1</v>
      </c>
    </row>
    <row r="3302" spans="2:7" ht="28.8">
      <c r="B3302" s="162" t="s">
        <v>683</v>
      </c>
      <c r="C3302" s="162" t="s">
        <v>8527</v>
      </c>
      <c r="D3302" s="162" t="s">
        <v>8525</v>
      </c>
      <c r="E3302" s="162" t="s">
        <v>8528</v>
      </c>
      <c r="F3302" s="162">
        <v>769</v>
      </c>
      <c r="G3302" s="162">
        <v>1</v>
      </c>
    </row>
    <row r="3303" spans="2:7" ht="28.8">
      <c r="B3303" s="162" t="s">
        <v>683</v>
      </c>
      <c r="C3303" s="162" t="s">
        <v>8529</v>
      </c>
      <c r="D3303" s="162" t="s">
        <v>8525</v>
      </c>
      <c r="E3303" s="162" t="s">
        <v>8530</v>
      </c>
      <c r="F3303" s="162">
        <v>769</v>
      </c>
      <c r="G3303" s="162">
        <v>1</v>
      </c>
    </row>
    <row r="3304" spans="2:7">
      <c r="B3304" s="162" t="s">
        <v>683</v>
      </c>
      <c r="C3304" s="162" t="s">
        <v>8531</v>
      </c>
      <c r="D3304" s="162" t="s">
        <v>8532</v>
      </c>
      <c r="E3304" s="162" t="s">
        <v>8533</v>
      </c>
      <c r="F3304" s="162">
        <v>690</v>
      </c>
      <c r="G3304" s="162">
        <v>1</v>
      </c>
    </row>
    <row r="3305" spans="2:7">
      <c r="B3305" s="162" t="s">
        <v>683</v>
      </c>
      <c r="C3305" s="162" t="s">
        <v>8534</v>
      </c>
      <c r="D3305" s="162" t="s">
        <v>8532</v>
      </c>
      <c r="E3305" s="162" t="s">
        <v>8535</v>
      </c>
      <c r="F3305" s="162">
        <v>690</v>
      </c>
      <c r="G3305" s="162">
        <v>1</v>
      </c>
    </row>
    <row r="3306" spans="2:7">
      <c r="B3306" s="162" t="s">
        <v>683</v>
      </c>
      <c r="C3306" s="162" t="s">
        <v>8536</v>
      </c>
      <c r="D3306" s="162" t="s">
        <v>8532</v>
      </c>
      <c r="E3306" s="162" t="s">
        <v>8537</v>
      </c>
      <c r="F3306" s="162">
        <v>798</v>
      </c>
      <c r="G3306" s="162">
        <v>1</v>
      </c>
    </row>
    <row r="3307" spans="2:7">
      <c r="B3307" s="162" t="s">
        <v>683</v>
      </c>
      <c r="C3307" s="162" t="s">
        <v>8538</v>
      </c>
      <c r="D3307" s="162" t="s">
        <v>8539</v>
      </c>
      <c r="E3307" s="162" t="s">
        <v>8540</v>
      </c>
      <c r="F3307" s="162">
        <v>357</v>
      </c>
      <c r="G3307" s="162">
        <v>1</v>
      </c>
    </row>
    <row r="3308" spans="2:7">
      <c r="B3308" s="162" t="s">
        <v>683</v>
      </c>
      <c r="C3308" s="162" t="s">
        <v>8541</v>
      </c>
      <c r="D3308" s="162" t="s">
        <v>8542</v>
      </c>
      <c r="E3308" s="162" t="s">
        <v>8543</v>
      </c>
      <c r="F3308" s="162">
        <v>341</v>
      </c>
      <c r="G3308" s="162">
        <v>1</v>
      </c>
    </row>
    <row r="3309" spans="2:7">
      <c r="B3309" s="162" t="s">
        <v>683</v>
      </c>
      <c r="C3309" s="162" t="s">
        <v>8544</v>
      </c>
      <c r="D3309" s="162" t="s">
        <v>8545</v>
      </c>
      <c r="E3309" s="162" t="s">
        <v>8546</v>
      </c>
      <c r="F3309" s="162">
        <v>373</v>
      </c>
      <c r="G3309" s="162">
        <v>1</v>
      </c>
    </row>
    <row r="3310" spans="2:7">
      <c r="B3310" s="162" t="s">
        <v>683</v>
      </c>
      <c r="C3310" s="162" t="s">
        <v>8547</v>
      </c>
      <c r="D3310" s="162" t="s">
        <v>8548</v>
      </c>
      <c r="E3310" s="162" t="s">
        <v>8549</v>
      </c>
      <c r="F3310" s="162">
        <v>398</v>
      </c>
      <c r="G3310" s="162">
        <v>1</v>
      </c>
    </row>
    <row r="3311" spans="2:7">
      <c r="B3311" s="162" t="s">
        <v>683</v>
      </c>
      <c r="C3311" s="162" t="s">
        <v>8550</v>
      </c>
      <c r="D3311" s="162" t="s">
        <v>8551</v>
      </c>
      <c r="E3311" s="162" t="s">
        <v>8552</v>
      </c>
      <c r="F3311" s="162">
        <v>81</v>
      </c>
      <c r="G3311" s="162">
        <v>1</v>
      </c>
    </row>
    <row r="3312" spans="2:7">
      <c r="B3312" s="162" t="s">
        <v>683</v>
      </c>
      <c r="C3312" s="162" t="s">
        <v>8553</v>
      </c>
      <c r="D3312" s="162" t="s">
        <v>8554</v>
      </c>
      <c r="E3312" s="162" t="s">
        <v>8555</v>
      </c>
      <c r="F3312" s="162">
        <v>92</v>
      </c>
      <c r="G3312" s="162">
        <v>1</v>
      </c>
    </row>
    <row r="3313" spans="2:7">
      <c r="B3313" s="162" t="s">
        <v>683</v>
      </c>
      <c r="C3313" s="162" t="s">
        <v>8556</v>
      </c>
      <c r="D3313" s="162" t="s">
        <v>8557</v>
      </c>
      <c r="E3313" s="162" t="s">
        <v>8558</v>
      </c>
      <c r="F3313" s="162">
        <v>19</v>
      </c>
      <c r="G3313" s="162">
        <v>1</v>
      </c>
    </row>
    <row r="3314" spans="2:7">
      <c r="B3314" s="162" t="s">
        <v>683</v>
      </c>
      <c r="C3314" s="162" t="s">
        <v>8559</v>
      </c>
      <c r="D3314" s="162" t="s">
        <v>8557</v>
      </c>
      <c r="E3314" s="162" t="s">
        <v>8560</v>
      </c>
      <c r="F3314" s="162">
        <v>19</v>
      </c>
      <c r="G3314" s="162">
        <v>1</v>
      </c>
    </row>
    <row r="3315" spans="2:7">
      <c r="B3315" s="162" t="s">
        <v>683</v>
      </c>
      <c r="C3315" s="162" t="s">
        <v>8561</v>
      </c>
      <c r="D3315" s="162" t="s">
        <v>8562</v>
      </c>
      <c r="E3315" s="162" t="s">
        <v>8563</v>
      </c>
      <c r="F3315" s="162">
        <v>19</v>
      </c>
      <c r="G3315" s="162">
        <v>1</v>
      </c>
    </row>
    <row r="3316" spans="2:7" ht="28.8">
      <c r="B3316" s="162" t="s">
        <v>683</v>
      </c>
      <c r="C3316" s="162" t="s">
        <v>8564</v>
      </c>
      <c r="D3316" s="162" t="s">
        <v>8565</v>
      </c>
      <c r="E3316" s="162" t="s">
        <v>8566</v>
      </c>
      <c r="F3316" s="162">
        <v>46</v>
      </c>
      <c r="G3316" s="162">
        <v>1</v>
      </c>
    </row>
    <row r="3317" spans="2:7">
      <c r="B3317" s="162" t="s">
        <v>683</v>
      </c>
      <c r="C3317" s="162" t="s">
        <v>8567</v>
      </c>
      <c r="D3317" s="162" t="s">
        <v>8568</v>
      </c>
      <c r="E3317" s="162" t="s">
        <v>8569</v>
      </c>
      <c r="F3317" s="162">
        <v>14</v>
      </c>
      <c r="G3317" s="162">
        <v>1</v>
      </c>
    </row>
    <row r="3318" spans="2:7">
      <c r="B3318" s="162" t="s">
        <v>683</v>
      </c>
      <c r="C3318" s="162" t="s">
        <v>8570</v>
      </c>
      <c r="D3318" s="162" t="s">
        <v>8571</v>
      </c>
      <c r="E3318" s="162" t="s">
        <v>8572</v>
      </c>
      <c r="F3318" s="162">
        <v>14</v>
      </c>
      <c r="G3318" s="162">
        <v>1</v>
      </c>
    </row>
    <row r="3319" spans="2:7">
      <c r="B3319" s="162" t="s">
        <v>683</v>
      </c>
      <c r="C3319" s="162" t="s">
        <v>8573</v>
      </c>
      <c r="D3319" s="162" t="s">
        <v>8574</v>
      </c>
      <c r="E3319" s="162" t="s">
        <v>8575</v>
      </c>
      <c r="F3319" s="162">
        <v>14</v>
      </c>
      <c r="G3319" s="162">
        <v>1</v>
      </c>
    </row>
    <row r="3320" spans="2:7">
      <c r="B3320" s="162" t="s">
        <v>683</v>
      </c>
      <c r="C3320" s="162" t="s">
        <v>8576</v>
      </c>
      <c r="D3320" s="162" t="s">
        <v>8577</v>
      </c>
      <c r="E3320" s="162" t="s">
        <v>8578</v>
      </c>
      <c r="F3320" s="162">
        <v>14</v>
      </c>
      <c r="G3320" s="162">
        <v>1</v>
      </c>
    </row>
    <row r="3321" spans="2:7">
      <c r="B3321" s="162" t="s">
        <v>683</v>
      </c>
      <c r="C3321" s="162" t="s">
        <v>8579</v>
      </c>
      <c r="D3321" s="162" t="s">
        <v>8580</v>
      </c>
      <c r="E3321" s="162" t="s">
        <v>8581</v>
      </c>
      <c r="F3321" s="162">
        <v>14</v>
      </c>
      <c r="G3321" s="162">
        <v>1</v>
      </c>
    </row>
    <row r="3322" spans="2:7">
      <c r="B3322" s="162" t="s">
        <v>683</v>
      </c>
      <c r="C3322" s="162" t="s">
        <v>8582</v>
      </c>
      <c r="D3322" s="162" t="s">
        <v>8583</v>
      </c>
      <c r="E3322" s="162" t="s">
        <v>8584</v>
      </c>
      <c r="F3322" s="162">
        <v>14</v>
      </c>
      <c r="G3322" s="162">
        <v>1</v>
      </c>
    </row>
    <row r="3323" spans="2:7">
      <c r="B3323" s="162" t="s">
        <v>683</v>
      </c>
      <c r="C3323" s="162" t="s">
        <v>8585</v>
      </c>
      <c r="D3323" s="162" t="s">
        <v>8586</v>
      </c>
      <c r="E3323" s="162" t="s">
        <v>8587</v>
      </c>
      <c r="F3323" s="162">
        <v>14</v>
      </c>
      <c r="G3323" s="162">
        <v>1</v>
      </c>
    </row>
    <row r="3324" spans="2:7">
      <c r="B3324" s="162" t="s">
        <v>683</v>
      </c>
      <c r="C3324" s="162" t="s">
        <v>8588</v>
      </c>
      <c r="D3324" s="162" t="s">
        <v>8589</v>
      </c>
      <c r="E3324" s="162" t="s">
        <v>8590</v>
      </c>
      <c r="F3324" s="162">
        <v>14</v>
      </c>
      <c r="G3324" s="162">
        <v>1</v>
      </c>
    </row>
    <row r="3325" spans="2:7" ht="28.8">
      <c r="B3325" s="162" t="s">
        <v>683</v>
      </c>
      <c r="C3325" s="162" t="s">
        <v>8591</v>
      </c>
      <c r="D3325" s="162" t="s">
        <v>8592</v>
      </c>
      <c r="E3325" s="162" t="s">
        <v>8593</v>
      </c>
      <c r="F3325" s="162">
        <v>14</v>
      </c>
      <c r="G3325" s="162">
        <v>1</v>
      </c>
    </row>
    <row r="3326" spans="2:7">
      <c r="B3326" s="162" t="s">
        <v>683</v>
      </c>
      <c r="C3326" s="162" t="s">
        <v>8594</v>
      </c>
      <c r="D3326" s="162" t="s">
        <v>8595</v>
      </c>
      <c r="E3326" s="162" t="s">
        <v>8596</v>
      </c>
      <c r="F3326" s="162">
        <v>14</v>
      </c>
      <c r="G3326" s="162">
        <v>1</v>
      </c>
    </row>
    <row r="3327" spans="2:7" ht="28.8">
      <c r="B3327" s="162" t="s">
        <v>683</v>
      </c>
      <c r="C3327" s="162" t="s">
        <v>8597</v>
      </c>
      <c r="D3327" s="162" t="s">
        <v>8598</v>
      </c>
      <c r="E3327" s="162" t="s">
        <v>8599</v>
      </c>
      <c r="F3327" s="162">
        <v>92</v>
      </c>
      <c r="G3327" s="162">
        <v>1</v>
      </c>
    </row>
    <row r="3328" spans="2:7">
      <c r="B3328" s="162" t="s">
        <v>683</v>
      </c>
      <c r="C3328" s="162" t="s">
        <v>8600</v>
      </c>
      <c r="D3328" s="162" t="s">
        <v>8601</v>
      </c>
      <c r="E3328" s="162" t="s">
        <v>8602</v>
      </c>
      <c r="F3328" s="162">
        <v>357</v>
      </c>
      <c r="G3328" s="162">
        <v>1</v>
      </c>
    </row>
    <row r="3329" spans="2:7">
      <c r="B3329" s="162" t="s">
        <v>683</v>
      </c>
      <c r="C3329" s="162" t="s">
        <v>8603</v>
      </c>
      <c r="D3329" s="162" t="s">
        <v>8601</v>
      </c>
      <c r="E3329" s="162" t="s">
        <v>8604</v>
      </c>
      <c r="F3329" s="162">
        <v>357</v>
      </c>
      <c r="G3329" s="162">
        <v>1</v>
      </c>
    </row>
    <row r="3330" spans="2:7">
      <c r="B3330" s="162" t="s">
        <v>683</v>
      </c>
      <c r="C3330" s="162" t="s">
        <v>8605</v>
      </c>
      <c r="D3330" s="162" t="s">
        <v>8601</v>
      </c>
      <c r="E3330" s="162" t="s">
        <v>8606</v>
      </c>
      <c r="F3330" s="162">
        <v>357</v>
      </c>
      <c r="G3330" s="162">
        <v>1</v>
      </c>
    </row>
    <row r="3331" spans="2:7">
      <c r="B3331" s="162" t="s">
        <v>683</v>
      </c>
      <c r="C3331" s="162" t="s">
        <v>8607</v>
      </c>
      <c r="D3331" s="162" t="s">
        <v>8608</v>
      </c>
      <c r="E3331" s="162" t="s">
        <v>8609</v>
      </c>
      <c r="F3331" s="162">
        <v>49</v>
      </c>
      <c r="G3331" s="162">
        <v>1</v>
      </c>
    </row>
    <row r="3332" spans="2:7" ht="28.8">
      <c r="B3332" s="162" t="s">
        <v>683</v>
      </c>
      <c r="C3332" s="162" t="s">
        <v>8610</v>
      </c>
      <c r="D3332" s="162" t="s">
        <v>8611</v>
      </c>
      <c r="E3332" s="162" t="s">
        <v>8612</v>
      </c>
      <c r="F3332" s="162">
        <v>583</v>
      </c>
      <c r="G3332" s="162">
        <v>1</v>
      </c>
    </row>
    <row r="3333" spans="2:7">
      <c r="B3333" s="162" t="s">
        <v>683</v>
      </c>
      <c r="C3333" s="162" t="s">
        <v>8613</v>
      </c>
      <c r="D3333" s="162" t="s">
        <v>8614</v>
      </c>
      <c r="E3333" s="162" t="s">
        <v>8615</v>
      </c>
      <c r="F3333" s="162">
        <v>583</v>
      </c>
      <c r="G3333" s="162">
        <v>1</v>
      </c>
    </row>
    <row r="3334" spans="2:7">
      <c r="B3334" s="162" t="s">
        <v>683</v>
      </c>
      <c r="C3334" s="162" t="s">
        <v>8616</v>
      </c>
      <c r="D3334" s="162" t="s">
        <v>8617</v>
      </c>
      <c r="E3334" s="162" t="s">
        <v>8618</v>
      </c>
      <c r="F3334" s="162">
        <v>583</v>
      </c>
      <c r="G3334" s="162">
        <v>1</v>
      </c>
    </row>
    <row r="3335" spans="2:7" ht="28.8">
      <c r="B3335" s="162" t="s">
        <v>683</v>
      </c>
      <c r="C3335" s="162" t="s">
        <v>8619</v>
      </c>
      <c r="D3335" s="162" t="s">
        <v>8620</v>
      </c>
      <c r="E3335" s="162" t="s">
        <v>8621</v>
      </c>
      <c r="F3335" s="162">
        <v>1007</v>
      </c>
      <c r="G3335" s="162">
        <v>1</v>
      </c>
    </row>
    <row r="3336" spans="2:7" ht="28.8">
      <c r="B3336" s="162" t="s">
        <v>683</v>
      </c>
      <c r="C3336" s="162" t="s">
        <v>8622</v>
      </c>
      <c r="D3336" s="162" t="s">
        <v>8620</v>
      </c>
      <c r="E3336" s="162" t="s">
        <v>8623</v>
      </c>
      <c r="F3336" s="162">
        <v>1007</v>
      </c>
      <c r="G3336" s="162">
        <v>1</v>
      </c>
    </row>
    <row r="3337" spans="2:7" ht="28.8">
      <c r="B3337" s="162" t="s">
        <v>683</v>
      </c>
      <c r="C3337" s="162" t="s">
        <v>8624</v>
      </c>
      <c r="D3337" s="162" t="s">
        <v>8620</v>
      </c>
      <c r="E3337" s="162" t="s">
        <v>8625</v>
      </c>
      <c r="F3337" s="162">
        <v>1007</v>
      </c>
      <c r="G3337" s="162">
        <v>1</v>
      </c>
    </row>
    <row r="3338" spans="2:7" ht="28.8">
      <c r="B3338" s="162" t="s">
        <v>683</v>
      </c>
      <c r="C3338" s="162" t="s">
        <v>8626</v>
      </c>
      <c r="D3338" s="162" t="s">
        <v>8627</v>
      </c>
      <c r="E3338" s="162" t="s">
        <v>8628</v>
      </c>
      <c r="F3338" s="162">
        <v>1007</v>
      </c>
      <c r="G3338" s="162">
        <v>1</v>
      </c>
    </row>
    <row r="3339" spans="2:7" ht="28.8">
      <c r="B3339" s="162" t="s">
        <v>683</v>
      </c>
      <c r="C3339" s="162" t="s">
        <v>8629</v>
      </c>
      <c r="D3339" s="162" t="s">
        <v>8627</v>
      </c>
      <c r="E3339" s="162" t="s">
        <v>8630</v>
      </c>
      <c r="F3339" s="162">
        <v>1007</v>
      </c>
      <c r="G3339" s="162">
        <v>1</v>
      </c>
    </row>
    <row r="3340" spans="2:7" ht="28.8">
      <c r="B3340" s="162" t="s">
        <v>683</v>
      </c>
      <c r="C3340" s="162" t="s">
        <v>8631</v>
      </c>
      <c r="D3340" s="162" t="s">
        <v>8627</v>
      </c>
      <c r="E3340" s="162" t="s">
        <v>8632</v>
      </c>
      <c r="F3340" s="162">
        <v>1007</v>
      </c>
      <c r="G3340" s="162">
        <v>1</v>
      </c>
    </row>
    <row r="3341" spans="2:7" ht="28.8">
      <c r="B3341" s="162" t="s">
        <v>683</v>
      </c>
      <c r="C3341" s="162" t="s">
        <v>8633</v>
      </c>
      <c r="D3341" s="162" t="s">
        <v>8634</v>
      </c>
      <c r="E3341" s="162" t="s">
        <v>8635</v>
      </c>
      <c r="F3341" s="162">
        <v>1007</v>
      </c>
      <c r="G3341" s="162">
        <v>1</v>
      </c>
    </row>
    <row r="3342" spans="2:7" ht="28.8">
      <c r="B3342" s="162" t="s">
        <v>683</v>
      </c>
      <c r="C3342" s="162" t="s">
        <v>8636</v>
      </c>
      <c r="D3342" s="162" t="s">
        <v>8634</v>
      </c>
      <c r="E3342" s="162" t="s">
        <v>8637</v>
      </c>
      <c r="F3342" s="162">
        <v>1007</v>
      </c>
      <c r="G3342" s="162">
        <v>1</v>
      </c>
    </row>
    <row r="3343" spans="2:7" ht="28.8">
      <c r="B3343" s="162" t="s">
        <v>683</v>
      </c>
      <c r="C3343" s="162" t="s">
        <v>8638</v>
      </c>
      <c r="D3343" s="162" t="s">
        <v>8634</v>
      </c>
      <c r="E3343" s="162" t="s">
        <v>8639</v>
      </c>
      <c r="F3343" s="162">
        <v>1007</v>
      </c>
      <c r="G3343" s="162">
        <v>1</v>
      </c>
    </row>
    <row r="3344" spans="2:7">
      <c r="B3344" s="162" t="s">
        <v>683</v>
      </c>
      <c r="C3344" s="162" t="s">
        <v>8640</v>
      </c>
      <c r="D3344" s="162" t="s">
        <v>8641</v>
      </c>
      <c r="E3344" s="162" t="s">
        <v>8642</v>
      </c>
      <c r="F3344" s="162">
        <v>465</v>
      </c>
      <c r="G3344" s="162">
        <v>1</v>
      </c>
    </row>
    <row r="3345" spans="2:7">
      <c r="B3345" s="162" t="s">
        <v>683</v>
      </c>
      <c r="C3345" s="162" t="s">
        <v>8643</v>
      </c>
      <c r="D3345" s="162" t="s">
        <v>8644</v>
      </c>
      <c r="E3345" s="162" t="s">
        <v>8645</v>
      </c>
      <c r="F3345" s="162">
        <v>465</v>
      </c>
      <c r="G3345" s="162">
        <v>1</v>
      </c>
    </row>
    <row r="3346" spans="2:7">
      <c r="B3346" s="162" t="s">
        <v>683</v>
      </c>
      <c r="C3346" s="162" t="s">
        <v>8646</v>
      </c>
      <c r="D3346" s="162" t="s">
        <v>8647</v>
      </c>
      <c r="E3346" s="162" t="s">
        <v>8648</v>
      </c>
      <c r="F3346" s="162">
        <v>465</v>
      </c>
      <c r="G3346" s="162">
        <v>1</v>
      </c>
    </row>
    <row r="3347" spans="2:7">
      <c r="B3347" s="162" t="s">
        <v>683</v>
      </c>
      <c r="C3347" s="162" t="s">
        <v>8649</v>
      </c>
      <c r="D3347" s="162" t="s">
        <v>8650</v>
      </c>
      <c r="E3347" s="162" t="s">
        <v>8651</v>
      </c>
      <c r="F3347" s="162">
        <v>14</v>
      </c>
      <c r="G3347" s="162">
        <v>1</v>
      </c>
    </row>
    <row r="3348" spans="2:7">
      <c r="B3348" s="162" t="s">
        <v>683</v>
      </c>
      <c r="C3348" s="162" t="s">
        <v>8652</v>
      </c>
      <c r="D3348" s="162" t="s">
        <v>8653</v>
      </c>
      <c r="E3348" s="162" t="s">
        <v>8654</v>
      </c>
      <c r="F3348" s="162">
        <v>17</v>
      </c>
      <c r="G3348" s="162">
        <v>1</v>
      </c>
    </row>
    <row r="3349" spans="2:7">
      <c r="B3349" s="162" t="s">
        <v>683</v>
      </c>
      <c r="C3349" s="162" t="s">
        <v>8655</v>
      </c>
      <c r="D3349" s="162" t="s">
        <v>8656</v>
      </c>
      <c r="E3349" s="162" t="s">
        <v>8657</v>
      </c>
      <c r="F3349" s="162">
        <v>14</v>
      </c>
      <c r="G3349" s="162">
        <v>1</v>
      </c>
    </row>
    <row r="3350" spans="2:7">
      <c r="B3350" s="162" t="s">
        <v>683</v>
      </c>
      <c r="C3350" s="162" t="s">
        <v>8658</v>
      </c>
      <c r="D3350" s="162" t="s">
        <v>8659</v>
      </c>
      <c r="E3350" s="162" t="s">
        <v>8660</v>
      </c>
      <c r="F3350" s="162">
        <v>14</v>
      </c>
      <c r="G3350" s="162">
        <v>1</v>
      </c>
    </row>
    <row r="3351" spans="2:7">
      <c r="B3351" s="162" t="s">
        <v>683</v>
      </c>
      <c r="C3351" s="162" t="s">
        <v>8661</v>
      </c>
      <c r="D3351" s="162" t="s">
        <v>8662</v>
      </c>
      <c r="E3351" s="162" t="s">
        <v>8663</v>
      </c>
      <c r="F3351" s="162">
        <v>20</v>
      </c>
      <c r="G3351" s="162">
        <v>1</v>
      </c>
    </row>
    <row r="3352" spans="2:7">
      <c r="B3352" s="162" t="s">
        <v>683</v>
      </c>
      <c r="C3352" s="162" t="s">
        <v>8664</v>
      </c>
      <c r="D3352" s="162" t="s">
        <v>8665</v>
      </c>
      <c r="E3352" s="162" t="s">
        <v>8666</v>
      </c>
      <c r="F3352" s="162">
        <v>39</v>
      </c>
      <c r="G3352" s="162">
        <v>1</v>
      </c>
    </row>
    <row r="3353" spans="2:7">
      <c r="B3353" s="162" t="s">
        <v>683</v>
      </c>
      <c r="C3353" s="162" t="s">
        <v>8667</v>
      </c>
      <c r="D3353" s="162" t="s">
        <v>8668</v>
      </c>
      <c r="E3353" s="162" t="s">
        <v>8669</v>
      </c>
      <c r="F3353" s="162">
        <v>14</v>
      </c>
      <c r="G3353" s="162">
        <v>1</v>
      </c>
    </row>
    <row r="3354" spans="2:7">
      <c r="B3354" s="162" t="s">
        <v>683</v>
      </c>
      <c r="C3354" s="162" t="s">
        <v>8670</v>
      </c>
      <c r="D3354" s="162" t="s">
        <v>8671</v>
      </c>
      <c r="E3354" s="162" t="s">
        <v>8672</v>
      </c>
      <c r="F3354" s="162">
        <v>14</v>
      </c>
      <c r="G3354" s="162">
        <v>1</v>
      </c>
    </row>
    <row r="3355" spans="2:7">
      <c r="B3355" s="162" t="s">
        <v>683</v>
      </c>
      <c r="C3355" s="162" t="s">
        <v>8673</v>
      </c>
      <c r="D3355" s="162" t="s">
        <v>8674</v>
      </c>
      <c r="E3355" s="162" t="s">
        <v>8675</v>
      </c>
      <c r="F3355" s="162">
        <v>17</v>
      </c>
      <c r="G3355" s="162">
        <v>1</v>
      </c>
    </row>
    <row r="3356" spans="2:7">
      <c r="B3356" s="162" t="s">
        <v>683</v>
      </c>
      <c r="C3356" s="162" t="s">
        <v>8676</v>
      </c>
      <c r="D3356" s="162" t="s">
        <v>8677</v>
      </c>
      <c r="E3356" s="162" t="s">
        <v>8678</v>
      </c>
      <c r="F3356" s="162">
        <v>14</v>
      </c>
      <c r="G3356" s="162">
        <v>1</v>
      </c>
    </row>
    <row r="3357" spans="2:7">
      <c r="B3357" s="162" t="s">
        <v>683</v>
      </c>
      <c r="C3357" s="162" t="s">
        <v>8679</v>
      </c>
      <c r="D3357" s="162" t="s">
        <v>8680</v>
      </c>
      <c r="E3357" s="162" t="s">
        <v>8681</v>
      </c>
      <c r="F3357" s="162">
        <v>15</v>
      </c>
      <c r="G3357" s="162">
        <v>1</v>
      </c>
    </row>
    <row r="3358" spans="2:7">
      <c r="B3358" s="162" t="s">
        <v>683</v>
      </c>
      <c r="C3358" s="162" t="s">
        <v>8682</v>
      </c>
      <c r="D3358" s="162" t="s">
        <v>8683</v>
      </c>
      <c r="E3358" s="162" t="s">
        <v>8684</v>
      </c>
      <c r="F3358" s="162">
        <v>46</v>
      </c>
      <c r="G3358" s="162">
        <v>1</v>
      </c>
    </row>
    <row r="3359" spans="2:7" ht="28.8">
      <c r="B3359" s="162" t="s">
        <v>683</v>
      </c>
      <c r="C3359" s="162" t="s">
        <v>8685</v>
      </c>
      <c r="D3359" s="162" t="s">
        <v>8686</v>
      </c>
      <c r="E3359" s="162" t="s">
        <v>8687</v>
      </c>
      <c r="F3359" s="162">
        <v>64</v>
      </c>
      <c r="G3359" s="162">
        <v>1</v>
      </c>
    </row>
    <row r="3360" spans="2:7" ht="28.8">
      <c r="B3360" s="162" t="s">
        <v>683</v>
      </c>
      <c r="C3360" s="162" t="s">
        <v>8688</v>
      </c>
      <c r="D3360" s="162" t="s">
        <v>8689</v>
      </c>
      <c r="E3360" s="162" t="s">
        <v>8690</v>
      </c>
      <c r="F3360" s="162">
        <v>64</v>
      </c>
      <c r="G3360" s="162">
        <v>1</v>
      </c>
    </row>
    <row r="3361" spans="2:7" ht="28.8">
      <c r="B3361" s="162" t="s">
        <v>683</v>
      </c>
      <c r="C3361" s="162" t="s">
        <v>8691</v>
      </c>
      <c r="D3361" s="162" t="s">
        <v>8692</v>
      </c>
      <c r="E3361" s="162" t="s">
        <v>8693</v>
      </c>
      <c r="F3361" s="162">
        <v>64</v>
      </c>
      <c r="G3361" s="162">
        <v>1</v>
      </c>
    </row>
    <row r="3362" spans="2:7">
      <c r="B3362" s="162" t="s">
        <v>683</v>
      </c>
      <c r="C3362" s="162" t="s">
        <v>8694</v>
      </c>
      <c r="D3362" s="162" t="s">
        <v>8695</v>
      </c>
      <c r="E3362" s="162" t="s">
        <v>8696</v>
      </c>
      <c r="F3362" s="162">
        <v>141</v>
      </c>
      <c r="G3362" s="162">
        <v>1</v>
      </c>
    </row>
    <row r="3363" spans="2:7">
      <c r="B3363" s="162" t="s">
        <v>683</v>
      </c>
      <c r="C3363" s="162" t="s">
        <v>8697</v>
      </c>
      <c r="D3363" s="162" t="s">
        <v>8698</v>
      </c>
      <c r="E3363" s="162" t="s">
        <v>8699</v>
      </c>
      <c r="F3363" s="162">
        <v>101</v>
      </c>
      <c r="G3363" s="162">
        <v>1</v>
      </c>
    </row>
    <row r="3364" spans="2:7">
      <c r="B3364" s="162" t="s">
        <v>683</v>
      </c>
      <c r="C3364" s="162" t="s">
        <v>8700</v>
      </c>
      <c r="D3364" s="162" t="s">
        <v>8701</v>
      </c>
      <c r="E3364" s="162" t="s">
        <v>8702</v>
      </c>
      <c r="F3364" s="162">
        <v>18</v>
      </c>
      <c r="G3364" s="162">
        <v>1</v>
      </c>
    </row>
    <row r="3365" spans="2:7" ht="28.8">
      <c r="B3365" s="162" t="s">
        <v>683</v>
      </c>
      <c r="C3365" s="162" t="s">
        <v>8703</v>
      </c>
      <c r="D3365" s="162" t="s">
        <v>8704</v>
      </c>
      <c r="E3365" s="162" t="s">
        <v>8705</v>
      </c>
      <c r="F3365" s="162">
        <v>272</v>
      </c>
      <c r="G3365" s="162">
        <v>1</v>
      </c>
    </row>
    <row r="3366" spans="2:7" ht="28.8">
      <c r="B3366" s="162" t="s">
        <v>683</v>
      </c>
      <c r="C3366" s="162" t="s">
        <v>8706</v>
      </c>
      <c r="D3366" s="162" t="s">
        <v>8707</v>
      </c>
      <c r="E3366" s="162" t="s">
        <v>8708</v>
      </c>
      <c r="F3366" s="162">
        <v>272</v>
      </c>
      <c r="G3366" s="162">
        <v>1</v>
      </c>
    </row>
    <row r="3367" spans="2:7" ht="28.8">
      <c r="B3367" s="162" t="s">
        <v>683</v>
      </c>
      <c r="C3367" s="162" t="s">
        <v>8709</v>
      </c>
      <c r="D3367" s="162" t="s">
        <v>8710</v>
      </c>
      <c r="E3367" s="162" t="s">
        <v>8711</v>
      </c>
      <c r="F3367" s="162">
        <v>272</v>
      </c>
      <c r="G3367" s="162">
        <v>1</v>
      </c>
    </row>
    <row r="3368" spans="2:7" ht="28.8">
      <c r="B3368" s="162" t="s">
        <v>683</v>
      </c>
      <c r="C3368" s="162" t="s">
        <v>8712</v>
      </c>
      <c r="D3368" s="162" t="s">
        <v>8713</v>
      </c>
      <c r="E3368" s="162" t="s">
        <v>8714</v>
      </c>
      <c r="F3368" s="162">
        <v>319</v>
      </c>
      <c r="G3368" s="162">
        <v>1</v>
      </c>
    </row>
    <row r="3369" spans="2:7" ht="28.8">
      <c r="B3369" s="162" t="s">
        <v>683</v>
      </c>
      <c r="C3369" s="162" t="s">
        <v>8715</v>
      </c>
      <c r="D3369" s="162" t="s">
        <v>8716</v>
      </c>
      <c r="E3369" s="162" t="s">
        <v>8717</v>
      </c>
      <c r="F3369" s="162">
        <v>319</v>
      </c>
      <c r="G3369" s="162">
        <v>1</v>
      </c>
    </row>
    <row r="3370" spans="2:7" ht="28.8">
      <c r="B3370" s="162" t="s">
        <v>683</v>
      </c>
      <c r="C3370" s="162" t="s">
        <v>8718</v>
      </c>
      <c r="D3370" s="162" t="s">
        <v>8719</v>
      </c>
      <c r="E3370" s="162" t="s">
        <v>8720</v>
      </c>
      <c r="F3370" s="162">
        <v>319</v>
      </c>
      <c r="G3370" s="162">
        <v>1</v>
      </c>
    </row>
    <row r="3371" spans="2:7" ht="28.8">
      <c r="B3371" s="162" t="s">
        <v>683</v>
      </c>
      <c r="C3371" s="162" t="s">
        <v>8721</v>
      </c>
      <c r="D3371" s="162" t="s">
        <v>8722</v>
      </c>
      <c r="E3371" s="162" t="s">
        <v>8723</v>
      </c>
      <c r="F3371" s="162">
        <v>306</v>
      </c>
      <c r="G3371" s="162">
        <v>1</v>
      </c>
    </row>
    <row r="3372" spans="2:7" ht="28.8">
      <c r="B3372" s="162" t="s">
        <v>683</v>
      </c>
      <c r="C3372" s="162" t="s">
        <v>8724</v>
      </c>
      <c r="D3372" s="162" t="s">
        <v>8725</v>
      </c>
      <c r="E3372" s="162" t="s">
        <v>8726</v>
      </c>
      <c r="F3372" s="162">
        <v>306</v>
      </c>
      <c r="G3372" s="162">
        <v>1</v>
      </c>
    </row>
    <row r="3373" spans="2:7" ht="28.8">
      <c r="B3373" s="162" t="s">
        <v>683</v>
      </c>
      <c r="C3373" s="162" t="s">
        <v>8727</v>
      </c>
      <c r="D3373" s="162" t="s">
        <v>8728</v>
      </c>
      <c r="E3373" s="162" t="s">
        <v>8729</v>
      </c>
      <c r="F3373" s="162">
        <v>306</v>
      </c>
      <c r="G3373" s="162">
        <v>1</v>
      </c>
    </row>
    <row r="3374" spans="2:7" ht="28.8">
      <c r="B3374" s="162" t="s">
        <v>683</v>
      </c>
      <c r="C3374" s="162" t="s">
        <v>8730</v>
      </c>
      <c r="D3374" s="162" t="s">
        <v>8731</v>
      </c>
      <c r="E3374" s="162" t="s">
        <v>8732</v>
      </c>
      <c r="F3374" s="162">
        <v>289</v>
      </c>
      <c r="G3374" s="162">
        <v>1</v>
      </c>
    </row>
    <row r="3375" spans="2:7" ht="28.8">
      <c r="B3375" s="162" t="s">
        <v>683</v>
      </c>
      <c r="C3375" s="162" t="s">
        <v>8733</v>
      </c>
      <c r="D3375" s="162" t="s">
        <v>8734</v>
      </c>
      <c r="E3375" s="162" t="s">
        <v>8735</v>
      </c>
      <c r="F3375" s="162">
        <v>289</v>
      </c>
      <c r="G3375" s="162">
        <v>1</v>
      </c>
    </row>
    <row r="3376" spans="2:7" ht="28.8">
      <c r="B3376" s="162" t="s">
        <v>683</v>
      </c>
      <c r="C3376" s="162" t="s">
        <v>8736</v>
      </c>
      <c r="D3376" s="162" t="s">
        <v>8737</v>
      </c>
      <c r="E3376" s="162" t="s">
        <v>8738</v>
      </c>
      <c r="F3376" s="162">
        <v>289</v>
      </c>
      <c r="G3376" s="162">
        <v>1</v>
      </c>
    </row>
    <row r="3377" spans="2:7" ht="28.8">
      <c r="B3377" s="162" t="s">
        <v>683</v>
      </c>
      <c r="C3377" s="162" t="s">
        <v>8739</v>
      </c>
      <c r="D3377" s="162" t="s">
        <v>8740</v>
      </c>
      <c r="E3377" s="162" t="s">
        <v>8741</v>
      </c>
      <c r="F3377" s="162">
        <v>354</v>
      </c>
      <c r="G3377" s="162">
        <v>1</v>
      </c>
    </row>
    <row r="3378" spans="2:7" ht="28.8">
      <c r="B3378" s="162" t="s">
        <v>683</v>
      </c>
      <c r="C3378" s="162" t="s">
        <v>8742</v>
      </c>
      <c r="D3378" s="162" t="s">
        <v>8743</v>
      </c>
      <c r="E3378" s="162" t="s">
        <v>8744</v>
      </c>
      <c r="F3378" s="162">
        <v>354</v>
      </c>
      <c r="G3378" s="162">
        <v>1</v>
      </c>
    </row>
    <row r="3379" spans="2:7" ht="28.8">
      <c r="B3379" s="162" t="s">
        <v>683</v>
      </c>
      <c r="C3379" s="162" t="s">
        <v>8745</v>
      </c>
      <c r="D3379" s="162" t="s">
        <v>8746</v>
      </c>
      <c r="E3379" s="162" t="s">
        <v>8747</v>
      </c>
      <c r="F3379" s="162">
        <v>354</v>
      </c>
      <c r="G3379" s="162">
        <v>1</v>
      </c>
    </row>
    <row r="3380" spans="2:7" ht="28.8">
      <c r="B3380" s="162" t="s">
        <v>683</v>
      </c>
      <c r="C3380" s="162" t="s">
        <v>8748</v>
      </c>
      <c r="D3380" s="162" t="s">
        <v>8749</v>
      </c>
      <c r="E3380" s="162" t="s">
        <v>8750</v>
      </c>
      <c r="F3380" s="162">
        <v>336</v>
      </c>
      <c r="G3380" s="162">
        <v>1</v>
      </c>
    </row>
    <row r="3381" spans="2:7" ht="28.8">
      <c r="B3381" s="162" t="s">
        <v>683</v>
      </c>
      <c r="C3381" s="162" t="s">
        <v>8751</v>
      </c>
      <c r="D3381" s="162" t="s">
        <v>8752</v>
      </c>
      <c r="E3381" s="162" t="s">
        <v>8753</v>
      </c>
      <c r="F3381" s="162">
        <v>336</v>
      </c>
      <c r="G3381" s="162">
        <v>1</v>
      </c>
    </row>
    <row r="3382" spans="2:7" ht="28.8">
      <c r="B3382" s="162" t="s">
        <v>683</v>
      </c>
      <c r="C3382" s="162" t="s">
        <v>8754</v>
      </c>
      <c r="D3382" s="162" t="s">
        <v>8755</v>
      </c>
      <c r="E3382" s="162" t="s">
        <v>8756</v>
      </c>
      <c r="F3382" s="162">
        <v>336</v>
      </c>
      <c r="G3382" s="162">
        <v>1</v>
      </c>
    </row>
    <row r="3383" spans="2:7" ht="28.8">
      <c r="B3383" s="162" t="s">
        <v>683</v>
      </c>
      <c r="C3383" s="162" t="s">
        <v>8757</v>
      </c>
      <c r="D3383" s="162" t="s">
        <v>8704</v>
      </c>
      <c r="E3383" s="162" t="s">
        <v>8758</v>
      </c>
      <c r="F3383" s="162">
        <v>300</v>
      </c>
      <c r="G3383" s="162">
        <v>1</v>
      </c>
    </row>
    <row r="3384" spans="2:7" ht="28.8">
      <c r="B3384" s="162" t="s">
        <v>683</v>
      </c>
      <c r="C3384" s="162" t="s">
        <v>8759</v>
      </c>
      <c r="D3384" s="162" t="s">
        <v>8707</v>
      </c>
      <c r="E3384" s="162" t="s">
        <v>8760</v>
      </c>
      <c r="F3384" s="162">
        <v>300</v>
      </c>
      <c r="G3384" s="162">
        <v>1</v>
      </c>
    </row>
    <row r="3385" spans="2:7" ht="28.8">
      <c r="B3385" s="162" t="s">
        <v>683</v>
      </c>
      <c r="C3385" s="162" t="s">
        <v>8761</v>
      </c>
      <c r="D3385" s="162" t="s">
        <v>8710</v>
      </c>
      <c r="E3385" s="162" t="s">
        <v>8762</v>
      </c>
      <c r="F3385" s="162">
        <v>300</v>
      </c>
      <c r="G3385" s="162">
        <v>1</v>
      </c>
    </row>
    <row r="3386" spans="2:7" ht="28.8">
      <c r="B3386" s="162" t="s">
        <v>683</v>
      </c>
      <c r="C3386" s="162" t="s">
        <v>8763</v>
      </c>
      <c r="D3386" s="162" t="s">
        <v>8713</v>
      </c>
      <c r="E3386" s="162" t="s">
        <v>8764</v>
      </c>
      <c r="F3386" s="162">
        <v>348</v>
      </c>
      <c r="G3386" s="162">
        <v>1</v>
      </c>
    </row>
    <row r="3387" spans="2:7" ht="28.8">
      <c r="B3387" s="162" t="s">
        <v>683</v>
      </c>
      <c r="C3387" s="162" t="s">
        <v>8765</v>
      </c>
      <c r="D3387" s="162" t="s">
        <v>8716</v>
      </c>
      <c r="E3387" s="162" t="s">
        <v>8766</v>
      </c>
      <c r="F3387" s="162">
        <v>348</v>
      </c>
      <c r="G3387" s="162">
        <v>1</v>
      </c>
    </row>
    <row r="3388" spans="2:7" ht="28.8">
      <c r="B3388" s="162" t="s">
        <v>683</v>
      </c>
      <c r="C3388" s="162" t="s">
        <v>8767</v>
      </c>
      <c r="D3388" s="162" t="s">
        <v>8719</v>
      </c>
      <c r="E3388" s="162" t="s">
        <v>8768</v>
      </c>
      <c r="F3388" s="162">
        <v>348</v>
      </c>
      <c r="G3388" s="162">
        <v>1</v>
      </c>
    </row>
    <row r="3389" spans="2:7" ht="28.8">
      <c r="B3389" s="162" t="s">
        <v>683</v>
      </c>
      <c r="C3389" s="162" t="s">
        <v>8769</v>
      </c>
      <c r="D3389" s="162" t="s">
        <v>8722</v>
      </c>
      <c r="E3389" s="162" t="s">
        <v>8770</v>
      </c>
      <c r="F3389" s="162">
        <v>333</v>
      </c>
      <c r="G3389" s="162">
        <v>1</v>
      </c>
    </row>
    <row r="3390" spans="2:7" ht="28.8">
      <c r="B3390" s="162" t="s">
        <v>683</v>
      </c>
      <c r="C3390" s="162" t="s">
        <v>8771</v>
      </c>
      <c r="D3390" s="162" t="s">
        <v>8725</v>
      </c>
      <c r="E3390" s="162" t="s">
        <v>8772</v>
      </c>
      <c r="F3390" s="162">
        <v>333</v>
      </c>
      <c r="G3390" s="162">
        <v>1</v>
      </c>
    </row>
    <row r="3391" spans="2:7" ht="28.8">
      <c r="B3391" s="162" t="s">
        <v>683</v>
      </c>
      <c r="C3391" s="162" t="s">
        <v>8773</v>
      </c>
      <c r="D3391" s="162" t="s">
        <v>8728</v>
      </c>
      <c r="E3391" s="162" t="s">
        <v>8774</v>
      </c>
      <c r="F3391" s="162">
        <v>333</v>
      </c>
      <c r="G3391" s="162">
        <v>1</v>
      </c>
    </row>
    <row r="3392" spans="2:7" ht="28.8">
      <c r="B3392" s="162" t="s">
        <v>683</v>
      </c>
      <c r="C3392" s="162" t="s">
        <v>8775</v>
      </c>
      <c r="D3392" s="162" t="s">
        <v>8731</v>
      </c>
      <c r="E3392" s="162" t="s">
        <v>8776</v>
      </c>
      <c r="F3392" s="162">
        <v>316</v>
      </c>
      <c r="G3392" s="162">
        <v>1</v>
      </c>
    </row>
    <row r="3393" spans="2:7" ht="28.8">
      <c r="B3393" s="162" t="s">
        <v>683</v>
      </c>
      <c r="C3393" s="162" t="s">
        <v>8777</v>
      </c>
      <c r="D3393" s="162" t="s">
        <v>8734</v>
      </c>
      <c r="E3393" s="162" t="s">
        <v>8778</v>
      </c>
      <c r="F3393" s="162">
        <v>316</v>
      </c>
      <c r="G3393" s="162">
        <v>1</v>
      </c>
    </row>
    <row r="3394" spans="2:7" ht="28.8">
      <c r="B3394" s="162" t="s">
        <v>683</v>
      </c>
      <c r="C3394" s="162" t="s">
        <v>8779</v>
      </c>
      <c r="D3394" s="162" t="s">
        <v>8737</v>
      </c>
      <c r="E3394" s="162" t="s">
        <v>8780</v>
      </c>
      <c r="F3394" s="162">
        <v>316</v>
      </c>
      <c r="G3394" s="162">
        <v>1</v>
      </c>
    </row>
    <row r="3395" spans="2:7" ht="28.8">
      <c r="B3395" s="162" t="s">
        <v>683</v>
      </c>
      <c r="C3395" s="162" t="s">
        <v>8781</v>
      </c>
      <c r="D3395" s="162" t="s">
        <v>8740</v>
      </c>
      <c r="E3395" s="162" t="s">
        <v>8782</v>
      </c>
      <c r="F3395" s="162">
        <v>381</v>
      </c>
      <c r="G3395" s="162">
        <v>1</v>
      </c>
    </row>
    <row r="3396" spans="2:7" ht="28.8">
      <c r="B3396" s="162" t="s">
        <v>683</v>
      </c>
      <c r="C3396" s="162" t="s">
        <v>8783</v>
      </c>
      <c r="D3396" s="162" t="s">
        <v>8743</v>
      </c>
      <c r="E3396" s="162" t="s">
        <v>8784</v>
      </c>
      <c r="F3396" s="162">
        <v>381</v>
      </c>
      <c r="G3396" s="162">
        <v>1</v>
      </c>
    </row>
    <row r="3397" spans="2:7" ht="28.8">
      <c r="B3397" s="162" t="s">
        <v>683</v>
      </c>
      <c r="C3397" s="162" t="s">
        <v>8785</v>
      </c>
      <c r="D3397" s="162" t="s">
        <v>8746</v>
      </c>
      <c r="E3397" s="162" t="s">
        <v>8786</v>
      </c>
      <c r="F3397" s="162">
        <v>381</v>
      </c>
      <c r="G3397" s="162">
        <v>1</v>
      </c>
    </row>
    <row r="3398" spans="2:7" ht="28.8">
      <c r="B3398" s="162" t="s">
        <v>683</v>
      </c>
      <c r="C3398" s="162" t="s">
        <v>8787</v>
      </c>
      <c r="D3398" s="162" t="s">
        <v>8749</v>
      </c>
      <c r="E3398" s="162" t="s">
        <v>8788</v>
      </c>
      <c r="F3398" s="162">
        <v>365</v>
      </c>
      <c r="G3398" s="162">
        <v>1</v>
      </c>
    </row>
    <row r="3399" spans="2:7" ht="28.8">
      <c r="B3399" s="162" t="s">
        <v>683</v>
      </c>
      <c r="C3399" s="162" t="s">
        <v>8789</v>
      </c>
      <c r="D3399" s="162" t="s">
        <v>8752</v>
      </c>
      <c r="E3399" s="162" t="s">
        <v>8790</v>
      </c>
      <c r="F3399" s="162">
        <v>365</v>
      </c>
      <c r="G3399" s="162">
        <v>1</v>
      </c>
    </row>
    <row r="3400" spans="2:7" ht="28.8">
      <c r="B3400" s="162" t="s">
        <v>683</v>
      </c>
      <c r="C3400" s="162" t="s">
        <v>8791</v>
      </c>
      <c r="D3400" s="162" t="s">
        <v>8755</v>
      </c>
      <c r="E3400" s="162" t="s">
        <v>8792</v>
      </c>
      <c r="F3400" s="162">
        <v>365</v>
      </c>
      <c r="G3400" s="162">
        <v>1</v>
      </c>
    </row>
    <row r="3401" spans="2:7" ht="28.8">
      <c r="B3401" s="162" t="s">
        <v>683</v>
      </c>
      <c r="C3401" s="162" t="s">
        <v>8793</v>
      </c>
      <c r="D3401" s="162" t="s">
        <v>8704</v>
      </c>
      <c r="E3401" s="162" t="s">
        <v>8794</v>
      </c>
      <c r="F3401" s="162">
        <v>311</v>
      </c>
      <c r="G3401" s="162">
        <v>1</v>
      </c>
    </row>
    <row r="3402" spans="2:7" ht="28.8">
      <c r="B3402" s="162" t="s">
        <v>683</v>
      </c>
      <c r="C3402" s="162" t="s">
        <v>8795</v>
      </c>
      <c r="D3402" s="162" t="s">
        <v>8707</v>
      </c>
      <c r="E3402" s="162" t="s">
        <v>8796</v>
      </c>
      <c r="F3402" s="162">
        <v>311</v>
      </c>
      <c r="G3402" s="162">
        <v>1</v>
      </c>
    </row>
    <row r="3403" spans="2:7" ht="28.8">
      <c r="B3403" s="162" t="s">
        <v>683</v>
      </c>
      <c r="C3403" s="162" t="s">
        <v>8797</v>
      </c>
      <c r="D3403" s="162" t="s">
        <v>8710</v>
      </c>
      <c r="E3403" s="162" t="s">
        <v>8798</v>
      </c>
      <c r="F3403" s="162">
        <v>311</v>
      </c>
      <c r="G3403" s="162">
        <v>1</v>
      </c>
    </row>
    <row r="3404" spans="2:7" ht="28.8">
      <c r="B3404" s="162" t="s">
        <v>683</v>
      </c>
      <c r="C3404" s="162" t="s">
        <v>8799</v>
      </c>
      <c r="D3404" s="162" t="s">
        <v>8713</v>
      </c>
      <c r="E3404" s="162" t="s">
        <v>8800</v>
      </c>
      <c r="F3404" s="162">
        <v>360</v>
      </c>
      <c r="G3404" s="162">
        <v>1</v>
      </c>
    </row>
    <row r="3405" spans="2:7" ht="28.8">
      <c r="B3405" s="162" t="s">
        <v>683</v>
      </c>
      <c r="C3405" s="162" t="s">
        <v>8801</v>
      </c>
      <c r="D3405" s="162" t="s">
        <v>8716</v>
      </c>
      <c r="E3405" s="162" t="s">
        <v>8802</v>
      </c>
      <c r="F3405" s="162">
        <v>360</v>
      </c>
      <c r="G3405" s="162">
        <v>1</v>
      </c>
    </row>
    <row r="3406" spans="2:7" ht="28.8">
      <c r="B3406" s="162" t="s">
        <v>683</v>
      </c>
      <c r="C3406" s="162" t="s">
        <v>8803</v>
      </c>
      <c r="D3406" s="162" t="s">
        <v>8719</v>
      </c>
      <c r="E3406" s="162" t="s">
        <v>8804</v>
      </c>
      <c r="F3406" s="162">
        <v>360</v>
      </c>
      <c r="G3406" s="162">
        <v>1</v>
      </c>
    </row>
    <row r="3407" spans="2:7" ht="28.8">
      <c r="B3407" s="162" t="s">
        <v>683</v>
      </c>
      <c r="C3407" s="162" t="s">
        <v>8805</v>
      </c>
      <c r="D3407" s="162" t="s">
        <v>8722</v>
      </c>
      <c r="E3407" s="162" t="s">
        <v>8806</v>
      </c>
      <c r="F3407" s="162">
        <v>345</v>
      </c>
      <c r="G3407" s="162">
        <v>1</v>
      </c>
    </row>
    <row r="3408" spans="2:7" ht="28.8">
      <c r="B3408" s="162" t="s">
        <v>683</v>
      </c>
      <c r="C3408" s="162" t="s">
        <v>8807</v>
      </c>
      <c r="D3408" s="162" t="s">
        <v>8725</v>
      </c>
      <c r="E3408" s="162" t="s">
        <v>8808</v>
      </c>
      <c r="F3408" s="162">
        <v>345</v>
      </c>
      <c r="G3408" s="162">
        <v>1</v>
      </c>
    </row>
    <row r="3409" spans="2:7" ht="28.8">
      <c r="B3409" s="162" t="s">
        <v>683</v>
      </c>
      <c r="C3409" s="162" t="s">
        <v>8809</v>
      </c>
      <c r="D3409" s="162" t="s">
        <v>8728</v>
      </c>
      <c r="E3409" s="162" t="s">
        <v>8810</v>
      </c>
      <c r="F3409" s="162">
        <v>345</v>
      </c>
      <c r="G3409" s="162">
        <v>1</v>
      </c>
    </row>
    <row r="3410" spans="2:7" ht="28.8">
      <c r="B3410" s="162" t="s">
        <v>683</v>
      </c>
      <c r="C3410" s="162" t="s">
        <v>8811</v>
      </c>
      <c r="D3410" s="162" t="s">
        <v>8731</v>
      </c>
      <c r="E3410" s="162" t="s">
        <v>8812</v>
      </c>
      <c r="F3410" s="162">
        <v>328</v>
      </c>
      <c r="G3410" s="162">
        <v>1</v>
      </c>
    </row>
    <row r="3411" spans="2:7" ht="28.8">
      <c r="B3411" s="162" t="s">
        <v>683</v>
      </c>
      <c r="C3411" s="162" t="s">
        <v>8813</v>
      </c>
      <c r="D3411" s="162" t="s">
        <v>8734</v>
      </c>
      <c r="E3411" s="162" t="s">
        <v>8814</v>
      </c>
      <c r="F3411" s="162">
        <v>328</v>
      </c>
      <c r="G3411" s="162">
        <v>1</v>
      </c>
    </row>
    <row r="3412" spans="2:7" ht="28.8">
      <c r="B3412" s="162" t="s">
        <v>683</v>
      </c>
      <c r="C3412" s="162" t="s">
        <v>8815</v>
      </c>
      <c r="D3412" s="162" t="s">
        <v>8737</v>
      </c>
      <c r="E3412" s="162" t="s">
        <v>8816</v>
      </c>
      <c r="F3412" s="162">
        <v>328</v>
      </c>
      <c r="G3412" s="162">
        <v>1</v>
      </c>
    </row>
    <row r="3413" spans="2:7" ht="28.8">
      <c r="B3413" s="162" t="s">
        <v>683</v>
      </c>
      <c r="C3413" s="162" t="s">
        <v>8817</v>
      </c>
      <c r="D3413" s="162" t="s">
        <v>8740</v>
      </c>
      <c r="E3413" s="162" t="s">
        <v>8818</v>
      </c>
      <c r="F3413" s="162">
        <v>394</v>
      </c>
      <c r="G3413" s="162">
        <v>1</v>
      </c>
    </row>
    <row r="3414" spans="2:7" ht="28.8">
      <c r="B3414" s="162" t="s">
        <v>683</v>
      </c>
      <c r="C3414" s="162" t="s">
        <v>8819</v>
      </c>
      <c r="D3414" s="162" t="s">
        <v>8743</v>
      </c>
      <c r="E3414" s="162" t="s">
        <v>8820</v>
      </c>
      <c r="F3414" s="162">
        <v>394</v>
      </c>
      <c r="G3414" s="162">
        <v>1</v>
      </c>
    </row>
    <row r="3415" spans="2:7" ht="28.8">
      <c r="B3415" s="162" t="s">
        <v>683</v>
      </c>
      <c r="C3415" s="162" t="s">
        <v>8821</v>
      </c>
      <c r="D3415" s="162" t="s">
        <v>8746</v>
      </c>
      <c r="E3415" s="162" t="s">
        <v>8822</v>
      </c>
      <c r="F3415" s="162">
        <v>394</v>
      </c>
      <c r="G3415" s="162">
        <v>1</v>
      </c>
    </row>
    <row r="3416" spans="2:7" ht="28.8">
      <c r="B3416" s="162" t="s">
        <v>683</v>
      </c>
      <c r="C3416" s="162" t="s">
        <v>8823</v>
      </c>
      <c r="D3416" s="162" t="s">
        <v>8749</v>
      </c>
      <c r="E3416" s="162" t="s">
        <v>8824</v>
      </c>
      <c r="F3416" s="162">
        <v>375</v>
      </c>
      <c r="G3416" s="162">
        <v>1</v>
      </c>
    </row>
    <row r="3417" spans="2:7" ht="28.8">
      <c r="B3417" s="162" t="s">
        <v>683</v>
      </c>
      <c r="C3417" s="162" t="s">
        <v>8825</v>
      </c>
      <c r="D3417" s="162" t="s">
        <v>8752</v>
      </c>
      <c r="E3417" s="162" t="s">
        <v>8826</v>
      </c>
      <c r="F3417" s="162">
        <v>375</v>
      </c>
      <c r="G3417" s="162">
        <v>1</v>
      </c>
    </row>
    <row r="3418" spans="2:7" ht="28.8">
      <c r="B3418" s="162" t="s">
        <v>683</v>
      </c>
      <c r="C3418" s="162" t="s">
        <v>8827</v>
      </c>
      <c r="D3418" s="162" t="s">
        <v>8755</v>
      </c>
      <c r="E3418" s="162" t="s">
        <v>8828</v>
      </c>
      <c r="F3418" s="162">
        <v>375</v>
      </c>
      <c r="G3418" s="162">
        <v>1</v>
      </c>
    </row>
    <row r="3419" spans="2:7">
      <c r="B3419" s="162" t="s">
        <v>683</v>
      </c>
      <c r="C3419" s="162" t="s">
        <v>8829</v>
      </c>
      <c r="D3419" s="162" t="s">
        <v>8830</v>
      </c>
      <c r="E3419" s="162" t="s">
        <v>8831</v>
      </c>
      <c r="F3419" s="162">
        <v>345</v>
      </c>
      <c r="G3419" s="162">
        <v>1</v>
      </c>
    </row>
    <row r="3420" spans="2:7">
      <c r="B3420" s="162" t="s">
        <v>683</v>
      </c>
      <c r="C3420" s="162" t="s">
        <v>8832</v>
      </c>
      <c r="D3420" s="162" t="s">
        <v>8833</v>
      </c>
      <c r="E3420" s="162" t="s">
        <v>8834</v>
      </c>
      <c r="F3420" s="162">
        <v>345</v>
      </c>
      <c r="G3420" s="162">
        <v>1</v>
      </c>
    </row>
    <row r="3421" spans="2:7">
      <c r="B3421" s="162" t="s">
        <v>683</v>
      </c>
      <c r="C3421" s="162" t="s">
        <v>8835</v>
      </c>
      <c r="D3421" s="162" t="s">
        <v>8836</v>
      </c>
      <c r="E3421" s="162" t="s">
        <v>8837</v>
      </c>
      <c r="F3421" s="162">
        <v>345</v>
      </c>
      <c r="G3421" s="162">
        <v>1</v>
      </c>
    </row>
    <row r="3422" spans="2:7" ht="28.8">
      <c r="B3422" s="162" t="s">
        <v>683</v>
      </c>
      <c r="C3422" s="162" t="s">
        <v>8838</v>
      </c>
      <c r="D3422" s="162" t="s">
        <v>8839</v>
      </c>
      <c r="E3422" s="162" t="s">
        <v>8840</v>
      </c>
      <c r="F3422" s="162">
        <v>383</v>
      </c>
      <c r="G3422" s="162">
        <v>1</v>
      </c>
    </row>
    <row r="3423" spans="2:7" ht="28.8">
      <c r="B3423" s="162" t="s">
        <v>683</v>
      </c>
      <c r="C3423" s="162" t="s">
        <v>8841</v>
      </c>
      <c r="D3423" s="162" t="s">
        <v>8842</v>
      </c>
      <c r="E3423" s="162" t="s">
        <v>8843</v>
      </c>
      <c r="F3423" s="162">
        <v>383</v>
      </c>
      <c r="G3423" s="162">
        <v>1</v>
      </c>
    </row>
    <row r="3424" spans="2:7">
      <c r="B3424" s="162" t="s">
        <v>683</v>
      </c>
      <c r="C3424" s="162" t="s">
        <v>8844</v>
      </c>
      <c r="D3424" s="162" t="s">
        <v>8845</v>
      </c>
      <c r="E3424" s="162" t="s">
        <v>8846</v>
      </c>
      <c r="F3424" s="162">
        <v>383</v>
      </c>
      <c r="G3424" s="162">
        <v>1</v>
      </c>
    </row>
    <row r="3425" spans="2:7">
      <c r="B3425" s="162" t="s">
        <v>683</v>
      </c>
      <c r="C3425" s="162" t="s">
        <v>8847</v>
      </c>
      <c r="D3425" s="162" t="s">
        <v>8848</v>
      </c>
      <c r="E3425" s="162" t="s">
        <v>8849</v>
      </c>
      <c r="F3425" s="162">
        <v>394</v>
      </c>
      <c r="G3425" s="162">
        <v>1</v>
      </c>
    </row>
    <row r="3426" spans="2:7">
      <c r="B3426" s="162" t="s">
        <v>683</v>
      </c>
      <c r="C3426" s="162" t="s">
        <v>8850</v>
      </c>
      <c r="D3426" s="162" t="s">
        <v>8851</v>
      </c>
      <c r="E3426" s="162" t="s">
        <v>8852</v>
      </c>
      <c r="F3426" s="162">
        <v>394</v>
      </c>
      <c r="G3426" s="162">
        <v>1</v>
      </c>
    </row>
    <row r="3427" spans="2:7">
      <c r="B3427" s="162" t="s">
        <v>683</v>
      </c>
      <c r="C3427" s="162" t="s">
        <v>8853</v>
      </c>
      <c r="D3427" s="162" t="s">
        <v>8854</v>
      </c>
      <c r="E3427" s="162" t="s">
        <v>8855</v>
      </c>
      <c r="F3427" s="162">
        <v>394</v>
      </c>
      <c r="G3427" s="162">
        <v>1</v>
      </c>
    </row>
    <row r="3428" spans="2:7" ht="28.8">
      <c r="B3428" s="162" t="s">
        <v>683</v>
      </c>
      <c r="C3428" s="162" t="s">
        <v>8856</v>
      </c>
      <c r="D3428" s="162" t="s">
        <v>8857</v>
      </c>
      <c r="E3428" s="162" t="s">
        <v>8858</v>
      </c>
      <c r="F3428" s="162">
        <v>421</v>
      </c>
      <c r="G3428" s="162">
        <v>1</v>
      </c>
    </row>
    <row r="3429" spans="2:7" ht="28.8">
      <c r="B3429" s="162" t="s">
        <v>683</v>
      </c>
      <c r="C3429" s="162" t="s">
        <v>8859</v>
      </c>
      <c r="D3429" s="162" t="s">
        <v>8860</v>
      </c>
      <c r="E3429" s="162" t="s">
        <v>8861</v>
      </c>
      <c r="F3429" s="162">
        <v>421</v>
      </c>
      <c r="G3429" s="162">
        <v>1</v>
      </c>
    </row>
    <row r="3430" spans="2:7" ht="28.8">
      <c r="B3430" s="162" t="s">
        <v>683</v>
      </c>
      <c r="C3430" s="162" t="s">
        <v>8862</v>
      </c>
      <c r="D3430" s="162" t="s">
        <v>8863</v>
      </c>
      <c r="E3430" s="162" t="s">
        <v>8864</v>
      </c>
      <c r="F3430" s="162">
        <v>421</v>
      </c>
      <c r="G3430" s="162">
        <v>1</v>
      </c>
    </row>
    <row r="3431" spans="2:7" ht="28.8">
      <c r="B3431" s="162" t="s">
        <v>683</v>
      </c>
      <c r="C3431" s="162" t="s">
        <v>8865</v>
      </c>
      <c r="D3431" s="162" t="s">
        <v>8866</v>
      </c>
      <c r="E3431" s="162" t="s">
        <v>8867</v>
      </c>
      <c r="F3431" s="162">
        <v>466</v>
      </c>
      <c r="G3431" s="162">
        <v>1</v>
      </c>
    </row>
    <row r="3432" spans="2:7" ht="28.8">
      <c r="B3432" s="162" t="s">
        <v>683</v>
      </c>
      <c r="C3432" s="162" t="s">
        <v>8868</v>
      </c>
      <c r="D3432" s="162" t="s">
        <v>8869</v>
      </c>
      <c r="E3432" s="162" t="s">
        <v>8870</v>
      </c>
      <c r="F3432" s="162">
        <v>466</v>
      </c>
      <c r="G3432" s="162">
        <v>1</v>
      </c>
    </row>
    <row r="3433" spans="2:7" ht="28.8">
      <c r="B3433" s="162" t="s">
        <v>683</v>
      </c>
      <c r="C3433" s="162" t="s">
        <v>8871</v>
      </c>
      <c r="D3433" s="162" t="s">
        <v>8872</v>
      </c>
      <c r="E3433" s="162" t="s">
        <v>8873</v>
      </c>
      <c r="F3433" s="162">
        <v>466</v>
      </c>
      <c r="G3433" s="162">
        <v>1</v>
      </c>
    </row>
    <row r="3434" spans="2:7" ht="28.8">
      <c r="B3434" s="162" t="s">
        <v>683</v>
      </c>
      <c r="C3434" s="162" t="s">
        <v>8874</v>
      </c>
      <c r="D3434" s="162" t="s">
        <v>8875</v>
      </c>
      <c r="E3434" s="162" t="s">
        <v>8876</v>
      </c>
      <c r="F3434" s="162">
        <v>44</v>
      </c>
      <c r="G3434" s="162">
        <v>1</v>
      </c>
    </row>
    <row r="3435" spans="2:7">
      <c r="B3435" s="162" t="s">
        <v>683</v>
      </c>
      <c r="C3435" s="162" t="s">
        <v>8877</v>
      </c>
      <c r="D3435" s="162" t="s">
        <v>8878</v>
      </c>
      <c r="E3435" s="162" t="s">
        <v>8879</v>
      </c>
      <c r="F3435" s="162">
        <v>44</v>
      </c>
      <c r="G3435" s="162">
        <v>1</v>
      </c>
    </row>
    <row r="3436" spans="2:7" ht="28.8">
      <c r="B3436" s="162" t="s">
        <v>683</v>
      </c>
      <c r="C3436" s="162" t="s">
        <v>8880</v>
      </c>
      <c r="D3436" s="162" t="s">
        <v>8881</v>
      </c>
      <c r="E3436" s="162" t="s">
        <v>8882</v>
      </c>
      <c r="F3436" s="162">
        <v>152</v>
      </c>
      <c r="G3436" s="162">
        <v>1</v>
      </c>
    </row>
    <row r="3437" spans="2:7" ht="28.8">
      <c r="B3437" s="162" t="s">
        <v>683</v>
      </c>
      <c r="C3437" s="162" t="s">
        <v>8883</v>
      </c>
      <c r="D3437" s="162" t="s">
        <v>8884</v>
      </c>
      <c r="E3437" s="162" t="s">
        <v>8885</v>
      </c>
      <c r="F3437" s="162">
        <v>201</v>
      </c>
      <c r="G3437" s="162">
        <v>1</v>
      </c>
    </row>
    <row r="3438" spans="2:7" ht="28.8">
      <c r="B3438" s="162" t="s">
        <v>683</v>
      </c>
      <c r="C3438" s="162" t="s">
        <v>8886</v>
      </c>
      <c r="D3438" s="162" t="s">
        <v>8887</v>
      </c>
      <c r="E3438" s="162" t="s">
        <v>8888</v>
      </c>
      <c r="F3438" s="162">
        <v>332</v>
      </c>
      <c r="G3438" s="162">
        <v>1</v>
      </c>
    </row>
    <row r="3439" spans="2:7" ht="28.8">
      <c r="B3439" s="162" t="s">
        <v>683</v>
      </c>
      <c r="C3439" s="162" t="s">
        <v>8889</v>
      </c>
      <c r="D3439" s="162" t="s">
        <v>8890</v>
      </c>
      <c r="E3439" s="162" t="s">
        <v>8891</v>
      </c>
      <c r="F3439" s="162">
        <v>332</v>
      </c>
      <c r="G3439" s="162">
        <v>1</v>
      </c>
    </row>
    <row r="3440" spans="2:7">
      <c r="B3440" s="162" t="s">
        <v>683</v>
      </c>
      <c r="C3440" s="162" t="s">
        <v>8892</v>
      </c>
      <c r="D3440" s="162" t="s">
        <v>8893</v>
      </c>
      <c r="E3440" s="162" t="s">
        <v>8894</v>
      </c>
      <c r="F3440" s="162">
        <v>319</v>
      </c>
      <c r="G3440" s="162">
        <v>1</v>
      </c>
    </row>
    <row r="3441" spans="2:7" ht="28.8">
      <c r="B3441" s="162" t="s">
        <v>683</v>
      </c>
      <c r="C3441" s="162" t="s">
        <v>8895</v>
      </c>
      <c r="D3441" s="162" t="s">
        <v>8896</v>
      </c>
      <c r="E3441" s="162" t="s">
        <v>8897</v>
      </c>
      <c r="F3441" s="162">
        <v>44</v>
      </c>
      <c r="G3441" s="162">
        <v>1</v>
      </c>
    </row>
    <row r="3442" spans="2:7" ht="28.8">
      <c r="B3442" s="162" t="s">
        <v>683</v>
      </c>
      <c r="C3442" s="162" t="s">
        <v>8237</v>
      </c>
      <c r="D3442" s="162" t="s">
        <v>8238</v>
      </c>
      <c r="E3442" s="162" t="s">
        <v>8239</v>
      </c>
      <c r="F3442" s="162">
        <v>39</v>
      </c>
      <c r="G3442" s="162">
        <v>1</v>
      </c>
    </row>
    <row r="3443" spans="2:7" ht="28.8">
      <c r="B3443" s="162" t="s">
        <v>683</v>
      </c>
      <c r="C3443" s="162" t="s">
        <v>8240</v>
      </c>
      <c r="D3443" s="162" t="s">
        <v>8241</v>
      </c>
      <c r="E3443" s="162" t="s">
        <v>8242</v>
      </c>
      <c r="F3443" s="162">
        <v>39</v>
      </c>
      <c r="G3443" s="162">
        <v>1</v>
      </c>
    </row>
    <row r="3444" spans="2:7" ht="28.8">
      <c r="B3444" s="162" t="s">
        <v>683</v>
      </c>
      <c r="C3444" s="162" t="s">
        <v>8243</v>
      </c>
      <c r="D3444" s="162" t="s">
        <v>8244</v>
      </c>
      <c r="E3444" s="162" t="s">
        <v>8245</v>
      </c>
      <c r="F3444" s="162">
        <v>44</v>
      </c>
      <c r="G3444" s="162">
        <v>1</v>
      </c>
    </row>
    <row r="3445" spans="2:7" ht="28.8">
      <c r="B3445" s="162" t="s">
        <v>683</v>
      </c>
      <c r="C3445" s="162" t="s">
        <v>8246</v>
      </c>
      <c r="D3445" s="162" t="s">
        <v>8247</v>
      </c>
      <c r="E3445" s="162" t="s">
        <v>8248</v>
      </c>
      <c r="F3445" s="162">
        <v>44</v>
      </c>
      <c r="G3445" s="162">
        <v>1</v>
      </c>
    </row>
    <row r="3446" spans="2:7" ht="28.8">
      <c r="B3446" s="162" t="s">
        <v>683</v>
      </c>
      <c r="C3446" s="162" t="s">
        <v>8249</v>
      </c>
      <c r="D3446" s="162" t="s">
        <v>8250</v>
      </c>
      <c r="E3446" s="162" t="s">
        <v>8251</v>
      </c>
      <c r="F3446" s="162">
        <v>44</v>
      </c>
      <c r="G3446" s="162">
        <v>1</v>
      </c>
    </row>
    <row r="3447" spans="2:7" ht="28.8">
      <c r="B3447" s="162" t="s">
        <v>683</v>
      </c>
      <c r="C3447" s="162" t="s">
        <v>8898</v>
      </c>
      <c r="D3447" s="162" t="s">
        <v>7978</v>
      </c>
      <c r="E3447" s="162" t="s">
        <v>8899</v>
      </c>
      <c r="F3447" s="162">
        <v>587</v>
      </c>
      <c r="G3447" s="162">
        <v>1</v>
      </c>
    </row>
    <row r="3448" spans="2:7" ht="28.8">
      <c r="B3448" s="162" t="s">
        <v>683</v>
      </c>
      <c r="C3448" s="162" t="s">
        <v>8900</v>
      </c>
      <c r="D3448" s="162" t="s">
        <v>7987</v>
      </c>
      <c r="E3448" s="162" t="s">
        <v>8901</v>
      </c>
      <c r="F3448" s="162">
        <v>587</v>
      </c>
      <c r="G3448" s="162">
        <v>1</v>
      </c>
    </row>
    <row r="3449" spans="2:7" ht="28.8">
      <c r="B3449" s="162" t="s">
        <v>683</v>
      </c>
      <c r="C3449" s="162" t="s">
        <v>8902</v>
      </c>
      <c r="D3449" s="162" t="s">
        <v>8903</v>
      </c>
      <c r="E3449" s="162" t="s">
        <v>8904</v>
      </c>
      <c r="F3449" s="162">
        <v>587</v>
      </c>
      <c r="G3449" s="162">
        <v>1</v>
      </c>
    </row>
    <row r="3450" spans="2:7" ht="28.8">
      <c r="B3450" s="162" t="s">
        <v>683</v>
      </c>
      <c r="C3450" s="162" t="s">
        <v>8905</v>
      </c>
      <c r="D3450" s="162" t="s">
        <v>8906</v>
      </c>
      <c r="E3450" s="162" t="s">
        <v>8907</v>
      </c>
      <c r="F3450" s="162">
        <v>587</v>
      </c>
      <c r="G3450" s="162">
        <v>1</v>
      </c>
    </row>
    <row r="3451" spans="2:7" ht="28.8">
      <c r="B3451" s="162" t="s">
        <v>683</v>
      </c>
      <c r="C3451" s="162" t="s">
        <v>8902</v>
      </c>
      <c r="D3451" s="162" t="s">
        <v>8908</v>
      </c>
      <c r="E3451" s="162" t="s">
        <v>8909</v>
      </c>
      <c r="F3451" s="162">
        <v>631</v>
      </c>
      <c r="G3451" s="162">
        <v>1</v>
      </c>
    </row>
    <row r="3452" spans="2:7" ht="28.8">
      <c r="B3452" s="162" t="s">
        <v>683</v>
      </c>
      <c r="C3452" s="162" t="s">
        <v>8905</v>
      </c>
      <c r="D3452" s="162" t="s">
        <v>8910</v>
      </c>
      <c r="E3452" s="162" t="s">
        <v>8911</v>
      </c>
      <c r="F3452" s="162">
        <v>631</v>
      </c>
      <c r="G3452" s="162">
        <v>1</v>
      </c>
    </row>
    <row r="3453" spans="2:7" ht="28.8">
      <c r="B3453" s="162" t="s">
        <v>683</v>
      </c>
      <c r="C3453" s="162" t="s">
        <v>8912</v>
      </c>
      <c r="D3453" s="162" t="s">
        <v>8158</v>
      </c>
      <c r="E3453" s="162" t="s">
        <v>8913</v>
      </c>
      <c r="F3453" s="162">
        <v>443</v>
      </c>
      <c r="G3453" s="162">
        <v>1</v>
      </c>
    </row>
    <row r="3454" spans="2:7">
      <c r="B3454" s="162" t="s">
        <v>683</v>
      </c>
      <c r="C3454" s="162" t="s">
        <v>8914</v>
      </c>
      <c r="D3454" s="162" t="s">
        <v>7972</v>
      </c>
      <c r="E3454" s="162" t="s">
        <v>8915</v>
      </c>
      <c r="F3454" s="162">
        <v>443</v>
      </c>
      <c r="G3454" s="162">
        <v>1</v>
      </c>
    </row>
    <row r="3455" spans="2:7">
      <c r="B3455" s="162" t="s">
        <v>683</v>
      </c>
      <c r="C3455" s="162" t="s">
        <v>8916</v>
      </c>
      <c r="D3455" s="162" t="s">
        <v>8917</v>
      </c>
      <c r="E3455" s="162" t="s">
        <v>8918</v>
      </c>
      <c r="F3455" s="162">
        <v>228</v>
      </c>
      <c r="G3455" s="162">
        <v>1</v>
      </c>
    </row>
    <row r="3456" spans="2:7">
      <c r="B3456" s="162" t="s">
        <v>683</v>
      </c>
      <c r="C3456" s="162" t="s">
        <v>8919</v>
      </c>
      <c r="D3456" s="162" t="s">
        <v>8920</v>
      </c>
      <c r="E3456" s="162" t="s">
        <v>8921</v>
      </c>
      <c r="F3456" s="162">
        <v>228</v>
      </c>
      <c r="G3456" s="162">
        <v>1</v>
      </c>
    </row>
    <row r="3457" spans="2:7">
      <c r="B3457" s="162" t="s">
        <v>683</v>
      </c>
      <c r="C3457" s="162" t="s">
        <v>8922</v>
      </c>
      <c r="D3457" s="162" t="s">
        <v>8923</v>
      </c>
      <c r="E3457" s="162" t="s">
        <v>8924</v>
      </c>
      <c r="F3457" s="162">
        <v>241</v>
      </c>
      <c r="G3457" s="162">
        <v>1</v>
      </c>
    </row>
    <row r="3458" spans="2:7">
      <c r="B3458" s="162" t="s">
        <v>683</v>
      </c>
      <c r="C3458" s="162" t="s">
        <v>8925</v>
      </c>
      <c r="D3458" s="162" t="s">
        <v>8926</v>
      </c>
      <c r="E3458" s="162" t="s">
        <v>8927</v>
      </c>
      <c r="F3458" s="162">
        <v>241</v>
      </c>
      <c r="G3458" s="162">
        <v>1</v>
      </c>
    </row>
    <row r="3459" spans="2:7">
      <c r="B3459" s="162" t="s">
        <v>683</v>
      </c>
      <c r="C3459" s="162" t="s">
        <v>8928</v>
      </c>
      <c r="D3459" s="162" t="s">
        <v>8929</v>
      </c>
      <c r="E3459" s="162" t="s">
        <v>8930</v>
      </c>
      <c r="F3459" s="162">
        <v>253</v>
      </c>
      <c r="G3459" s="162">
        <v>1</v>
      </c>
    </row>
    <row r="3460" spans="2:7">
      <c r="B3460" s="162" t="s">
        <v>683</v>
      </c>
      <c r="C3460" s="162" t="s">
        <v>8931</v>
      </c>
      <c r="D3460" s="162" t="s">
        <v>8932</v>
      </c>
      <c r="E3460" s="162" t="s">
        <v>8933</v>
      </c>
      <c r="F3460" s="162">
        <v>276</v>
      </c>
      <c r="G3460" s="162">
        <v>1</v>
      </c>
    </row>
    <row r="3461" spans="2:7" ht="28.8">
      <c r="B3461" s="162" t="s">
        <v>683</v>
      </c>
      <c r="C3461" s="162" t="s">
        <v>8934</v>
      </c>
      <c r="D3461" s="162" t="s">
        <v>7978</v>
      </c>
      <c r="E3461" s="162" t="s">
        <v>8935</v>
      </c>
      <c r="F3461" s="162">
        <v>672</v>
      </c>
      <c r="G3461" s="162">
        <v>1</v>
      </c>
    </row>
    <row r="3462" spans="2:7" ht="28.8">
      <c r="B3462" s="162" t="s">
        <v>683</v>
      </c>
      <c r="C3462" s="162" t="s">
        <v>8936</v>
      </c>
      <c r="D3462" s="162" t="s">
        <v>7987</v>
      </c>
      <c r="E3462" s="162" t="s">
        <v>8937</v>
      </c>
      <c r="F3462" s="162">
        <v>672</v>
      </c>
      <c r="G3462" s="162">
        <v>1</v>
      </c>
    </row>
    <row r="3463" spans="2:7" ht="28.8">
      <c r="B3463" s="162" t="s">
        <v>683</v>
      </c>
      <c r="C3463" s="162" t="s">
        <v>8938</v>
      </c>
      <c r="D3463" s="162" t="s">
        <v>8939</v>
      </c>
      <c r="E3463" s="162" t="s">
        <v>8940</v>
      </c>
      <c r="F3463" s="162">
        <v>672</v>
      </c>
      <c r="G3463" s="162">
        <v>1</v>
      </c>
    </row>
    <row r="3464" spans="2:7" ht="28.8">
      <c r="B3464" s="162" t="s">
        <v>683</v>
      </c>
      <c r="C3464" s="162" t="s">
        <v>8941</v>
      </c>
      <c r="D3464" s="162" t="s">
        <v>7990</v>
      </c>
      <c r="E3464" s="162" t="s">
        <v>8942</v>
      </c>
      <c r="F3464" s="162">
        <v>672</v>
      </c>
      <c r="G3464" s="162">
        <v>1</v>
      </c>
    </row>
    <row r="3465" spans="2:7" ht="28.8">
      <c r="B3465" s="162" t="s">
        <v>683</v>
      </c>
      <c r="C3465" s="162" t="s">
        <v>8943</v>
      </c>
      <c r="D3465" s="162" t="s">
        <v>8158</v>
      </c>
      <c r="E3465" s="162" t="s">
        <v>8944</v>
      </c>
      <c r="F3465" s="162">
        <v>516</v>
      </c>
      <c r="G3465" s="162">
        <v>1</v>
      </c>
    </row>
    <row r="3466" spans="2:7">
      <c r="B3466" s="162" t="s">
        <v>683</v>
      </c>
      <c r="C3466" s="162" t="s">
        <v>8945</v>
      </c>
      <c r="D3466" s="162" t="s">
        <v>7972</v>
      </c>
      <c r="E3466" s="162" t="s">
        <v>8946</v>
      </c>
      <c r="F3466" s="162">
        <v>516</v>
      </c>
      <c r="G3466" s="162">
        <v>1</v>
      </c>
    </row>
    <row r="3467" spans="2:7">
      <c r="B3467" s="162" t="s">
        <v>683</v>
      </c>
      <c r="C3467" s="162" t="s">
        <v>8947</v>
      </c>
      <c r="D3467" s="162" t="s">
        <v>8948</v>
      </c>
      <c r="E3467" s="162" t="s">
        <v>8949</v>
      </c>
      <c r="F3467" s="162">
        <v>313</v>
      </c>
      <c r="G3467" s="162">
        <v>1</v>
      </c>
    </row>
    <row r="3468" spans="2:7">
      <c r="B3468" s="162" t="s">
        <v>683</v>
      </c>
      <c r="C3468" s="162" t="s">
        <v>8950</v>
      </c>
      <c r="D3468" s="162" t="s">
        <v>8951</v>
      </c>
      <c r="E3468" s="162" t="s">
        <v>8952</v>
      </c>
      <c r="F3468" s="162">
        <v>325</v>
      </c>
      <c r="G3468" s="162">
        <v>1</v>
      </c>
    </row>
    <row r="3469" spans="2:7">
      <c r="B3469" s="162" t="s">
        <v>683</v>
      </c>
      <c r="C3469" s="162" t="s">
        <v>8953</v>
      </c>
      <c r="D3469" s="162" t="s">
        <v>8954</v>
      </c>
      <c r="E3469" s="162" t="s">
        <v>8955</v>
      </c>
      <c r="F3469" s="162">
        <v>325</v>
      </c>
      <c r="G3469" s="162">
        <v>1</v>
      </c>
    </row>
    <row r="3470" spans="2:7">
      <c r="B3470" s="162" t="s">
        <v>683</v>
      </c>
      <c r="C3470" s="162" t="s">
        <v>8956</v>
      </c>
      <c r="D3470" s="162" t="s">
        <v>8957</v>
      </c>
      <c r="E3470" s="162" t="s">
        <v>8958</v>
      </c>
      <c r="F3470" s="162">
        <v>336</v>
      </c>
      <c r="G3470" s="162">
        <v>1</v>
      </c>
    </row>
    <row r="3471" spans="2:7">
      <c r="B3471" s="162" t="s">
        <v>683</v>
      </c>
      <c r="C3471" s="162" t="s">
        <v>8959</v>
      </c>
      <c r="D3471" s="162" t="s">
        <v>8960</v>
      </c>
      <c r="E3471" s="162" t="s">
        <v>8961</v>
      </c>
      <c r="F3471" s="162">
        <v>361</v>
      </c>
      <c r="G3471" s="162">
        <v>1</v>
      </c>
    </row>
    <row r="3472" spans="2:7" ht="28.8">
      <c r="B3472" s="162" t="s">
        <v>683</v>
      </c>
      <c r="C3472" s="162" t="s">
        <v>8962</v>
      </c>
      <c r="D3472" s="162" t="s">
        <v>8963</v>
      </c>
      <c r="E3472" s="162" t="s">
        <v>8964</v>
      </c>
      <c r="F3472" s="162">
        <v>479</v>
      </c>
      <c r="G3472" s="162">
        <v>1</v>
      </c>
    </row>
    <row r="3473" spans="2:7" ht="28.8">
      <c r="B3473" s="162" t="s">
        <v>683</v>
      </c>
      <c r="C3473" s="162" t="s">
        <v>8965</v>
      </c>
      <c r="D3473" s="162" t="s">
        <v>8963</v>
      </c>
      <c r="E3473" s="162" t="s">
        <v>8966</v>
      </c>
      <c r="F3473" s="162">
        <v>553</v>
      </c>
      <c r="G3473" s="162">
        <v>1</v>
      </c>
    </row>
    <row r="3474" spans="2:7">
      <c r="B3474" s="162" t="s">
        <v>683</v>
      </c>
      <c r="C3474" s="162" t="s">
        <v>8967</v>
      </c>
      <c r="D3474" s="162" t="s">
        <v>8968</v>
      </c>
      <c r="E3474" s="162" t="s">
        <v>8969</v>
      </c>
      <c r="F3474" s="162">
        <v>696</v>
      </c>
      <c r="G3474" s="162">
        <v>1</v>
      </c>
    </row>
    <row r="3475" spans="2:7">
      <c r="B3475" s="162" t="s">
        <v>683</v>
      </c>
      <c r="C3475" s="162" t="s">
        <v>8970</v>
      </c>
      <c r="D3475" s="162" t="s">
        <v>8968</v>
      </c>
      <c r="E3475" s="162" t="s">
        <v>8971</v>
      </c>
      <c r="F3475" s="162">
        <v>862</v>
      </c>
      <c r="G3475" s="162">
        <v>1</v>
      </c>
    </row>
    <row r="3476" spans="2:7" ht="28.8">
      <c r="B3476" s="162" t="s">
        <v>684</v>
      </c>
      <c r="C3476" s="162" t="s">
        <v>1323</v>
      </c>
      <c r="D3476" s="162" t="s">
        <v>1324</v>
      </c>
      <c r="F3476" s="162">
        <v>395</v>
      </c>
      <c r="G3476" s="162">
        <v>1</v>
      </c>
    </row>
    <row r="3477" spans="2:7" ht="28.8">
      <c r="B3477" s="162" t="s">
        <v>684</v>
      </c>
      <c r="C3477" s="162" t="s">
        <v>1325</v>
      </c>
      <c r="D3477" s="162" t="s">
        <v>1326</v>
      </c>
      <c r="F3477" s="162">
        <v>410</v>
      </c>
      <c r="G3477" s="162">
        <v>1</v>
      </c>
    </row>
    <row r="3478" spans="2:7" ht="28.8">
      <c r="B3478" s="162" t="s">
        <v>684</v>
      </c>
      <c r="C3478" s="162" t="s">
        <v>1327</v>
      </c>
      <c r="D3478" s="162" t="s">
        <v>1328</v>
      </c>
      <c r="F3478" s="162">
        <v>595</v>
      </c>
      <c r="G3478" s="162">
        <v>1</v>
      </c>
    </row>
    <row r="3479" spans="2:7" ht="28.8">
      <c r="B3479" s="162" t="s">
        <v>684</v>
      </c>
      <c r="C3479" s="162" t="s">
        <v>1329</v>
      </c>
      <c r="D3479" s="162" t="s">
        <v>1330</v>
      </c>
      <c r="F3479" s="162">
        <v>695</v>
      </c>
      <c r="G3479" s="162">
        <v>1</v>
      </c>
    </row>
    <row r="3480" spans="2:7" ht="43.2">
      <c r="B3480" s="162" t="s">
        <v>684</v>
      </c>
      <c r="C3480" s="162" t="s">
        <v>1331</v>
      </c>
      <c r="D3480" s="162" t="s">
        <v>1332</v>
      </c>
      <c r="F3480" s="162">
        <v>595</v>
      </c>
      <c r="G3480" s="162">
        <v>1</v>
      </c>
    </row>
    <row r="3481" spans="2:7" ht="28.8">
      <c r="B3481" s="162" t="s">
        <v>684</v>
      </c>
      <c r="C3481" s="162" t="s">
        <v>1333</v>
      </c>
      <c r="D3481" s="162" t="s">
        <v>1334</v>
      </c>
      <c r="F3481" s="162">
        <v>795</v>
      </c>
      <c r="G3481" s="162">
        <v>1</v>
      </c>
    </row>
    <row r="3482" spans="2:7" ht="28.8">
      <c r="B3482" s="162" t="s">
        <v>684</v>
      </c>
      <c r="C3482" s="162" t="s">
        <v>1335</v>
      </c>
      <c r="D3482" s="162" t="s">
        <v>1336</v>
      </c>
      <c r="F3482" s="162">
        <v>895</v>
      </c>
      <c r="G3482" s="162">
        <v>1</v>
      </c>
    </row>
    <row r="3483" spans="2:7" ht="43.2">
      <c r="B3483" s="162" t="s">
        <v>684</v>
      </c>
      <c r="C3483" s="162" t="s">
        <v>1337</v>
      </c>
      <c r="D3483" s="162" t="s">
        <v>1338</v>
      </c>
      <c r="F3483" s="162">
        <v>795</v>
      </c>
      <c r="G3483" s="162">
        <v>1</v>
      </c>
    </row>
    <row r="3484" spans="2:7" ht="28.8">
      <c r="B3484" s="162" t="s">
        <v>684</v>
      </c>
      <c r="C3484" s="162" t="s">
        <v>1339</v>
      </c>
      <c r="D3484" s="162" t="s">
        <v>1340</v>
      </c>
      <c r="F3484" s="162">
        <v>1295</v>
      </c>
      <c r="G3484" s="162">
        <v>1</v>
      </c>
    </row>
    <row r="3485" spans="2:7" ht="28.8">
      <c r="B3485" s="162" t="s">
        <v>684</v>
      </c>
      <c r="C3485" s="162" t="s">
        <v>1341</v>
      </c>
      <c r="D3485" s="162" t="s">
        <v>1342</v>
      </c>
      <c r="F3485" s="162">
        <v>1395</v>
      </c>
      <c r="G3485" s="162">
        <v>1</v>
      </c>
    </row>
    <row r="3486" spans="2:7" ht="43.2">
      <c r="B3486" s="162" t="s">
        <v>684</v>
      </c>
      <c r="C3486" s="162" t="s">
        <v>1343</v>
      </c>
      <c r="D3486" s="162" t="s">
        <v>1344</v>
      </c>
      <c r="F3486" s="162">
        <v>1295</v>
      </c>
      <c r="G3486" s="162">
        <v>1</v>
      </c>
    </row>
    <row r="3487" spans="2:7" ht="28.8">
      <c r="B3487" s="162" t="s">
        <v>684</v>
      </c>
      <c r="C3487" s="162" t="s">
        <v>1345</v>
      </c>
      <c r="D3487" s="162" t="s">
        <v>1346</v>
      </c>
      <c r="F3487" s="162">
        <v>2095</v>
      </c>
      <c r="G3487" s="162">
        <v>1</v>
      </c>
    </row>
    <row r="3488" spans="2:7" ht="28.8">
      <c r="B3488" s="162" t="s">
        <v>684</v>
      </c>
      <c r="C3488" s="162" t="s">
        <v>1347</v>
      </c>
      <c r="D3488" s="162" t="s">
        <v>1348</v>
      </c>
      <c r="F3488" s="162">
        <v>2195</v>
      </c>
      <c r="G3488" s="162">
        <v>1</v>
      </c>
    </row>
    <row r="3489" spans="2:7" ht="28.8">
      <c r="B3489" s="162" t="s">
        <v>684</v>
      </c>
      <c r="C3489" s="162" t="s">
        <v>1349</v>
      </c>
      <c r="D3489" s="162" t="s">
        <v>1350</v>
      </c>
      <c r="F3489" s="162">
        <v>895</v>
      </c>
      <c r="G3489" s="162">
        <v>1</v>
      </c>
    </row>
    <row r="3490" spans="2:7">
      <c r="B3490" s="162" t="s">
        <v>684</v>
      </c>
      <c r="C3490" s="162" t="s">
        <v>1351</v>
      </c>
      <c r="D3490" s="162" t="s">
        <v>1352</v>
      </c>
      <c r="F3490" s="162">
        <v>1295</v>
      </c>
      <c r="G3490" s="162">
        <v>1</v>
      </c>
    </row>
    <row r="3491" spans="2:7" ht="28.8">
      <c r="B3491" s="162" t="s">
        <v>684</v>
      </c>
      <c r="C3491" s="162" t="s">
        <v>1353</v>
      </c>
      <c r="D3491" s="162" t="s">
        <v>1354</v>
      </c>
      <c r="F3491" s="162">
        <v>1685</v>
      </c>
      <c r="G3491" s="162">
        <v>1</v>
      </c>
    </row>
    <row r="3492" spans="2:7" ht="28.8">
      <c r="B3492" s="162" t="s">
        <v>684</v>
      </c>
      <c r="C3492" s="162" t="s">
        <v>1355</v>
      </c>
      <c r="D3492" s="162" t="s">
        <v>1356</v>
      </c>
      <c r="F3492" s="162">
        <v>2075</v>
      </c>
      <c r="G3492" s="162">
        <v>1</v>
      </c>
    </row>
    <row r="3493" spans="2:7" ht="28.8">
      <c r="B3493" s="162" t="s">
        <v>684</v>
      </c>
      <c r="C3493" s="162" t="s">
        <v>1357</v>
      </c>
      <c r="D3493" s="162" t="s">
        <v>1358</v>
      </c>
      <c r="F3493" s="162">
        <v>4270</v>
      </c>
      <c r="G3493" s="162">
        <v>1</v>
      </c>
    </row>
    <row r="3494" spans="2:7" ht="28.8">
      <c r="B3494" s="162" t="s">
        <v>684</v>
      </c>
      <c r="C3494" s="162" t="s">
        <v>1359</v>
      </c>
      <c r="D3494" s="162" t="s">
        <v>1360</v>
      </c>
      <c r="F3494" s="162">
        <v>2885</v>
      </c>
      <c r="G3494" s="162">
        <v>1</v>
      </c>
    </row>
    <row r="3495" spans="2:7" ht="28.8">
      <c r="B3495" s="162" t="s">
        <v>684</v>
      </c>
      <c r="C3495" s="162" t="s">
        <v>1361</v>
      </c>
      <c r="D3495" s="162" t="s">
        <v>1362</v>
      </c>
      <c r="F3495" s="162">
        <v>5270</v>
      </c>
      <c r="G3495" s="162">
        <v>1</v>
      </c>
    </row>
    <row r="3496" spans="2:7" ht="28.8">
      <c r="B3496" s="162" t="s">
        <v>684</v>
      </c>
      <c r="C3496" s="162" t="s">
        <v>1363</v>
      </c>
      <c r="D3496" s="162" t="s">
        <v>1364</v>
      </c>
      <c r="F3496" s="162">
        <v>6825</v>
      </c>
      <c r="G3496" s="162">
        <v>1</v>
      </c>
    </row>
    <row r="3497" spans="2:7" ht="28.8">
      <c r="B3497" s="162" t="s">
        <v>684</v>
      </c>
      <c r="C3497" s="162" t="s">
        <v>1365</v>
      </c>
      <c r="D3497" s="162" t="s">
        <v>1366</v>
      </c>
      <c r="F3497" s="162">
        <v>695</v>
      </c>
      <c r="G3497" s="162">
        <v>1</v>
      </c>
    </row>
    <row r="3498" spans="2:7" ht="28.8">
      <c r="B3498" s="162" t="s">
        <v>684</v>
      </c>
      <c r="C3498" s="162" t="s">
        <v>1367</v>
      </c>
      <c r="D3498" s="162" t="s">
        <v>1368</v>
      </c>
      <c r="F3498" s="162">
        <v>795</v>
      </c>
      <c r="G3498" s="162">
        <v>1</v>
      </c>
    </row>
    <row r="3499" spans="2:7" ht="43.2">
      <c r="B3499" s="162" t="s">
        <v>684</v>
      </c>
      <c r="C3499" s="162" t="s">
        <v>1369</v>
      </c>
      <c r="D3499" s="162" t="s">
        <v>1370</v>
      </c>
      <c r="F3499" s="162">
        <v>695</v>
      </c>
      <c r="G3499" s="162">
        <v>1</v>
      </c>
    </row>
    <row r="3500" spans="2:7" ht="28.8">
      <c r="B3500" s="162" t="s">
        <v>684</v>
      </c>
      <c r="C3500" s="162" t="s">
        <v>1371</v>
      </c>
      <c r="D3500" s="162" t="s">
        <v>1372</v>
      </c>
      <c r="F3500" s="162">
        <v>999</v>
      </c>
      <c r="G3500" s="162">
        <v>1</v>
      </c>
    </row>
    <row r="3501" spans="2:7" ht="28.8">
      <c r="B3501" s="162" t="s">
        <v>684</v>
      </c>
      <c r="C3501" s="162" t="s">
        <v>1373</v>
      </c>
      <c r="D3501" s="162" t="s">
        <v>1374</v>
      </c>
      <c r="F3501" s="162">
        <v>1099</v>
      </c>
      <c r="G3501" s="162">
        <v>1</v>
      </c>
    </row>
    <row r="3502" spans="2:7" ht="43.2">
      <c r="B3502" s="162" t="s">
        <v>684</v>
      </c>
      <c r="C3502" s="162" t="s">
        <v>1375</v>
      </c>
      <c r="D3502" s="162" t="s">
        <v>1376</v>
      </c>
      <c r="F3502" s="162">
        <v>999</v>
      </c>
      <c r="G3502" s="162">
        <v>1</v>
      </c>
    </row>
    <row r="3503" spans="2:7" ht="28.8">
      <c r="B3503" s="162" t="s">
        <v>684</v>
      </c>
      <c r="C3503" s="162" t="s">
        <v>1377</v>
      </c>
      <c r="D3503" s="162" t="s">
        <v>1378</v>
      </c>
      <c r="F3503" s="162">
        <v>1895</v>
      </c>
      <c r="G3503" s="162">
        <v>1</v>
      </c>
    </row>
    <row r="3504" spans="2:7" ht="28.8">
      <c r="B3504" s="162" t="s">
        <v>684</v>
      </c>
      <c r="C3504" s="162" t="s">
        <v>1379</v>
      </c>
      <c r="D3504" s="162" t="s">
        <v>1380</v>
      </c>
      <c r="F3504" s="162">
        <v>1995</v>
      </c>
      <c r="G3504" s="162">
        <v>1</v>
      </c>
    </row>
    <row r="3505" spans="2:7" ht="43.2">
      <c r="B3505" s="162" t="s">
        <v>684</v>
      </c>
      <c r="C3505" s="162" t="s">
        <v>1381</v>
      </c>
      <c r="D3505" s="162" t="s">
        <v>1382</v>
      </c>
      <c r="F3505" s="162">
        <v>1895</v>
      </c>
      <c r="G3505" s="162">
        <v>1</v>
      </c>
    </row>
    <row r="3506" spans="2:7" ht="28.8">
      <c r="B3506" s="162" t="s">
        <v>684</v>
      </c>
      <c r="C3506" s="162" t="s">
        <v>1383</v>
      </c>
      <c r="D3506" s="162" t="s">
        <v>1384</v>
      </c>
      <c r="F3506" s="162">
        <v>2595</v>
      </c>
      <c r="G3506" s="162">
        <v>1</v>
      </c>
    </row>
    <row r="3507" spans="2:7" ht="28.8">
      <c r="B3507" s="162" t="s">
        <v>684</v>
      </c>
      <c r="C3507" s="162" t="s">
        <v>1385</v>
      </c>
      <c r="D3507" s="162" t="s">
        <v>1386</v>
      </c>
      <c r="F3507" s="162">
        <v>2695</v>
      </c>
      <c r="G3507" s="162">
        <v>1</v>
      </c>
    </row>
    <row r="3508" spans="2:7" ht="28.8">
      <c r="B3508" s="162" t="s">
        <v>684</v>
      </c>
      <c r="C3508" s="162" t="s">
        <v>1387</v>
      </c>
      <c r="D3508" s="162" t="s">
        <v>1388</v>
      </c>
      <c r="F3508" s="162">
        <v>2695</v>
      </c>
      <c r="G3508" s="162">
        <v>1</v>
      </c>
    </row>
    <row r="3509" spans="2:7" ht="43.2">
      <c r="B3509" s="162" t="s">
        <v>684</v>
      </c>
      <c r="C3509" s="162" t="s">
        <v>1389</v>
      </c>
      <c r="D3509" s="162" t="s">
        <v>1390</v>
      </c>
      <c r="F3509" s="162">
        <v>1199</v>
      </c>
      <c r="G3509" s="162">
        <v>1</v>
      </c>
    </row>
    <row r="3510" spans="2:7" ht="28.8">
      <c r="B3510" s="162" t="s">
        <v>684</v>
      </c>
      <c r="C3510" s="162" t="s">
        <v>1391</v>
      </c>
      <c r="D3510" s="162" t="s">
        <v>1392</v>
      </c>
      <c r="F3510" s="162">
        <v>2495</v>
      </c>
      <c r="G3510" s="162">
        <v>1</v>
      </c>
    </row>
    <row r="3511" spans="2:7" ht="28.8">
      <c r="B3511" s="162" t="s">
        <v>684</v>
      </c>
      <c r="C3511" s="162" t="s">
        <v>1393</v>
      </c>
      <c r="D3511" s="162" t="s">
        <v>1394</v>
      </c>
      <c r="F3511" s="162">
        <v>2650</v>
      </c>
      <c r="G3511" s="162">
        <v>1</v>
      </c>
    </row>
    <row r="3512" spans="2:7" ht="28.8">
      <c r="B3512" s="162" t="s">
        <v>684</v>
      </c>
      <c r="C3512" s="162" t="s">
        <v>1395</v>
      </c>
      <c r="D3512" s="162" t="s">
        <v>1396</v>
      </c>
      <c r="F3512" s="162">
        <v>2650</v>
      </c>
      <c r="G3512" s="162">
        <v>1</v>
      </c>
    </row>
    <row r="3513" spans="2:7" ht="28.8">
      <c r="B3513" s="162" t="s">
        <v>684</v>
      </c>
      <c r="C3513" s="162" t="s">
        <v>1397</v>
      </c>
      <c r="D3513" s="162" t="s">
        <v>1398</v>
      </c>
      <c r="F3513" s="162">
        <v>3295</v>
      </c>
      <c r="G3513" s="162">
        <v>1</v>
      </c>
    </row>
    <row r="3514" spans="2:7" ht="28.8">
      <c r="B3514" s="162" t="s">
        <v>684</v>
      </c>
      <c r="C3514" s="162" t="s">
        <v>1399</v>
      </c>
      <c r="D3514" s="162" t="s">
        <v>1400</v>
      </c>
      <c r="F3514" s="162">
        <v>3450</v>
      </c>
      <c r="G3514" s="162">
        <v>1</v>
      </c>
    </row>
    <row r="3515" spans="2:7" ht="28.8">
      <c r="B3515" s="162" t="s">
        <v>684</v>
      </c>
      <c r="C3515" s="162" t="s">
        <v>1401</v>
      </c>
      <c r="D3515" s="162" t="s">
        <v>1402</v>
      </c>
      <c r="F3515" s="162">
        <v>3450</v>
      </c>
      <c r="G3515" s="162">
        <v>1</v>
      </c>
    </row>
    <row r="3516" spans="2:7" ht="28.8">
      <c r="B3516" s="162" t="s">
        <v>684</v>
      </c>
      <c r="C3516" s="162" t="s">
        <v>1403</v>
      </c>
      <c r="D3516" s="162" t="s">
        <v>1404</v>
      </c>
      <c r="F3516" s="162">
        <v>4595</v>
      </c>
      <c r="G3516" s="162">
        <v>1</v>
      </c>
    </row>
    <row r="3517" spans="2:7" ht="28.8">
      <c r="B3517" s="162" t="s">
        <v>684</v>
      </c>
      <c r="C3517" s="162" t="s">
        <v>1405</v>
      </c>
      <c r="D3517" s="162" t="s">
        <v>1406</v>
      </c>
      <c r="F3517" s="162">
        <v>4595</v>
      </c>
      <c r="G3517" s="162">
        <v>1</v>
      </c>
    </row>
    <row r="3518" spans="2:7" ht="28.8">
      <c r="B3518" s="162" t="s">
        <v>684</v>
      </c>
      <c r="C3518" s="162" t="s">
        <v>1407</v>
      </c>
      <c r="D3518" s="162" t="s">
        <v>1408</v>
      </c>
      <c r="F3518" s="162">
        <v>4595</v>
      </c>
      <c r="G3518" s="162">
        <v>1</v>
      </c>
    </row>
    <row r="3519" spans="2:7" ht="28.8">
      <c r="B3519" s="162" t="s">
        <v>684</v>
      </c>
      <c r="C3519" s="162" t="s">
        <v>1409</v>
      </c>
      <c r="D3519" s="162" t="s">
        <v>1410</v>
      </c>
      <c r="F3519" s="162">
        <v>5595</v>
      </c>
      <c r="G3519" s="162">
        <v>1</v>
      </c>
    </row>
    <row r="3520" spans="2:7" ht="28.8">
      <c r="B3520" s="162" t="s">
        <v>684</v>
      </c>
      <c r="C3520" s="162" t="s">
        <v>1411</v>
      </c>
      <c r="D3520" s="162" t="s">
        <v>1412</v>
      </c>
      <c r="F3520" s="162">
        <v>5595</v>
      </c>
      <c r="G3520" s="162">
        <v>1</v>
      </c>
    </row>
    <row r="3521" spans="2:7" ht="28.8">
      <c r="B3521" s="162" t="s">
        <v>684</v>
      </c>
      <c r="C3521" s="162" t="s">
        <v>1413</v>
      </c>
      <c r="D3521" s="162" t="s">
        <v>1414</v>
      </c>
      <c r="F3521" s="162">
        <v>5595</v>
      </c>
      <c r="G3521" s="162">
        <v>1</v>
      </c>
    </row>
    <row r="3522" spans="2:7" ht="28.8">
      <c r="B3522" s="162" t="s">
        <v>684</v>
      </c>
      <c r="C3522" s="162" t="s">
        <v>1415</v>
      </c>
      <c r="D3522" s="162" t="s">
        <v>1416</v>
      </c>
      <c r="F3522" s="162">
        <v>9995</v>
      </c>
      <c r="G3522" s="162">
        <v>1</v>
      </c>
    </row>
    <row r="3523" spans="2:7" ht="28.8">
      <c r="B3523" s="162" t="s">
        <v>684</v>
      </c>
      <c r="C3523" s="162" t="s">
        <v>1417</v>
      </c>
      <c r="D3523" s="162" t="s">
        <v>1418</v>
      </c>
      <c r="F3523" s="162">
        <v>9995</v>
      </c>
      <c r="G3523" s="162">
        <v>1</v>
      </c>
    </row>
    <row r="3524" spans="2:7" ht="28.8">
      <c r="B3524" s="162" t="s">
        <v>684</v>
      </c>
      <c r="C3524" s="162" t="s">
        <v>1419</v>
      </c>
      <c r="D3524" s="162" t="s">
        <v>1420</v>
      </c>
      <c r="F3524" s="162">
        <v>9995</v>
      </c>
      <c r="G3524" s="162">
        <v>1</v>
      </c>
    </row>
    <row r="3525" spans="2:7" ht="43.2">
      <c r="B3525" s="162" t="s">
        <v>684</v>
      </c>
      <c r="C3525" s="162" t="s">
        <v>1421</v>
      </c>
      <c r="D3525" s="162" t="s">
        <v>1422</v>
      </c>
      <c r="F3525" s="162">
        <v>4595</v>
      </c>
      <c r="G3525" s="162">
        <v>1</v>
      </c>
    </row>
    <row r="3526" spans="2:7" ht="28.8">
      <c r="B3526" s="162" t="s">
        <v>684</v>
      </c>
      <c r="C3526" s="162" t="s">
        <v>1423</v>
      </c>
      <c r="D3526" s="162" t="s">
        <v>1424</v>
      </c>
      <c r="F3526" s="162">
        <v>4595</v>
      </c>
      <c r="G3526" s="162">
        <v>1</v>
      </c>
    </row>
    <row r="3527" spans="2:7" ht="28.8">
      <c r="B3527" s="162" t="s">
        <v>684</v>
      </c>
      <c r="C3527" s="162" t="s">
        <v>1425</v>
      </c>
      <c r="D3527" s="162" t="s">
        <v>1426</v>
      </c>
      <c r="F3527" s="162">
        <v>6595</v>
      </c>
      <c r="G3527" s="162">
        <v>1</v>
      </c>
    </row>
    <row r="3528" spans="2:7" ht="28.8">
      <c r="B3528" s="162" t="s">
        <v>684</v>
      </c>
      <c r="C3528" s="162" t="s">
        <v>1427</v>
      </c>
      <c r="D3528" s="162" t="s">
        <v>1428</v>
      </c>
      <c r="F3528" s="162">
        <v>8995</v>
      </c>
      <c r="G3528" s="162">
        <v>1</v>
      </c>
    </row>
    <row r="3529" spans="2:7" ht="43.2">
      <c r="B3529" s="162" t="s">
        <v>684</v>
      </c>
      <c r="C3529" s="162" t="s">
        <v>1429</v>
      </c>
      <c r="D3529" s="162" t="s">
        <v>1430</v>
      </c>
      <c r="F3529" s="162">
        <v>10500</v>
      </c>
      <c r="G3529" s="162">
        <v>1</v>
      </c>
    </row>
    <row r="3530" spans="2:7" ht="43.2">
      <c r="B3530" s="162" t="s">
        <v>684</v>
      </c>
      <c r="C3530" s="162" t="s">
        <v>1431</v>
      </c>
      <c r="D3530" s="162" t="s">
        <v>1432</v>
      </c>
      <c r="F3530" s="162">
        <v>6995</v>
      </c>
      <c r="G3530" s="162">
        <v>1</v>
      </c>
    </row>
    <row r="3531" spans="2:7" ht="72">
      <c r="B3531" s="162" t="s">
        <v>684</v>
      </c>
      <c r="C3531" s="162" t="s">
        <v>1433</v>
      </c>
      <c r="D3531" s="162" t="s">
        <v>1434</v>
      </c>
      <c r="F3531" s="162" t="s">
        <v>8972</v>
      </c>
      <c r="G3531" s="162">
        <v>1</v>
      </c>
    </row>
    <row r="3532" spans="2:7" ht="72">
      <c r="B3532" s="162" t="s">
        <v>684</v>
      </c>
      <c r="C3532" s="162" t="s">
        <v>1435</v>
      </c>
      <c r="D3532" s="162" t="s">
        <v>1436</v>
      </c>
      <c r="F3532" s="162" t="s">
        <v>8972</v>
      </c>
      <c r="G3532" s="162">
        <v>1</v>
      </c>
    </row>
    <row r="3533" spans="2:7" ht="72">
      <c r="B3533" s="162" t="s">
        <v>684</v>
      </c>
      <c r="C3533" s="162" t="s">
        <v>1437</v>
      </c>
      <c r="D3533" s="162" t="s">
        <v>1438</v>
      </c>
      <c r="F3533" s="162" t="s">
        <v>8972</v>
      </c>
      <c r="G3533" s="162">
        <v>1</v>
      </c>
    </row>
    <row r="3534" spans="2:7" ht="72">
      <c r="B3534" s="162" t="s">
        <v>684</v>
      </c>
      <c r="C3534" s="162" t="s">
        <v>1439</v>
      </c>
      <c r="D3534" s="162" t="s">
        <v>1440</v>
      </c>
      <c r="F3534" s="162" t="s">
        <v>8972</v>
      </c>
      <c r="G3534" s="162">
        <v>1</v>
      </c>
    </row>
    <row r="3535" spans="2:7" ht="28.8">
      <c r="B3535" s="162" t="s">
        <v>684</v>
      </c>
      <c r="C3535" s="162" t="s">
        <v>1441</v>
      </c>
      <c r="D3535" s="162" t="s">
        <v>1442</v>
      </c>
      <c r="F3535" s="162">
        <v>1399</v>
      </c>
      <c r="G3535" s="162">
        <v>1</v>
      </c>
    </row>
    <row r="3536" spans="2:7" ht="28.8">
      <c r="B3536" s="162" t="s">
        <v>684</v>
      </c>
      <c r="C3536" s="162" t="s">
        <v>1443</v>
      </c>
      <c r="D3536" s="162" t="s">
        <v>1444</v>
      </c>
      <c r="F3536" s="162">
        <v>2850</v>
      </c>
      <c r="G3536" s="162">
        <v>1</v>
      </c>
    </row>
    <row r="3537" spans="2:7" ht="28.8">
      <c r="B3537" s="162" t="s">
        <v>684</v>
      </c>
      <c r="C3537" s="162" t="s">
        <v>1445</v>
      </c>
      <c r="D3537" s="162" t="s">
        <v>1446</v>
      </c>
      <c r="F3537" s="162">
        <v>4395</v>
      </c>
      <c r="G3537" s="162">
        <v>1</v>
      </c>
    </row>
    <row r="3538" spans="2:7" ht="28.8">
      <c r="B3538" s="162" t="s">
        <v>684</v>
      </c>
      <c r="C3538" s="162" t="s">
        <v>1447</v>
      </c>
      <c r="D3538" s="162" t="s">
        <v>1448</v>
      </c>
      <c r="F3538" s="162">
        <v>5995</v>
      </c>
      <c r="G3538" s="162">
        <v>1</v>
      </c>
    </row>
    <row r="3539" spans="2:7" ht="28.8">
      <c r="B3539" s="162" t="s">
        <v>684</v>
      </c>
      <c r="C3539" s="162" t="s">
        <v>1449</v>
      </c>
      <c r="D3539" s="162" t="s">
        <v>1450</v>
      </c>
      <c r="F3539" s="162">
        <v>11995</v>
      </c>
      <c r="G3539" s="162">
        <v>1</v>
      </c>
    </row>
    <row r="3540" spans="2:7" ht="28.8">
      <c r="B3540" s="162" t="s">
        <v>684</v>
      </c>
      <c r="C3540" s="162" t="s">
        <v>1451</v>
      </c>
      <c r="D3540" s="162" t="s">
        <v>1452</v>
      </c>
      <c r="F3540" s="162">
        <v>1795</v>
      </c>
      <c r="G3540" s="162">
        <v>1</v>
      </c>
    </row>
    <row r="3541" spans="2:7" ht="28.8">
      <c r="B3541" s="162" t="s">
        <v>684</v>
      </c>
      <c r="C3541" s="162" t="s">
        <v>1453</v>
      </c>
      <c r="D3541" s="162" t="s">
        <v>1454</v>
      </c>
      <c r="F3541" s="162">
        <v>3195</v>
      </c>
      <c r="G3541" s="162">
        <v>1</v>
      </c>
    </row>
    <row r="3542" spans="2:7" ht="28.8">
      <c r="B3542" s="162" t="s">
        <v>684</v>
      </c>
      <c r="C3542" s="162" t="s">
        <v>1455</v>
      </c>
      <c r="D3542" s="162" t="s">
        <v>1456</v>
      </c>
      <c r="F3542" s="162">
        <v>5275</v>
      </c>
      <c r="G3542" s="162">
        <v>1</v>
      </c>
    </row>
    <row r="3543" spans="2:7" ht="28.8">
      <c r="B3543" s="162" t="s">
        <v>684</v>
      </c>
      <c r="C3543" s="162" t="s">
        <v>1457</v>
      </c>
      <c r="D3543" s="162" t="s">
        <v>1458</v>
      </c>
      <c r="F3543" s="162">
        <v>2395</v>
      </c>
      <c r="G3543" s="162">
        <v>1</v>
      </c>
    </row>
    <row r="3544" spans="2:7" ht="28.8">
      <c r="B3544" s="162" t="s">
        <v>684</v>
      </c>
      <c r="C3544" s="162" t="s">
        <v>1459</v>
      </c>
      <c r="D3544" s="162" t="s">
        <v>1460</v>
      </c>
      <c r="F3544" s="162">
        <v>3795</v>
      </c>
      <c r="G3544" s="162">
        <v>1</v>
      </c>
    </row>
    <row r="3545" spans="2:7" ht="28.8">
      <c r="B3545" s="162" t="s">
        <v>684</v>
      </c>
      <c r="C3545" s="162" t="s">
        <v>1461</v>
      </c>
      <c r="D3545" s="162" t="s">
        <v>1462</v>
      </c>
      <c r="F3545" s="162">
        <v>8250</v>
      </c>
      <c r="G3545" s="162">
        <v>1</v>
      </c>
    </row>
    <row r="3546" spans="2:7" ht="43.2">
      <c r="B3546" s="162" t="s">
        <v>684</v>
      </c>
      <c r="C3546" s="162" t="s">
        <v>1463</v>
      </c>
      <c r="D3546" s="162" t="s">
        <v>1464</v>
      </c>
      <c r="F3546" s="162">
        <v>299</v>
      </c>
      <c r="G3546" s="162">
        <v>1</v>
      </c>
    </row>
    <row r="3547" spans="2:7">
      <c r="B3547" s="162" t="s">
        <v>684</v>
      </c>
      <c r="C3547" s="162" t="s">
        <v>1465</v>
      </c>
      <c r="D3547" s="162" t="s">
        <v>1466</v>
      </c>
      <c r="F3547" s="162">
        <v>109</v>
      </c>
      <c r="G3547" s="162">
        <v>1</v>
      </c>
    </row>
    <row r="3548" spans="2:7" ht="28.8">
      <c r="B3548" s="162" t="s">
        <v>684</v>
      </c>
      <c r="C3548" s="162" t="s">
        <v>1467</v>
      </c>
      <c r="D3548" s="162" t="s">
        <v>1468</v>
      </c>
      <c r="F3548" s="162">
        <v>59</v>
      </c>
      <c r="G3548" s="162">
        <v>1</v>
      </c>
    </row>
    <row r="3549" spans="2:7" ht="28.8">
      <c r="B3549" s="162" t="s">
        <v>684</v>
      </c>
      <c r="C3549" s="162" t="s">
        <v>1469</v>
      </c>
      <c r="D3549" s="162" t="s">
        <v>1470</v>
      </c>
      <c r="F3549" s="162">
        <v>59</v>
      </c>
      <c r="G3549" s="162">
        <v>1</v>
      </c>
    </row>
    <row r="3550" spans="2:7" ht="43.2">
      <c r="B3550" s="162" t="s">
        <v>684</v>
      </c>
      <c r="C3550" s="162" t="s">
        <v>1471</v>
      </c>
      <c r="D3550" s="162" t="s">
        <v>1472</v>
      </c>
      <c r="F3550" s="162">
        <v>1095</v>
      </c>
      <c r="G3550" s="162">
        <v>1</v>
      </c>
    </row>
    <row r="3551" spans="2:7">
      <c r="B3551" s="162" t="s">
        <v>684</v>
      </c>
      <c r="C3551" s="162" t="s">
        <v>1473</v>
      </c>
      <c r="D3551" s="162" t="s">
        <v>1474</v>
      </c>
      <c r="F3551" s="162">
        <v>129</v>
      </c>
      <c r="G3551" s="162">
        <v>1</v>
      </c>
    </row>
    <row r="3552" spans="2:7" ht="115.2">
      <c r="B3552" s="162" t="s">
        <v>685</v>
      </c>
      <c r="C3552" s="162" t="s">
        <v>1475</v>
      </c>
      <c r="D3552" s="162" t="s">
        <v>1476</v>
      </c>
      <c r="F3552" s="162">
        <v>7000</v>
      </c>
      <c r="G3552" s="162">
        <v>1</v>
      </c>
    </row>
    <row r="3553" spans="2:7" ht="43.2">
      <c r="B3553" s="162" t="s">
        <v>685</v>
      </c>
      <c r="C3553" s="162" t="s">
        <v>1477</v>
      </c>
      <c r="D3553" s="162" t="s">
        <v>1478</v>
      </c>
      <c r="F3553" s="162">
        <v>12000</v>
      </c>
      <c r="G3553" s="162">
        <v>1</v>
      </c>
    </row>
    <row r="3554" spans="2:7" ht="43.2">
      <c r="B3554" s="162" t="s">
        <v>685</v>
      </c>
      <c r="C3554" s="162" t="s">
        <v>1479</v>
      </c>
      <c r="D3554" s="162" t="s">
        <v>1480</v>
      </c>
      <c r="F3554" s="162">
        <v>12000</v>
      </c>
      <c r="G3554" s="162">
        <v>1</v>
      </c>
    </row>
    <row r="3555" spans="2:7" ht="57.6">
      <c r="B3555" s="162" t="s">
        <v>685</v>
      </c>
      <c r="C3555" s="162" t="s">
        <v>1481</v>
      </c>
      <c r="D3555" s="162" t="s">
        <v>1482</v>
      </c>
      <c r="F3555" s="162">
        <v>15000</v>
      </c>
      <c r="G3555" s="162">
        <v>1</v>
      </c>
    </row>
    <row r="3556" spans="2:7" ht="57.6">
      <c r="B3556" s="162" t="s">
        <v>685</v>
      </c>
      <c r="C3556" s="162" t="s">
        <v>1483</v>
      </c>
      <c r="D3556" s="162" t="s">
        <v>1484</v>
      </c>
      <c r="F3556" s="162">
        <v>15000</v>
      </c>
      <c r="G3556" s="162">
        <v>1</v>
      </c>
    </row>
    <row r="3557" spans="2:7" ht="43.2">
      <c r="B3557" s="162" t="s">
        <v>685</v>
      </c>
      <c r="C3557" s="162" t="s">
        <v>1485</v>
      </c>
      <c r="D3557" s="162" t="s">
        <v>1486</v>
      </c>
      <c r="F3557" s="162">
        <v>3000</v>
      </c>
      <c r="G3557" s="162">
        <v>1</v>
      </c>
    </row>
    <row r="3558" spans="2:7" ht="144">
      <c r="B3558" s="162" t="s">
        <v>685</v>
      </c>
      <c r="C3558" s="162" t="s">
        <v>1487</v>
      </c>
      <c r="D3558" s="162" t="s">
        <v>1488</v>
      </c>
      <c r="F3558" s="162">
        <v>7500</v>
      </c>
      <c r="G3558" s="162">
        <v>1</v>
      </c>
    </row>
    <row r="3559" spans="2:7" ht="129.6">
      <c r="B3559" s="162" t="s">
        <v>685</v>
      </c>
      <c r="C3559" s="162" t="s">
        <v>1489</v>
      </c>
      <c r="D3559" s="162" t="s">
        <v>1490</v>
      </c>
      <c r="F3559" s="162">
        <v>7500</v>
      </c>
      <c r="G3559" s="162">
        <v>1</v>
      </c>
    </row>
    <row r="3560" spans="2:7" ht="144">
      <c r="B3560" s="162" t="s">
        <v>685</v>
      </c>
      <c r="C3560" s="162" t="s">
        <v>1491</v>
      </c>
      <c r="D3560" s="162" t="s">
        <v>1492</v>
      </c>
      <c r="F3560" s="162">
        <v>12500</v>
      </c>
      <c r="G3560" s="162">
        <v>1</v>
      </c>
    </row>
    <row r="3561" spans="2:7" ht="129.6">
      <c r="B3561" s="162" t="s">
        <v>685</v>
      </c>
      <c r="C3561" s="162" t="s">
        <v>1493</v>
      </c>
      <c r="D3561" s="162" t="s">
        <v>1494</v>
      </c>
      <c r="F3561" s="162">
        <v>12500</v>
      </c>
      <c r="G3561" s="162">
        <v>1</v>
      </c>
    </row>
    <row r="3562" spans="2:7" ht="129.6">
      <c r="B3562" s="162" t="s">
        <v>685</v>
      </c>
      <c r="C3562" s="162" t="s">
        <v>1495</v>
      </c>
      <c r="D3562" s="162" t="s">
        <v>1496</v>
      </c>
      <c r="F3562" s="162">
        <v>6000</v>
      </c>
      <c r="G3562" s="162">
        <v>1</v>
      </c>
    </row>
    <row r="3563" spans="2:7" ht="115.2">
      <c r="B3563" s="162" t="s">
        <v>685</v>
      </c>
      <c r="C3563" s="162" t="s">
        <v>1497</v>
      </c>
      <c r="D3563" s="162" t="s">
        <v>1498</v>
      </c>
      <c r="F3563" s="162">
        <v>6000</v>
      </c>
      <c r="G3563" s="162">
        <v>1</v>
      </c>
    </row>
    <row r="3564" spans="2:7" ht="129.6">
      <c r="B3564" s="162" t="s">
        <v>685</v>
      </c>
      <c r="C3564" s="162" t="s">
        <v>1499</v>
      </c>
      <c r="D3564" s="162" t="s">
        <v>1500</v>
      </c>
      <c r="F3564" s="162">
        <v>9000</v>
      </c>
      <c r="G3564" s="162">
        <v>1</v>
      </c>
    </row>
    <row r="3565" spans="2:7" ht="115.2">
      <c r="B3565" s="162" t="s">
        <v>685</v>
      </c>
      <c r="C3565" s="162" t="s">
        <v>1501</v>
      </c>
      <c r="D3565" s="162" t="s">
        <v>1502</v>
      </c>
      <c r="F3565" s="162">
        <v>9000</v>
      </c>
      <c r="G3565" s="162">
        <v>1</v>
      </c>
    </row>
    <row r="3566" spans="2:7" ht="129.6">
      <c r="B3566" s="162" t="s">
        <v>685</v>
      </c>
      <c r="C3566" s="162" t="s">
        <v>1503</v>
      </c>
      <c r="D3566" s="162" t="s">
        <v>1504</v>
      </c>
      <c r="F3566" s="162">
        <v>6000</v>
      </c>
      <c r="G3566" s="162">
        <v>1</v>
      </c>
    </row>
    <row r="3567" spans="2:7" ht="115.2">
      <c r="B3567" s="162" t="s">
        <v>685</v>
      </c>
      <c r="C3567" s="162" t="s">
        <v>1505</v>
      </c>
      <c r="D3567" s="162" t="s">
        <v>1506</v>
      </c>
      <c r="F3567" s="162">
        <v>6000</v>
      </c>
      <c r="G3567" s="162">
        <v>1</v>
      </c>
    </row>
    <row r="3568" spans="2:7" ht="144">
      <c r="B3568" s="162" t="s">
        <v>685</v>
      </c>
      <c r="C3568" s="162" t="s">
        <v>1507</v>
      </c>
      <c r="D3568" s="162" t="s">
        <v>1508</v>
      </c>
      <c r="F3568" s="162">
        <v>7000</v>
      </c>
      <c r="G3568" s="162">
        <v>1</v>
      </c>
    </row>
    <row r="3569" spans="2:7" ht="144">
      <c r="B3569" s="162" t="s">
        <v>685</v>
      </c>
      <c r="C3569" s="162" t="s">
        <v>1509</v>
      </c>
      <c r="D3569" s="162" t="s">
        <v>1510</v>
      </c>
      <c r="F3569" s="162">
        <v>10000</v>
      </c>
      <c r="G3569" s="162">
        <v>1</v>
      </c>
    </row>
    <row r="3570" spans="2:7" ht="144">
      <c r="B3570" s="162" t="s">
        <v>685</v>
      </c>
      <c r="C3570" s="162" t="s">
        <v>1511</v>
      </c>
      <c r="D3570" s="162" t="s">
        <v>1512</v>
      </c>
      <c r="F3570" s="162">
        <v>7000</v>
      </c>
      <c r="G3570" s="162">
        <v>1</v>
      </c>
    </row>
    <row r="3571" spans="2:7" ht="158.4">
      <c r="B3571" s="162" t="s">
        <v>685</v>
      </c>
      <c r="C3571" s="162" t="s">
        <v>1513</v>
      </c>
      <c r="D3571" s="162" t="s">
        <v>1514</v>
      </c>
      <c r="F3571" s="162">
        <v>8000</v>
      </c>
      <c r="G3571" s="162">
        <v>1</v>
      </c>
    </row>
    <row r="3572" spans="2:7" ht="144">
      <c r="B3572" s="162" t="s">
        <v>685</v>
      </c>
      <c r="C3572" s="162" t="s">
        <v>1515</v>
      </c>
      <c r="D3572" s="162" t="s">
        <v>1516</v>
      </c>
      <c r="F3572" s="162">
        <v>8000</v>
      </c>
      <c r="G3572" s="162">
        <v>1</v>
      </c>
    </row>
    <row r="3573" spans="2:7" ht="158.4">
      <c r="B3573" s="162" t="s">
        <v>685</v>
      </c>
      <c r="C3573" s="162" t="s">
        <v>1517</v>
      </c>
      <c r="D3573" s="162" t="s">
        <v>1518</v>
      </c>
      <c r="F3573" s="162">
        <v>11000</v>
      </c>
      <c r="G3573" s="162">
        <v>1</v>
      </c>
    </row>
    <row r="3574" spans="2:7" ht="144">
      <c r="B3574" s="162" t="s">
        <v>685</v>
      </c>
      <c r="C3574" s="162" t="s">
        <v>1519</v>
      </c>
      <c r="D3574" s="162" t="s">
        <v>1520</v>
      </c>
      <c r="F3574" s="162">
        <v>11000</v>
      </c>
      <c r="G3574" s="162">
        <v>1</v>
      </c>
    </row>
    <row r="3575" spans="2:7" ht="144">
      <c r="B3575" s="162" t="s">
        <v>685</v>
      </c>
      <c r="C3575" s="162" t="s">
        <v>1521</v>
      </c>
      <c r="D3575" s="162" t="s">
        <v>1522</v>
      </c>
      <c r="F3575" s="162">
        <v>8000</v>
      </c>
      <c r="G3575" s="162">
        <v>1</v>
      </c>
    </row>
    <row r="3576" spans="2:7" ht="129.6">
      <c r="B3576" s="162" t="s">
        <v>685</v>
      </c>
      <c r="C3576" s="162" t="s">
        <v>1523</v>
      </c>
      <c r="D3576" s="162" t="s">
        <v>1524</v>
      </c>
      <c r="F3576" s="162">
        <v>8000</v>
      </c>
      <c r="G3576" s="162">
        <v>1</v>
      </c>
    </row>
    <row r="3577" spans="2:7" ht="158.4">
      <c r="B3577" s="162" t="s">
        <v>685</v>
      </c>
      <c r="C3577" s="162" t="s">
        <v>1525</v>
      </c>
      <c r="D3577" s="162" t="s">
        <v>1526</v>
      </c>
      <c r="F3577" s="162">
        <v>8000</v>
      </c>
      <c r="G3577" s="162">
        <v>1</v>
      </c>
    </row>
    <row r="3578" spans="2:7" ht="144">
      <c r="B3578" s="162" t="s">
        <v>685</v>
      </c>
      <c r="C3578" s="162" t="s">
        <v>1527</v>
      </c>
      <c r="D3578" s="162" t="s">
        <v>1528</v>
      </c>
      <c r="F3578" s="162">
        <v>8000</v>
      </c>
      <c r="G3578" s="162">
        <v>1</v>
      </c>
    </row>
    <row r="3579" spans="2:7" ht="158.4">
      <c r="B3579" s="162" t="s">
        <v>685</v>
      </c>
      <c r="C3579" s="162" t="s">
        <v>1529</v>
      </c>
      <c r="D3579" s="162" t="s">
        <v>1530</v>
      </c>
      <c r="F3579" s="162">
        <v>11000</v>
      </c>
      <c r="G3579" s="162">
        <v>1</v>
      </c>
    </row>
    <row r="3580" spans="2:7" ht="144">
      <c r="B3580" s="162" t="s">
        <v>685</v>
      </c>
      <c r="C3580" s="162" t="s">
        <v>1531</v>
      </c>
      <c r="D3580" s="162" t="s">
        <v>1532</v>
      </c>
      <c r="F3580" s="162">
        <v>11000</v>
      </c>
      <c r="G3580" s="162">
        <v>1</v>
      </c>
    </row>
    <row r="3581" spans="2:7" ht="158.4">
      <c r="B3581" s="162" t="s">
        <v>685</v>
      </c>
      <c r="C3581" s="162" t="s">
        <v>1533</v>
      </c>
      <c r="D3581" s="162" t="s">
        <v>1534</v>
      </c>
      <c r="F3581" s="162">
        <v>8000</v>
      </c>
      <c r="G3581" s="162">
        <v>1</v>
      </c>
    </row>
    <row r="3582" spans="2:7" ht="144">
      <c r="B3582" s="162" t="s">
        <v>685</v>
      </c>
      <c r="C3582" s="162" t="s">
        <v>1535</v>
      </c>
      <c r="D3582" s="162" t="s">
        <v>1536</v>
      </c>
      <c r="F3582" s="162">
        <v>8000</v>
      </c>
      <c r="G3582" s="162">
        <v>1</v>
      </c>
    </row>
    <row r="3583" spans="2:7" ht="72">
      <c r="B3583" s="162" t="s">
        <v>685</v>
      </c>
      <c r="C3583" s="162" t="s">
        <v>1537</v>
      </c>
      <c r="D3583" s="162" t="s">
        <v>1538</v>
      </c>
      <c r="F3583" s="162">
        <v>7000</v>
      </c>
      <c r="G3583" s="162">
        <v>1</v>
      </c>
    </row>
    <row r="3584" spans="2:7" ht="86.4">
      <c r="B3584" s="162" t="s">
        <v>685</v>
      </c>
      <c r="C3584" s="162" t="s">
        <v>1539</v>
      </c>
      <c r="D3584" s="162" t="s">
        <v>1540</v>
      </c>
      <c r="F3584" s="162">
        <v>7000</v>
      </c>
      <c r="G3584" s="162">
        <v>1</v>
      </c>
    </row>
    <row r="3585" spans="2:7" ht="86.4">
      <c r="B3585" s="162" t="s">
        <v>685</v>
      </c>
      <c r="C3585" s="162" t="s">
        <v>1541</v>
      </c>
      <c r="D3585" s="162" t="s">
        <v>1542</v>
      </c>
      <c r="F3585" s="162">
        <v>8500</v>
      </c>
      <c r="G3585" s="162">
        <v>1</v>
      </c>
    </row>
    <row r="3586" spans="2:7" ht="100.8">
      <c r="B3586" s="162" t="s">
        <v>685</v>
      </c>
      <c r="C3586" s="162" t="s">
        <v>1543</v>
      </c>
      <c r="D3586" s="162" t="s">
        <v>1544</v>
      </c>
      <c r="F3586" s="162">
        <v>8500</v>
      </c>
      <c r="G3586" s="162">
        <v>1</v>
      </c>
    </row>
    <row r="3587" spans="2:7" ht="43.2">
      <c r="B3587" s="162" t="s">
        <v>685</v>
      </c>
      <c r="C3587" s="162" t="s">
        <v>1545</v>
      </c>
      <c r="D3587" s="162" t="s">
        <v>1546</v>
      </c>
      <c r="F3587" s="162">
        <v>1500</v>
      </c>
      <c r="G3587" s="162">
        <v>1</v>
      </c>
    </row>
    <row r="3588" spans="2:7" ht="72">
      <c r="B3588" s="162" t="s">
        <v>685</v>
      </c>
      <c r="C3588" s="162" t="s">
        <v>1547</v>
      </c>
      <c r="D3588" s="162" t="s">
        <v>1548</v>
      </c>
      <c r="F3588" s="162">
        <v>4000</v>
      </c>
      <c r="G3588" s="162">
        <v>1</v>
      </c>
    </row>
    <row r="3589" spans="2:7" ht="72">
      <c r="B3589" s="162" t="s">
        <v>685</v>
      </c>
      <c r="C3589" s="162" t="s">
        <v>1549</v>
      </c>
      <c r="D3589" s="162" t="s">
        <v>1550</v>
      </c>
      <c r="F3589" s="162">
        <v>4000</v>
      </c>
      <c r="G3589" s="162">
        <v>1</v>
      </c>
    </row>
    <row r="3590" spans="2:7" ht="129.6">
      <c r="B3590" s="162" t="s">
        <v>685</v>
      </c>
      <c r="C3590" s="162" t="s">
        <v>1551</v>
      </c>
      <c r="D3590" s="162" t="s">
        <v>1552</v>
      </c>
      <c r="F3590" s="162">
        <v>5000</v>
      </c>
      <c r="G3590" s="162">
        <v>1</v>
      </c>
    </row>
    <row r="3591" spans="2:7" ht="115.2">
      <c r="B3591" s="162" t="s">
        <v>685</v>
      </c>
      <c r="C3591" s="162" t="s">
        <v>1553</v>
      </c>
      <c r="D3591" s="162" t="s">
        <v>1554</v>
      </c>
      <c r="F3591" s="162">
        <v>5000</v>
      </c>
      <c r="G3591" s="162">
        <v>1</v>
      </c>
    </row>
    <row r="3592" spans="2:7" ht="158.4">
      <c r="B3592" s="162" t="s">
        <v>685</v>
      </c>
      <c r="C3592" s="162" t="s">
        <v>1555</v>
      </c>
      <c r="D3592" s="162" t="s">
        <v>1556</v>
      </c>
      <c r="F3592" s="162">
        <v>6000</v>
      </c>
      <c r="G3592" s="162">
        <v>1</v>
      </c>
    </row>
    <row r="3593" spans="2:7" ht="144">
      <c r="B3593" s="162" t="s">
        <v>685</v>
      </c>
      <c r="C3593" s="162" t="s">
        <v>1557</v>
      </c>
      <c r="D3593" s="162" t="s">
        <v>1558</v>
      </c>
      <c r="F3593" s="162">
        <v>7000</v>
      </c>
      <c r="G3593" s="162">
        <v>1</v>
      </c>
    </row>
    <row r="3594" spans="2:7" ht="129.6">
      <c r="B3594" s="162" t="s">
        <v>685</v>
      </c>
      <c r="C3594" s="162" t="s">
        <v>1559</v>
      </c>
      <c r="D3594" s="162" t="s">
        <v>1560</v>
      </c>
      <c r="F3594" s="162">
        <v>6000</v>
      </c>
      <c r="G3594" s="162">
        <v>1</v>
      </c>
    </row>
    <row r="3595" spans="2:7" ht="100.8">
      <c r="B3595" s="162" t="s">
        <v>685</v>
      </c>
      <c r="C3595" s="162" t="s">
        <v>1561</v>
      </c>
      <c r="D3595" s="162" t="s">
        <v>1562</v>
      </c>
      <c r="F3595" s="162">
        <v>6000</v>
      </c>
      <c r="G3595" s="162">
        <v>1</v>
      </c>
    </row>
    <row r="3596" spans="2:7" ht="129.6">
      <c r="B3596" s="162" t="s">
        <v>685</v>
      </c>
      <c r="C3596" s="162" t="s">
        <v>1563</v>
      </c>
      <c r="D3596" s="162" t="s">
        <v>1564</v>
      </c>
      <c r="F3596" s="162">
        <v>7000</v>
      </c>
      <c r="G3596" s="162">
        <v>1</v>
      </c>
    </row>
    <row r="3597" spans="2:7" ht="115.2">
      <c r="B3597" s="162" t="s">
        <v>685</v>
      </c>
      <c r="C3597" s="162" t="s">
        <v>1565</v>
      </c>
      <c r="D3597" s="162" t="s">
        <v>1566</v>
      </c>
      <c r="F3597" s="162">
        <v>7000</v>
      </c>
      <c r="G3597" s="162">
        <v>1</v>
      </c>
    </row>
    <row r="3598" spans="2:7" ht="28.8">
      <c r="B3598" s="162" t="s">
        <v>685</v>
      </c>
      <c r="C3598" s="162" t="s">
        <v>1567</v>
      </c>
      <c r="D3598" s="162" t="s">
        <v>1568</v>
      </c>
      <c r="F3598" s="162">
        <v>2000</v>
      </c>
      <c r="G3598" s="162">
        <v>1</v>
      </c>
    </row>
    <row r="3599" spans="2:7" ht="100.8">
      <c r="B3599" s="162" t="s">
        <v>685</v>
      </c>
      <c r="C3599" s="162" t="s">
        <v>1569</v>
      </c>
      <c r="D3599" s="162" t="s">
        <v>1570</v>
      </c>
      <c r="F3599" s="162">
        <v>6000</v>
      </c>
      <c r="G3599" s="162">
        <v>1</v>
      </c>
    </row>
    <row r="3600" spans="2:7" ht="100.8">
      <c r="B3600" s="162" t="s">
        <v>685</v>
      </c>
      <c r="C3600" s="162" t="s">
        <v>1571</v>
      </c>
      <c r="D3600" s="162" t="s">
        <v>1572</v>
      </c>
      <c r="F3600" s="162">
        <v>5000</v>
      </c>
      <c r="G3600" s="162">
        <v>1</v>
      </c>
    </row>
    <row r="3601" spans="2:7" ht="86.4">
      <c r="B3601" s="162" t="s">
        <v>685</v>
      </c>
      <c r="C3601" s="162" t="s">
        <v>1573</v>
      </c>
      <c r="D3601" s="162" t="s">
        <v>1574</v>
      </c>
      <c r="F3601" s="162">
        <v>6000</v>
      </c>
      <c r="G3601" s="162">
        <v>1</v>
      </c>
    </row>
    <row r="3602" spans="2:7" ht="100.8">
      <c r="B3602" s="162" t="s">
        <v>685</v>
      </c>
      <c r="C3602" s="162" t="s">
        <v>1575</v>
      </c>
      <c r="D3602" s="162" t="s">
        <v>1576</v>
      </c>
      <c r="F3602" s="162">
        <v>6500</v>
      </c>
      <c r="G3602" s="162">
        <v>1</v>
      </c>
    </row>
    <row r="3603" spans="2:7" ht="28.8">
      <c r="B3603" s="162" t="s">
        <v>685</v>
      </c>
      <c r="C3603" s="162" t="s">
        <v>1577</v>
      </c>
      <c r="D3603" s="162" t="s">
        <v>1578</v>
      </c>
      <c r="F3603" s="162">
        <v>150</v>
      </c>
      <c r="G3603" s="162">
        <v>1</v>
      </c>
    </row>
    <row r="3604" spans="2:7" ht="28.8">
      <c r="B3604" s="162" t="s">
        <v>685</v>
      </c>
      <c r="C3604" s="162" t="s">
        <v>1579</v>
      </c>
      <c r="D3604" s="162" t="s">
        <v>1580</v>
      </c>
      <c r="F3604" s="162">
        <v>150</v>
      </c>
      <c r="G3604" s="162">
        <v>1</v>
      </c>
    </row>
    <row r="3605" spans="2:7" ht="28.8">
      <c r="B3605" s="162" t="s">
        <v>685</v>
      </c>
      <c r="C3605" s="162" t="s">
        <v>1581</v>
      </c>
      <c r="D3605" s="162" t="s">
        <v>1582</v>
      </c>
      <c r="F3605" s="162">
        <v>150</v>
      </c>
      <c r="G3605" s="162">
        <v>1</v>
      </c>
    </row>
    <row r="3606" spans="2:7" ht="28.8">
      <c r="B3606" s="162" t="s">
        <v>685</v>
      </c>
      <c r="C3606" s="162" t="s">
        <v>1583</v>
      </c>
      <c r="D3606" s="162" t="s">
        <v>1584</v>
      </c>
      <c r="F3606" s="162">
        <v>150</v>
      </c>
      <c r="G3606" s="162">
        <v>1</v>
      </c>
    </row>
    <row r="3607" spans="2:7" ht="43.2">
      <c r="B3607" s="162" t="s">
        <v>685</v>
      </c>
      <c r="C3607" s="162" t="s">
        <v>1585</v>
      </c>
      <c r="D3607" s="162" t="s">
        <v>1586</v>
      </c>
      <c r="F3607" s="162">
        <v>500</v>
      </c>
      <c r="G3607" s="162">
        <v>1</v>
      </c>
    </row>
    <row r="3608" spans="2:7" ht="57.6">
      <c r="B3608" s="162" t="s">
        <v>685</v>
      </c>
      <c r="C3608" s="162" t="s">
        <v>1587</v>
      </c>
      <c r="D3608" s="162" t="s">
        <v>1588</v>
      </c>
      <c r="F3608" s="162">
        <v>500</v>
      </c>
      <c r="G3608" s="162">
        <v>1</v>
      </c>
    </row>
    <row r="3609" spans="2:7" ht="28.8">
      <c r="B3609" s="162" t="s">
        <v>685</v>
      </c>
      <c r="C3609" s="162" t="s">
        <v>1589</v>
      </c>
      <c r="D3609" s="162" t="s">
        <v>1590</v>
      </c>
      <c r="F3609" s="162">
        <v>100</v>
      </c>
      <c r="G3609" s="162">
        <v>1</v>
      </c>
    </row>
    <row r="3610" spans="2:7" ht="28.8">
      <c r="B3610" s="162" t="s">
        <v>685</v>
      </c>
      <c r="C3610" s="162" t="s">
        <v>1591</v>
      </c>
      <c r="D3610" s="162" t="s">
        <v>1592</v>
      </c>
      <c r="F3610" s="162">
        <v>800</v>
      </c>
      <c r="G3610" s="162">
        <v>1</v>
      </c>
    </row>
    <row r="3611" spans="2:7">
      <c r="B3611" s="162" t="s">
        <v>685</v>
      </c>
      <c r="C3611" s="162" t="s">
        <v>1593</v>
      </c>
      <c r="D3611" s="162" t="s">
        <v>1594</v>
      </c>
      <c r="F3611" s="162">
        <v>25</v>
      </c>
      <c r="G3611" s="162">
        <v>1</v>
      </c>
    </row>
    <row r="3612" spans="2:7">
      <c r="B3612" s="162" t="s">
        <v>685</v>
      </c>
      <c r="C3612" s="162" t="s">
        <v>1595</v>
      </c>
      <c r="D3612" s="162" t="s">
        <v>1596</v>
      </c>
      <c r="F3612" s="162">
        <v>25</v>
      </c>
      <c r="G3612" s="162">
        <v>1</v>
      </c>
    </row>
    <row r="3613" spans="2:7" ht="57.6">
      <c r="B3613" s="162" t="s">
        <v>685</v>
      </c>
      <c r="C3613" s="162" t="s">
        <v>1597</v>
      </c>
      <c r="D3613" s="162" t="s">
        <v>1598</v>
      </c>
      <c r="F3613" s="162">
        <v>60</v>
      </c>
      <c r="G3613" s="162">
        <v>1</v>
      </c>
    </row>
    <row r="3614" spans="2:7" ht="57.6">
      <c r="B3614" s="162" t="s">
        <v>685</v>
      </c>
      <c r="C3614" s="162" t="s">
        <v>1599</v>
      </c>
      <c r="D3614" s="162" t="s">
        <v>1600</v>
      </c>
      <c r="F3614" s="162">
        <v>60</v>
      </c>
      <c r="G3614" s="162">
        <v>1</v>
      </c>
    </row>
    <row r="3615" spans="2:7" ht="57.6">
      <c r="B3615" s="162" t="s">
        <v>685</v>
      </c>
      <c r="C3615" s="162" t="s">
        <v>1601</v>
      </c>
      <c r="D3615" s="162" t="s">
        <v>1602</v>
      </c>
      <c r="F3615" s="162">
        <v>60</v>
      </c>
      <c r="G3615" s="162">
        <v>1</v>
      </c>
    </row>
    <row r="3616" spans="2:7" ht="28.8">
      <c r="B3616" s="162" t="s">
        <v>686</v>
      </c>
      <c r="C3616" s="162" t="s">
        <v>8973</v>
      </c>
      <c r="D3616" s="162" t="s">
        <v>8974</v>
      </c>
      <c r="F3616" s="162">
        <v>45</v>
      </c>
      <c r="G3616" s="162">
        <v>1</v>
      </c>
    </row>
    <row r="3617" spans="2:7" ht="28.8">
      <c r="B3617" s="162" t="s">
        <v>686</v>
      </c>
      <c r="C3617" s="162" t="s">
        <v>8975</v>
      </c>
      <c r="D3617" s="162" t="s">
        <v>8976</v>
      </c>
      <c r="F3617" s="162">
        <v>599</v>
      </c>
      <c r="G3617" s="162">
        <v>1</v>
      </c>
    </row>
    <row r="3618" spans="2:7" ht="28.8">
      <c r="B3618" s="162" t="s">
        <v>686</v>
      </c>
      <c r="C3618" s="162" t="s">
        <v>8977</v>
      </c>
      <c r="D3618" s="162" t="s">
        <v>8978</v>
      </c>
      <c r="F3618" s="162">
        <v>99</v>
      </c>
      <c r="G3618" s="162">
        <v>1</v>
      </c>
    </row>
    <row r="3619" spans="2:7" ht="28.8">
      <c r="B3619" s="162" t="s">
        <v>686</v>
      </c>
      <c r="C3619" s="162" t="s">
        <v>8979</v>
      </c>
      <c r="D3619" s="162" t="s">
        <v>8980</v>
      </c>
      <c r="F3619" s="162">
        <v>149</v>
      </c>
      <c r="G3619" s="162">
        <v>1</v>
      </c>
    </row>
    <row r="3620" spans="2:7" ht="28.8">
      <c r="B3620" s="162" t="s">
        <v>686</v>
      </c>
      <c r="C3620" s="162" t="s">
        <v>8981</v>
      </c>
      <c r="D3620" s="162" t="s">
        <v>8982</v>
      </c>
      <c r="F3620" s="162">
        <v>229</v>
      </c>
      <c r="G3620" s="162">
        <v>1</v>
      </c>
    </row>
    <row r="3621" spans="2:7" ht="28.8">
      <c r="B3621" s="162" t="s">
        <v>686</v>
      </c>
      <c r="C3621" s="162" t="s">
        <v>1603</v>
      </c>
      <c r="D3621" s="162" t="s">
        <v>8983</v>
      </c>
      <c r="F3621" s="162">
        <v>69</v>
      </c>
      <c r="G3621" s="162">
        <v>1</v>
      </c>
    </row>
    <row r="3622" spans="2:7" ht="28.8">
      <c r="B3622" s="162" t="s">
        <v>686</v>
      </c>
      <c r="C3622" s="162" t="s">
        <v>1604</v>
      </c>
      <c r="D3622" s="162" t="s">
        <v>8984</v>
      </c>
      <c r="F3622" s="162">
        <v>69</v>
      </c>
      <c r="G3622" s="162">
        <v>1</v>
      </c>
    </row>
    <row r="3623" spans="2:7" ht="28.8">
      <c r="B3623" s="162" t="s">
        <v>686</v>
      </c>
      <c r="C3623" s="162" t="s">
        <v>1605</v>
      </c>
      <c r="D3623" s="162" t="s">
        <v>8985</v>
      </c>
      <c r="F3623" s="162">
        <v>69</v>
      </c>
      <c r="G3623" s="162">
        <v>1</v>
      </c>
    </row>
    <row r="3624" spans="2:7" ht="28.8">
      <c r="B3624" s="162" t="s">
        <v>686</v>
      </c>
      <c r="C3624" s="162" t="s">
        <v>8986</v>
      </c>
      <c r="D3624" s="162" t="s">
        <v>8987</v>
      </c>
      <c r="F3624" s="162">
        <v>69</v>
      </c>
      <c r="G3624" s="162">
        <v>1</v>
      </c>
    </row>
    <row r="3625" spans="2:7" ht="28.8">
      <c r="B3625" s="162" t="s">
        <v>686</v>
      </c>
      <c r="C3625" s="162" t="s">
        <v>8988</v>
      </c>
      <c r="D3625" s="162" t="s">
        <v>8989</v>
      </c>
      <c r="F3625" s="162">
        <v>79</v>
      </c>
      <c r="G3625" s="162">
        <v>1</v>
      </c>
    </row>
    <row r="3626" spans="2:7" ht="28.8">
      <c r="B3626" s="162" t="s">
        <v>686</v>
      </c>
      <c r="C3626" s="162" t="s">
        <v>1606</v>
      </c>
      <c r="D3626" s="162" t="s">
        <v>8990</v>
      </c>
      <c r="F3626" s="162">
        <v>99</v>
      </c>
      <c r="G3626" s="162">
        <v>1</v>
      </c>
    </row>
    <row r="3627" spans="2:7" ht="28.8">
      <c r="B3627" s="162" t="s">
        <v>686</v>
      </c>
      <c r="C3627" s="162" t="s">
        <v>8991</v>
      </c>
      <c r="D3627" s="162" t="s">
        <v>8992</v>
      </c>
      <c r="F3627" s="162">
        <v>149</v>
      </c>
      <c r="G3627" s="162">
        <v>1</v>
      </c>
    </row>
    <row r="3628" spans="2:7" ht="28.8">
      <c r="B3628" s="162" t="s">
        <v>686</v>
      </c>
      <c r="C3628" s="162" t="s">
        <v>8993</v>
      </c>
      <c r="D3628" s="162" t="s">
        <v>8994</v>
      </c>
      <c r="F3628" s="162">
        <v>149</v>
      </c>
      <c r="G3628" s="162">
        <v>1</v>
      </c>
    </row>
    <row r="3629" spans="2:7" ht="28.8">
      <c r="B3629" s="162" t="s">
        <v>686</v>
      </c>
      <c r="C3629" s="162" t="s">
        <v>8995</v>
      </c>
      <c r="D3629" s="162" t="s">
        <v>8996</v>
      </c>
      <c r="F3629" s="162">
        <v>129</v>
      </c>
      <c r="G3629" s="162">
        <v>1</v>
      </c>
    </row>
    <row r="3630" spans="2:7" ht="28.8">
      <c r="B3630" s="162" t="s">
        <v>686</v>
      </c>
      <c r="C3630" s="162" t="s">
        <v>8997</v>
      </c>
      <c r="D3630" s="162" t="s">
        <v>8998</v>
      </c>
      <c r="F3630" s="162">
        <v>129</v>
      </c>
      <c r="G3630" s="162">
        <v>1</v>
      </c>
    </row>
    <row r="3631" spans="2:7" ht="28.8">
      <c r="B3631" s="162" t="s">
        <v>686</v>
      </c>
      <c r="C3631" s="162" t="s">
        <v>8999</v>
      </c>
      <c r="D3631" s="162" t="s">
        <v>9000</v>
      </c>
      <c r="F3631" s="162">
        <v>199</v>
      </c>
      <c r="G3631" s="162">
        <v>1</v>
      </c>
    </row>
    <row r="3632" spans="2:7" ht="28.8">
      <c r="B3632" s="162" t="s">
        <v>686</v>
      </c>
      <c r="C3632" s="162" t="s">
        <v>9001</v>
      </c>
      <c r="D3632" s="162" t="s">
        <v>9002</v>
      </c>
      <c r="F3632" s="162">
        <v>149</v>
      </c>
      <c r="G3632" s="162">
        <v>1</v>
      </c>
    </row>
    <row r="3633" spans="2:7" ht="28.8">
      <c r="B3633" s="162" t="s">
        <v>686</v>
      </c>
      <c r="C3633" s="162" t="s">
        <v>9003</v>
      </c>
      <c r="D3633" s="162" t="s">
        <v>9004</v>
      </c>
      <c r="F3633" s="162">
        <v>169</v>
      </c>
      <c r="G3633" s="162">
        <v>1</v>
      </c>
    </row>
    <row r="3634" spans="2:7" ht="28.8">
      <c r="B3634" s="162" t="s">
        <v>686</v>
      </c>
      <c r="C3634" s="162" t="s">
        <v>9005</v>
      </c>
      <c r="D3634" s="162" t="s">
        <v>9006</v>
      </c>
      <c r="F3634" s="162">
        <v>149</v>
      </c>
      <c r="G3634" s="162">
        <v>1</v>
      </c>
    </row>
    <row r="3635" spans="2:7" ht="43.2">
      <c r="B3635" s="162" t="s">
        <v>686</v>
      </c>
      <c r="C3635" s="162" t="s">
        <v>9007</v>
      </c>
      <c r="D3635" s="162" t="s">
        <v>9008</v>
      </c>
      <c r="F3635" s="162">
        <v>349</v>
      </c>
      <c r="G3635" s="162">
        <v>1</v>
      </c>
    </row>
    <row r="3636" spans="2:7" ht="43.2">
      <c r="B3636" s="162" t="s">
        <v>686</v>
      </c>
      <c r="C3636" s="162" t="s">
        <v>9009</v>
      </c>
      <c r="D3636" s="162" t="s">
        <v>9010</v>
      </c>
      <c r="F3636" s="162">
        <v>349</v>
      </c>
      <c r="G3636" s="162">
        <v>1</v>
      </c>
    </row>
    <row r="3637" spans="2:7" ht="28.8">
      <c r="B3637" s="162" t="s">
        <v>686</v>
      </c>
      <c r="C3637" s="162" t="s">
        <v>9011</v>
      </c>
      <c r="D3637" s="162" t="s">
        <v>9012</v>
      </c>
      <c r="F3637" s="162">
        <v>35</v>
      </c>
      <c r="G3637" s="162">
        <v>1</v>
      </c>
    </row>
    <row r="3638" spans="2:7" ht="28.8">
      <c r="B3638" s="162" t="s">
        <v>686</v>
      </c>
      <c r="C3638" s="162" t="s">
        <v>9013</v>
      </c>
      <c r="D3638" s="162" t="s">
        <v>9014</v>
      </c>
      <c r="F3638" s="162">
        <v>69</v>
      </c>
      <c r="G3638" s="162">
        <v>1</v>
      </c>
    </row>
    <row r="3639" spans="2:7" ht="28.8">
      <c r="B3639" s="162" t="s">
        <v>686</v>
      </c>
      <c r="C3639" s="162" t="s">
        <v>9015</v>
      </c>
      <c r="D3639" s="162" t="s">
        <v>9016</v>
      </c>
      <c r="F3639" s="162">
        <v>99</v>
      </c>
      <c r="G3639" s="162">
        <v>1</v>
      </c>
    </row>
    <row r="3640" spans="2:7" ht="28.8">
      <c r="B3640" s="162" t="s">
        <v>686</v>
      </c>
      <c r="C3640" s="162" t="s">
        <v>9017</v>
      </c>
      <c r="D3640" s="162" t="s">
        <v>9018</v>
      </c>
      <c r="F3640" s="162">
        <v>49</v>
      </c>
      <c r="G3640" s="162">
        <v>1</v>
      </c>
    </row>
    <row r="3641" spans="2:7" ht="28.8">
      <c r="B3641" s="162" t="s">
        <v>686</v>
      </c>
      <c r="C3641" s="162" t="s">
        <v>9019</v>
      </c>
      <c r="D3641" s="162" t="s">
        <v>9020</v>
      </c>
      <c r="F3641" s="162">
        <v>277</v>
      </c>
      <c r="G3641" s="162">
        <v>1</v>
      </c>
    </row>
    <row r="3642" spans="2:7" ht="28.8">
      <c r="B3642" s="162" t="s">
        <v>686</v>
      </c>
      <c r="C3642" s="162" t="s">
        <v>9021</v>
      </c>
      <c r="D3642" s="162" t="s">
        <v>9022</v>
      </c>
      <c r="F3642" s="162">
        <v>277</v>
      </c>
      <c r="G3642" s="162">
        <v>1</v>
      </c>
    </row>
    <row r="3643" spans="2:7" ht="28.8">
      <c r="B3643" s="162" t="s">
        <v>686</v>
      </c>
      <c r="C3643" s="162" t="s">
        <v>9023</v>
      </c>
      <c r="D3643" s="162" t="s">
        <v>9024</v>
      </c>
      <c r="F3643" s="162">
        <v>277</v>
      </c>
      <c r="G3643" s="162">
        <v>1</v>
      </c>
    </row>
    <row r="3644" spans="2:7" ht="28.8">
      <c r="B3644" s="162" t="s">
        <v>686</v>
      </c>
      <c r="C3644" s="162" t="s">
        <v>9025</v>
      </c>
      <c r="D3644" s="162" t="s">
        <v>9026</v>
      </c>
      <c r="F3644" s="162">
        <v>277</v>
      </c>
      <c r="G3644" s="162">
        <v>1</v>
      </c>
    </row>
    <row r="3645" spans="2:7" ht="28.8">
      <c r="B3645" s="162" t="s">
        <v>686</v>
      </c>
      <c r="C3645" s="162" t="s">
        <v>9027</v>
      </c>
      <c r="D3645" s="162" t="s">
        <v>9028</v>
      </c>
      <c r="F3645" s="162">
        <v>179</v>
      </c>
      <c r="G3645" s="162">
        <v>1</v>
      </c>
    </row>
    <row r="3646" spans="2:7" ht="28.8">
      <c r="B3646" s="162" t="s">
        <v>686</v>
      </c>
      <c r="C3646" s="162" t="s">
        <v>9029</v>
      </c>
      <c r="D3646" s="162" t="s">
        <v>9030</v>
      </c>
      <c r="F3646" s="162">
        <v>129</v>
      </c>
      <c r="G3646" s="162">
        <v>1</v>
      </c>
    </row>
    <row r="3647" spans="2:7" ht="28.8">
      <c r="B3647" s="162" t="s">
        <v>686</v>
      </c>
      <c r="C3647" s="162" t="s">
        <v>9031</v>
      </c>
      <c r="D3647" s="162" t="s">
        <v>9032</v>
      </c>
      <c r="F3647" s="162">
        <v>159</v>
      </c>
      <c r="G3647" s="162">
        <v>1</v>
      </c>
    </row>
    <row r="3648" spans="2:7" ht="28.8">
      <c r="B3648" s="162" t="s">
        <v>686</v>
      </c>
      <c r="C3648" s="162" t="s">
        <v>9033</v>
      </c>
      <c r="D3648" s="162" t="s">
        <v>9034</v>
      </c>
      <c r="F3648" s="162">
        <v>179</v>
      </c>
      <c r="G3648" s="162">
        <v>1</v>
      </c>
    </row>
    <row r="3649" spans="2:7" ht="28.8">
      <c r="B3649" s="162" t="s">
        <v>686</v>
      </c>
      <c r="C3649" s="162" t="s">
        <v>9035</v>
      </c>
      <c r="D3649" s="162" t="s">
        <v>9036</v>
      </c>
      <c r="F3649" s="162">
        <v>149</v>
      </c>
      <c r="G3649" s="162">
        <v>1</v>
      </c>
    </row>
    <row r="3650" spans="2:7" ht="28.8">
      <c r="B3650" s="162" t="s">
        <v>686</v>
      </c>
      <c r="C3650" s="162" t="s">
        <v>9037</v>
      </c>
      <c r="D3650" s="162" t="s">
        <v>9038</v>
      </c>
      <c r="F3650" s="162">
        <v>149</v>
      </c>
      <c r="G3650" s="162">
        <v>1</v>
      </c>
    </row>
    <row r="3651" spans="2:7" ht="28.8">
      <c r="B3651" s="162" t="s">
        <v>686</v>
      </c>
      <c r="C3651" s="162" t="s">
        <v>9039</v>
      </c>
      <c r="D3651" s="162" t="s">
        <v>9040</v>
      </c>
      <c r="F3651" s="162">
        <v>259</v>
      </c>
      <c r="G3651" s="162">
        <v>1</v>
      </c>
    </row>
    <row r="3652" spans="2:7" ht="28.8">
      <c r="B3652" s="162" t="s">
        <v>686</v>
      </c>
      <c r="C3652" s="162" t="s">
        <v>9041</v>
      </c>
      <c r="D3652" s="162" t="s">
        <v>9042</v>
      </c>
      <c r="F3652" s="162">
        <v>229</v>
      </c>
      <c r="G3652" s="162">
        <v>1</v>
      </c>
    </row>
    <row r="3653" spans="2:7" ht="28.8">
      <c r="B3653" s="162" t="s">
        <v>686</v>
      </c>
      <c r="C3653" s="162" t="s">
        <v>9043</v>
      </c>
      <c r="D3653" s="162" t="s">
        <v>9044</v>
      </c>
      <c r="F3653" s="162">
        <v>268</v>
      </c>
      <c r="G3653" s="162">
        <v>1</v>
      </c>
    </row>
    <row r="3654" spans="2:7" ht="28.8">
      <c r="B3654" s="162" t="s">
        <v>686</v>
      </c>
      <c r="C3654" s="162" t="s">
        <v>9045</v>
      </c>
      <c r="D3654" s="162" t="s">
        <v>9046</v>
      </c>
      <c r="F3654" s="162">
        <v>229</v>
      </c>
      <c r="G3654" s="162">
        <v>1</v>
      </c>
    </row>
    <row r="3655" spans="2:7" ht="28.8">
      <c r="B3655" s="162" t="s">
        <v>686</v>
      </c>
      <c r="C3655" s="162" t="s">
        <v>9047</v>
      </c>
      <c r="D3655" s="162" t="s">
        <v>9048</v>
      </c>
      <c r="F3655" s="162">
        <v>319</v>
      </c>
      <c r="G3655" s="162">
        <v>1</v>
      </c>
    </row>
    <row r="3656" spans="2:7" ht="28.8">
      <c r="B3656" s="162" t="s">
        <v>686</v>
      </c>
      <c r="C3656" s="162" t="s">
        <v>9049</v>
      </c>
      <c r="D3656" s="162" t="s">
        <v>9050</v>
      </c>
      <c r="F3656" s="162">
        <v>189</v>
      </c>
      <c r="G3656" s="162">
        <v>1</v>
      </c>
    </row>
    <row r="3657" spans="2:7" ht="28.8">
      <c r="B3657" s="162" t="s">
        <v>686</v>
      </c>
      <c r="C3657" s="162" t="s">
        <v>9051</v>
      </c>
      <c r="D3657" s="162" t="s">
        <v>9052</v>
      </c>
      <c r="F3657" s="162">
        <v>189</v>
      </c>
      <c r="G3657" s="162">
        <v>1</v>
      </c>
    </row>
    <row r="3658" spans="2:7" ht="28.8">
      <c r="B3658" s="162" t="s">
        <v>686</v>
      </c>
      <c r="C3658" s="162" t="s">
        <v>9053</v>
      </c>
      <c r="D3658" s="162" t="s">
        <v>9054</v>
      </c>
      <c r="F3658" s="162">
        <v>189</v>
      </c>
      <c r="G3658" s="162">
        <v>1</v>
      </c>
    </row>
    <row r="3659" spans="2:7" ht="28.8">
      <c r="B3659" s="162" t="s">
        <v>686</v>
      </c>
      <c r="C3659" s="162" t="s">
        <v>9055</v>
      </c>
      <c r="D3659" s="162" t="s">
        <v>9056</v>
      </c>
      <c r="F3659" s="162">
        <v>79</v>
      </c>
      <c r="G3659" s="162">
        <v>1</v>
      </c>
    </row>
    <row r="3660" spans="2:7" ht="28.8">
      <c r="B3660" s="162" t="s">
        <v>686</v>
      </c>
      <c r="C3660" s="162" t="s">
        <v>9057</v>
      </c>
      <c r="D3660" s="162" t="s">
        <v>9058</v>
      </c>
      <c r="F3660" s="162">
        <v>79</v>
      </c>
      <c r="G3660" s="162">
        <v>1</v>
      </c>
    </row>
    <row r="3661" spans="2:7" ht="28.8">
      <c r="B3661" s="162" t="s">
        <v>686</v>
      </c>
      <c r="C3661" s="162" t="s">
        <v>9059</v>
      </c>
      <c r="D3661" s="162" t="s">
        <v>9060</v>
      </c>
      <c r="F3661" s="162">
        <v>308</v>
      </c>
      <c r="G3661" s="162">
        <v>1</v>
      </c>
    </row>
    <row r="3662" spans="2:7" ht="28.8">
      <c r="B3662" s="162" t="s">
        <v>686</v>
      </c>
      <c r="C3662" s="162" t="s">
        <v>9061</v>
      </c>
      <c r="D3662" s="162" t="s">
        <v>9062</v>
      </c>
      <c r="F3662" s="162">
        <v>308</v>
      </c>
      <c r="G3662" s="162">
        <v>1</v>
      </c>
    </row>
    <row r="3663" spans="2:7" ht="28.8">
      <c r="B3663" s="162" t="s">
        <v>686</v>
      </c>
      <c r="C3663" s="162" t="s">
        <v>9063</v>
      </c>
      <c r="D3663" s="162" t="s">
        <v>9064</v>
      </c>
      <c r="F3663" s="162">
        <v>308</v>
      </c>
      <c r="G3663" s="162">
        <v>1</v>
      </c>
    </row>
    <row r="3664" spans="2:7" ht="28.8">
      <c r="B3664" s="162" t="s">
        <v>686</v>
      </c>
      <c r="C3664" s="162" t="s">
        <v>9065</v>
      </c>
      <c r="D3664" s="162" t="s">
        <v>9066</v>
      </c>
      <c r="F3664" s="162">
        <v>1649</v>
      </c>
      <c r="G3664" s="162">
        <v>1</v>
      </c>
    </row>
    <row r="3665" spans="2:7" ht="28.8">
      <c r="B3665" s="162" t="s">
        <v>686</v>
      </c>
      <c r="C3665" s="162" t="s">
        <v>9067</v>
      </c>
      <c r="D3665" s="162" t="s">
        <v>9068</v>
      </c>
      <c r="F3665" s="162">
        <v>599</v>
      </c>
      <c r="G3665" s="162">
        <v>1</v>
      </c>
    </row>
    <row r="3666" spans="2:7" ht="28.8">
      <c r="B3666" s="162" t="s">
        <v>686</v>
      </c>
      <c r="C3666" s="162" t="s">
        <v>9069</v>
      </c>
      <c r="D3666" s="162" t="s">
        <v>9070</v>
      </c>
      <c r="F3666" s="162">
        <v>159</v>
      </c>
      <c r="G3666" s="162">
        <v>1</v>
      </c>
    </row>
    <row r="3667" spans="2:7" ht="28.8">
      <c r="B3667" s="162" t="s">
        <v>686</v>
      </c>
      <c r="C3667" s="162" t="s">
        <v>9071</v>
      </c>
      <c r="D3667" s="162" t="s">
        <v>9072</v>
      </c>
      <c r="F3667" s="162">
        <v>159</v>
      </c>
      <c r="G3667" s="162">
        <v>1</v>
      </c>
    </row>
    <row r="3668" spans="2:7" ht="28.8">
      <c r="B3668" s="162" t="s">
        <v>686</v>
      </c>
      <c r="C3668" s="162" t="s">
        <v>9073</v>
      </c>
      <c r="D3668" s="162" t="s">
        <v>9074</v>
      </c>
      <c r="F3668" s="162">
        <v>79</v>
      </c>
      <c r="G3668" s="162">
        <v>1</v>
      </c>
    </row>
    <row r="3669" spans="2:7" ht="28.8">
      <c r="B3669" s="162" t="s">
        <v>686</v>
      </c>
      <c r="C3669" s="162" t="s">
        <v>9075</v>
      </c>
      <c r="D3669" s="162" t="s">
        <v>9076</v>
      </c>
      <c r="F3669" s="162">
        <v>79</v>
      </c>
      <c r="G3669" s="162">
        <v>1</v>
      </c>
    </row>
    <row r="3670" spans="2:7" ht="28.8">
      <c r="B3670" s="162" t="s">
        <v>686</v>
      </c>
      <c r="C3670" s="162" t="s">
        <v>9077</v>
      </c>
      <c r="D3670" s="162" t="s">
        <v>9078</v>
      </c>
      <c r="F3670" s="162">
        <v>199</v>
      </c>
      <c r="G3670" s="162">
        <v>1</v>
      </c>
    </row>
    <row r="3671" spans="2:7" ht="28.8">
      <c r="B3671" s="162" t="s">
        <v>686</v>
      </c>
      <c r="C3671" s="162" t="s">
        <v>9079</v>
      </c>
      <c r="D3671" s="162" t="s">
        <v>9080</v>
      </c>
      <c r="F3671" s="162">
        <v>199</v>
      </c>
      <c r="G3671" s="162">
        <v>1</v>
      </c>
    </row>
    <row r="3672" spans="2:7" ht="28.8">
      <c r="B3672" s="162" t="s">
        <v>686</v>
      </c>
      <c r="C3672" s="162" t="s">
        <v>9081</v>
      </c>
      <c r="D3672" s="162" t="s">
        <v>9082</v>
      </c>
      <c r="F3672" s="162">
        <v>119</v>
      </c>
      <c r="G3672" s="162">
        <v>1</v>
      </c>
    </row>
    <row r="3673" spans="2:7" ht="28.8">
      <c r="B3673" s="162" t="s">
        <v>686</v>
      </c>
      <c r="C3673" s="162" t="s">
        <v>9083</v>
      </c>
      <c r="D3673" s="162" t="s">
        <v>9084</v>
      </c>
      <c r="F3673" s="162">
        <v>119</v>
      </c>
      <c r="G3673" s="162">
        <v>1</v>
      </c>
    </row>
    <row r="3674" spans="2:7" ht="28.8">
      <c r="B3674" s="162" t="s">
        <v>686</v>
      </c>
      <c r="C3674" s="162" t="s">
        <v>9085</v>
      </c>
      <c r="D3674" s="162" t="s">
        <v>9086</v>
      </c>
      <c r="F3674" s="162">
        <v>59</v>
      </c>
      <c r="G3674" s="162">
        <v>1</v>
      </c>
    </row>
    <row r="3675" spans="2:7" ht="28.8">
      <c r="B3675" s="162" t="s">
        <v>686</v>
      </c>
      <c r="C3675" s="162" t="s">
        <v>9087</v>
      </c>
      <c r="D3675" s="162" t="s">
        <v>9088</v>
      </c>
      <c r="F3675" s="162">
        <v>59</v>
      </c>
      <c r="G3675" s="162">
        <v>1</v>
      </c>
    </row>
    <row r="3676" spans="2:7" ht="28.8">
      <c r="B3676" s="162" t="s">
        <v>686</v>
      </c>
      <c r="C3676" s="162" t="s">
        <v>9089</v>
      </c>
      <c r="D3676" s="162" t="s">
        <v>9090</v>
      </c>
      <c r="F3676" s="162">
        <v>1379</v>
      </c>
      <c r="G3676" s="162">
        <v>1</v>
      </c>
    </row>
    <row r="3677" spans="2:7" ht="28.8">
      <c r="B3677" s="162" t="s">
        <v>686</v>
      </c>
      <c r="C3677" s="162" t="s">
        <v>9091</v>
      </c>
      <c r="D3677" s="162" t="s">
        <v>9092</v>
      </c>
      <c r="F3677" s="162">
        <v>1819</v>
      </c>
      <c r="G3677" s="162">
        <v>1</v>
      </c>
    </row>
    <row r="3678" spans="2:7" ht="28.8">
      <c r="B3678" s="162" t="s">
        <v>686</v>
      </c>
      <c r="C3678" s="162" t="s">
        <v>9093</v>
      </c>
      <c r="D3678" s="162" t="s">
        <v>9094</v>
      </c>
      <c r="F3678" s="162">
        <v>85</v>
      </c>
      <c r="G3678" s="162">
        <v>1</v>
      </c>
    </row>
    <row r="3679" spans="2:7" ht="28.8">
      <c r="B3679" s="162" t="s">
        <v>686</v>
      </c>
      <c r="C3679" s="162" t="s">
        <v>9095</v>
      </c>
      <c r="D3679" s="162" t="s">
        <v>9096</v>
      </c>
      <c r="F3679" s="162">
        <v>1799</v>
      </c>
      <c r="G3679" s="162">
        <v>1</v>
      </c>
    </row>
    <row r="3680" spans="2:7" ht="28.8">
      <c r="B3680" s="162" t="s">
        <v>686</v>
      </c>
      <c r="C3680" s="162" t="s">
        <v>9097</v>
      </c>
      <c r="D3680" s="162" t="s">
        <v>9098</v>
      </c>
      <c r="F3680" s="162">
        <v>1650</v>
      </c>
      <c r="G3680" s="162">
        <v>1</v>
      </c>
    </row>
    <row r="3681" spans="2:7" ht="28.8">
      <c r="B3681" s="162" t="s">
        <v>686</v>
      </c>
      <c r="C3681" s="162" t="s">
        <v>9099</v>
      </c>
      <c r="D3681" s="162" t="s">
        <v>9100</v>
      </c>
      <c r="F3681" s="162">
        <v>2279</v>
      </c>
      <c r="G3681" s="162">
        <v>1</v>
      </c>
    </row>
    <row r="3682" spans="2:7" ht="28.8">
      <c r="B3682" s="162" t="s">
        <v>686</v>
      </c>
      <c r="C3682" s="162" t="s">
        <v>9101</v>
      </c>
      <c r="D3682" s="162" t="s">
        <v>9102</v>
      </c>
      <c r="F3682" s="162">
        <v>1699</v>
      </c>
      <c r="G3682" s="162">
        <v>1</v>
      </c>
    </row>
    <row r="3683" spans="2:7" ht="28.8">
      <c r="B3683" s="162" t="s">
        <v>686</v>
      </c>
      <c r="C3683" s="162" t="s">
        <v>9103</v>
      </c>
      <c r="D3683" s="162" t="s">
        <v>9104</v>
      </c>
      <c r="F3683" s="162">
        <v>1699</v>
      </c>
      <c r="G3683" s="162">
        <v>1</v>
      </c>
    </row>
    <row r="3684" spans="2:7" ht="28.8">
      <c r="B3684" s="162" t="s">
        <v>686</v>
      </c>
      <c r="C3684" s="162" t="s">
        <v>9105</v>
      </c>
      <c r="D3684" s="162" t="s">
        <v>9106</v>
      </c>
      <c r="F3684" s="162">
        <v>1699</v>
      </c>
      <c r="G3684" s="162">
        <v>1</v>
      </c>
    </row>
    <row r="3685" spans="2:7" ht="28.8">
      <c r="B3685" s="162" t="s">
        <v>686</v>
      </c>
      <c r="C3685" s="162" t="s">
        <v>9107</v>
      </c>
      <c r="D3685" s="162" t="s">
        <v>9108</v>
      </c>
      <c r="F3685" s="162">
        <v>1699</v>
      </c>
      <c r="G3685" s="162">
        <v>1</v>
      </c>
    </row>
    <row r="3686" spans="2:7" ht="28.8">
      <c r="B3686" s="162" t="s">
        <v>686</v>
      </c>
      <c r="C3686" s="162" t="s">
        <v>9109</v>
      </c>
      <c r="D3686" s="162" t="s">
        <v>9110</v>
      </c>
      <c r="F3686" s="162">
        <v>1699</v>
      </c>
      <c r="G3686" s="162">
        <v>1</v>
      </c>
    </row>
    <row r="3687" spans="2:7" ht="28.8">
      <c r="B3687" s="162" t="s">
        <v>686</v>
      </c>
      <c r="C3687" s="162" t="s">
        <v>9111</v>
      </c>
      <c r="D3687" s="162" t="s">
        <v>9112</v>
      </c>
      <c r="F3687" s="162">
        <v>139</v>
      </c>
      <c r="G3687" s="162">
        <v>1</v>
      </c>
    </row>
    <row r="3688" spans="2:7" ht="28.8">
      <c r="B3688" s="162" t="s">
        <v>686</v>
      </c>
      <c r="C3688" s="162" t="s">
        <v>9113</v>
      </c>
      <c r="D3688" s="162" t="s">
        <v>9114</v>
      </c>
      <c r="F3688" s="162">
        <v>149</v>
      </c>
      <c r="G3688" s="162">
        <v>1</v>
      </c>
    </row>
    <row r="3689" spans="2:7" ht="28.8">
      <c r="B3689" s="162" t="s">
        <v>686</v>
      </c>
      <c r="C3689" s="162" t="s">
        <v>9115</v>
      </c>
      <c r="D3689" s="162" t="s">
        <v>9116</v>
      </c>
      <c r="F3689" s="162">
        <v>159</v>
      </c>
      <c r="G3689" s="162">
        <v>1</v>
      </c>
    </row>
    <row r="3690" spans="2:7" ht="28.8">
      <c r="B3690" s="162" t="s">
        <v>686</v>
      </c>
      <c r="C3690" s="162" t="s">
        <v>9117</v>
      </c>
      <c r="D3690" s="162" t="s">
        <v>9118</v>
      </c>
      <c r="F3690" s="162">
        <v>129</v>
      </c>
      <c r="G3690" s="162">
        <v>1</v>
      </c>
    </row>
    <row r="3691" spans="2:7" ht="28.8">
      <c r="B3691" s="162" t="s">
        <v>686</v>
      </c>
      <c r="C3691" s="162" t="s">
        <v>9119</v>
      </c>
      <c r="D3691" s="162" t="s">
        <v>9120</v>
      </c>
      <c r="F3691" s="162">
        <v>139</v>
      </c>
      <c r="G3691" s="162">
        <v>1</v>
      </c>
    </row>
    <row r="3692" spans="2:7" ht="28.8">
      <c r="B3692" s="162" t="s">
        <v>686</v>
      </c>
      <c r="C3692" s="162" t="s">
        <v>9121</v>
      </c>
      <c r="D3692" s="162" t="s">
        <v>9122</v>
      </c>
      <c r="F3692" s="162">
        <v>219</v>
      </c>
      <c r="G3692" s="162">
        <v>1</v>
      </c>
    </row>
    <row r="3693" spans="2:7" ht="28.8">
      <c r="B3693" s="162" t="s">
        <v>686</v>
      </c>
      <c r="C3693" s="162" t="s">
        <v>9123</v>
      </c>
      <c r="D3693" s="162" t="s">
        <v>9124</v>
      </c>
      <c r="F3693" s="162">
        <v>299</v>
      </c>
      <c r="G3693" s="162">
        <v>1</v>
      </c>
    </row>
    <row r="3694" spans="2:7" ht="28.8">
      <c r="B3694" s="162" t="s">
        <v>686</v>
      </c>
      <c r="C3694" s="162" t="s">
        <v>9125</v>
      </c>
      <c r="D3694" s="162" t="s">
        <v>9126</v>
      </c>
      <c r="F3694" s="162">
        <v>199</v>
      </c>
      <c r="G3694" s="162">
        <v>1</v>
      </c>
    </row>
    <row r="3695" spans="2:7" ht="28.8">
      <c r="B3695" s="162" t="s">
        <v>686</v>
      </c>
      <c r="C3695" s="162" t="s">
        <v>9127</v>
      </c>
      <c r="D3695" s="162" t="s">
        <v>9128</v>
      </c>
      <c r="F3695" s="162">
        <v>199</v>
      </c>
      <c r="G3695" s="162">
        <v>1</v>
      </c>
    </row>
    <row r="3696" spans="2:7" ht="28.8">
      <c r="B3696" s="162" t="s">
        <v>686</v>
      </c>
      <c r="C3696" s="162" t="s">
        <v>9129</v>
      </c>
      <c r="D3696" s="162" t="s">
        <v>9130</v>
      </c>
      <c r="F3696" s="162">
        <v>199</v>
      </c>
      <c r="G3696" s="162">
        <v>1</v>
      </c>
    </row>
    <row r="3697" spans="2:7" ht="28.8">
      <c r="B3697" s="162" t="s">
        <v>686</v>
      </c>
      <c r="C3697" s="162" t="s">
        <v>9131</v>
      </c>
      <c r="D3697" s="162" t="s">
        <v>9132</v>
      </c>
      <c r="F3697" s="162">
        <v>199</v>
      </c>
      <c r="G3697" s="162">
        <v>1</v>
      </c>
    </row>
    <row r="3698" spans="2:7" ht="28.8">
      <c r="B3698" s="162" t="s">
        <v>686</v>
      </c>
      <c r="C3698" s="162" t="s">
        <v>9133</v>
      </c>
      <c r="D3698" s="162" t="s">
        <v>9134</v>
      </c>
      <c r="F3698" s="162">
        <v>129</v>
      </c>
      <c r="G3698" s="162">
        <v>1</v>
      </c>
    </row>
    <row r="3699" spans="2:7" ht="28.8">
      <c r="B3699" s="162" t="s">
        <v>686</v>
      </c>
      <c r="C3699" s="162" t="s">
        <v>9135</v>
      </c>
      <c r="D3699" s="162" t="s">
        <v>9136</v>
      </c>
      <c r="F3699" s="162">
        <v>129</v>
      </c>
      <c r="G3699" s="162">
        <v>1</v>
      </c>
    </row>
    <row r="3700" spans="2:7" ht="28.8">
      <c r="B3700" s="162" t="s">
        <v>686</v>
      </c>
      <c r="C3700" s="162" t="s">
        <v>9137</v>
      </c>
      <c r="D3700" s="162" t="s">
        <v>9138</v>
      </c>
      <c r="F3700" s="162">
        <v>149</v>
      </c>
      <c r="G3700" s="162">
        <v>1</v>
      </c>
    </row>
    <row r="3701" spans="2:7" ht="28.8">
      <c r="B3701" s="162" t="s">
        <v>686</v>
      </c>
      <c r="C3701" s="162" t="s">
        <v>9139</v>
      </c>
      <c r="D3701" s="162" t="s">
        <v>9140</v>
      </c>
      <c r="F3701" s="162">
        <v>1299</v>
      </c>
      <c r="G3701" s="162">
        <v>1</v>
      </c>
    </row>
    <row r="3702" spans="2:7" ht="28.8">
      <c r="B3702" s="162" t="s">
        <v>686</v>
      </c>
      <c r="C3702" s="162" t="s">
        <v>9141</v>
      </c>
      <c r="D3702" s="162" t="s">
        <v>9142</v>
      </c>
      <c r="F3702" s="162">
        <v>1299</v>
      </c>
      <c r="G3702" s="162">
        <v>1</v>
      </c>
    </row>
    <row r="3703" spans="2:7" ht="28.8">
      <c r="B3703" s="162" t="s">
        <v>686</v>
      </c>
      <c r="C3703" s="162" t="s">
        <v>9143</v>
      </c>
      <c r="D3703" s="162" t="s">
        <v>9144</v>
      </c>
      <c r="F3703" s="162">
        <v>1299</v>
      </c>
      <c r="G3703" s="162">
        <v>1</v>
      </c>
    </row>
    <row r="3704" spans="2:7" ht="28.8">
      <c r="B3704" s="162" t="s">
        <v>686</v>
      </c>
      <c r="C3704" s="162" t="s">
        <v>9145</v>
      </c>
      <c r="D3704" s="162" t="s">
        <v>9146</v>
      </c>
      <c r="F3704" s="162">
        <v>1299</v>
      </c>
      <c r="G3704" s="162">
        <v>1</v>
      </c>
    </row>
    <row r="3705" spans="2:7" ht="28.8">
      <c r="B3705" s="162" t="s">
        <v>686</v>
      </c>
      <c r="C3705" s="162" t="s">
        <v>9147</v>
      </c>
      <c r="D3705" s="162" t="s">
        <v>9148</v>
      </c>
      <c r="F3705" s="162">
        <v>1299</v>
      </c>
      <c r="G3705" s="162">
        <v>1</v>
      </c>
    </row>
    <row r="3706" spans="2:7" ht="28.8">
      <c r="B3706" s="162" t="s">
        <v>686</v>
      </c>
      <c r="C3706" s="162" t="s">
        <v>9149</v>
      </c>
      <c r="D3706" s="162" t="s">
        <v>9150</v>
      </c>
      <c r="F3706" s="162">
        <v>1299</v>
      </c>
      <c r="G3706" s="162">
        <v>1</v>
      </c>
    </row>
    <row r="3707" spans="2:7" ht="28.8">
      <c r="B3707" s="162" t="s">
        <v>686</v>
      </c>
      <c r="C3707" s="162" t="s">
        <v>9151</v>
      </c>
      <c r="D3707" s="162" t="s">
        <v>9152</v>
      </c>
      <c r="F3707" s="162">
        <v>1299</v>
      </c>
      <c r="G3707" s="162">
        <v>1</v>
      </c>
    </row>
    <row r="3708" spans="2:7" ht="28.8">
      <c r="B3708" s="162" t="s">
        <v>686</v>
      </c>
      <c r="C3708" s="162" t="s">
        <v>9153</v>
      </c>
      <c r="D3708" s="162" t="s">
        <v>9154</v>
      </c>
      <c r="F3708" s="162">
        <v>949</v>
      </c>
      <c r="G3708" s="162">
        <v>1</v>
      </c>
    </row>
    <row r="3709" spans="2:7" ht="28.8">
      <c r="B3709" s="162" t="s">
        <v>686</v>
      </c>
      <c r="C3709" s="162" t="s">
        <v>9155</v>
      </c>
      <c r="D3709" s="162" t="s">
        <v>9156</v>
      </c>
      <c r="F3709" s="162">
        <v>1199</v>
      </c>
      <c r="G3709" s="162">
        <v>1</v>
      </c>
    </row>
    <row r="3710" spans="2:7" ht="28.8">
      <c r="B3710" s="162" t="s">
        <v>686</v>
      </c>
      <c r="C3710" s="162" t="s">
        <v>9157</v>
      </c>
      <c r="D3710" s="162" t="s">
        <v>9158</v>
      </c>
      <c r="F3710" s="162">
        <v>49</v>
      </c>
      <c r="G3710" s="162">
        <v>1</v>
      </c>
    </row>
    <row r="3711" spans="2:7" ht="28.8">
      <c r="B3711" s="162" t="s">
        <v>686</v>
      </c>
      <c r="C3711" s="162" t="s">
        <v>9159</v>
      </c>
      <c r="D3711" s="162" t="s">
        <v>9160</v>
      </c>
      <c r="F3711" s="162">
        <v>779</v>
      </c>
      <c r="G3711" s="162">
        <v>1</v>
      </c>
    </row>
    <row r="3712" spans="2:7" ht="28.8">
      <c r="B3712" s="162" t="s">
        <v>686</v>
      </c>
      <c r="C3712" s="162" t="s">
        <v>9161</v>
      </c>
      <c r="D3712" s="162" t="s">
        <v>9162</v>
      </c>
      <c r="F3712" s="162">
        <v>779</v>
      </c>
      <c r="G3712" s="162">
        <v>1</v>
      </c>
    </row>
    <row r="3713" spans="2:7" ht="28.8">
      <c r="B3713" s="162" t="s">
        <v>686</v>
      </c>
      <c r="C3713" s="162" t="s">
        <v>9163</v>
      </c>
      <c r="D3713" s="162" t="s">
        <v>9164</v>
      </c>
      <c r="F3713" s="162">
        <v>779</v>
      </c>
      <c r="G3713" s="162">
        <v>1</v>
      </c>
    </row>
    <row r="3714" spans="2:7" ht="28.8">
      <c r="B3714" s="162" t="s">
        <v>686</v>
      </c>
      <c r="C3714" s="162" t="s">
        <v>9165</v>
      </c>
      <c r="D3714" s="162" t="s">
        <v>9166</v>
      </c>
      <c r="F3714" s="162">
        <v>779</v>
      </c>
      <c r="G3714" s="162">
        <v>1</v>
      </c>
    </row>
    <row r="3715" spans="2:7" ht="28.8">
      <c r="B3715" s="162" t="s">
        <v>686</v>
      </c>
      <c r="C3715" s="162" t="s">
        <v>9167</v>
      </c>
      <c r="D3715" s="162" t="s">
        <v>9168</v>
      </c>
      <c r="F3715" s="162">
        <v>779</v>
      </c>
      <c r="G3715" s="162">
        <v>1</v>
      </c>
    </row>
    <row r="3716" spans="2:7" ht="28.8">
      <c r="B3716" s="162" t="s">
        <v>686</v>
      </c>
      <c r="C3716" s="162" t="s">
        <v>9169</v>
      </c>
      <c r="D3716" s="162" t="s">
        <v>9170</v>
      </c>
      <c r="F3716" s="162">
        <v>399</v>
      </c>
      <c r="G3716" s="162">
        <v>1</v>
      </c>
    </row>
    <row r="3717" spans="2:7" ht="28.8">
      <c r="B3717" s="162" t="s">
        <v>686</v>
      </c>
      <c r="C3717" s="162" t="s">
        <v>9171</v>
      </c>
      <c r="D3717" s="162" t="s">
        <v>9172</v>
      </c>
      <c r="F3717" s="162">
        <v>149</v>
      </c>
      <c r="G3717" s="162">
        <v>1</v>
      </c>
    </row>
    <row r="3718" spans="2:7" ht="28.8">
      <c r="B3718" s="162" t="s">
        <v>686</v>
      </c>
      <c r="C3718" s="162" t="s">
        <v>9173</v>
      </c>
      <c r="D3718" s="162" t="s">
        <v>9174</v>
      </c>
      <c r="F3718" s="162">
        <v>119</v>
      </c>
      <c r="G3718" s="162">
        <v>1</v>
      </c>
    </row>
    <row r="3719" spans="2:7" ht="28.8">
      <c r="B3719" s="162" t="s">
        <v>686</v>
      </c>
      <c r="C3719" s="162" t="s">
        <v>9175</v>
      </c>
      <c r="D3719" s="162" t="s">
        <v>9176</v>
      </c>
      <c r="F3719" s="162">
        <v>49</v>
      </c>
      <c r="G3719" s="162">
        <v>1</v>
      </c>
    </row>
    <row r="3720" spans="2:7" ht="28.8">
      <c r="B3720" s="162" t="s">
        <v>686</v>
      </c>
      <c r="C3720" s="162" t="s">
        <v>9177</v>
      </c>
      <c r="D3720" s="162" t="s">
        <v>9178</v>
      </c>
      <c r="F3720" s="162">
        <v>699</v>
      </c>
      <c r="G3720" s="162">
        <v>1</v>
      </c>
    </row>
    <row r="3721" spans="2:7" ht="28.8">
      <c r="B3721" s="162" t="s">
        <v>686</v>
      </c>
      <c r="C3721" s="162" t="s">
        <v>9179</v>
      </c>
      <c r="D3721" s="162" t="s">
        <v>9180</v>
      </c>
      <c r="F3721" s="162">
        <v>699</v>
      </c>
      <c r="G3721" s="162">
        <v>1</v>
      </c>
    </row>
    <row r="3722" spans="2:7" ht="28.8">
      <c r="B3722" s="162" t="s">
        <v>686</v>
      </c>
      <c r="C3722" s="162" t="s">
        <v>9181</v>
      </c>
      <c r="D3722" s="162" t="s">
        <v>9182</v>
      </c>
      <c r="F3722" s="162">
        <v>699</v>
      </c>
      <c r="G3722" s="162">
        <v>1</v>
      </c>
    </row>
    <row r="3723" spans="2:7" ht="28.8">
      <c r="B3723" s="162" t="s">
        <v>686</v>
      </c>
      <c r="C3723" s="162" t="s">
        <v>9183</v>
      </c>
      <c r="D3723" s="162" t="s">
        <v>9184</v>
      </c>
      <c r="F3723" s="162">
        <v>699</v>
      </c>
      <c r="G3723" s="162">
        <v>1</v>
      </c>
    </row>
    <row r="3724" spans="2:7" ht="28.8">
      <c r="B3724" s="162" t="s">
        <v>686</v>
      </c>
      <c r="C3724" s="162" t="s">
        <v>9185</v>
      </c>
      <c r="D3724" s="162" t="s">
        <v>9186</v>
      </c>
      <c r="F3724" s="162">
        <v>699</v>
      </c>
      <c r="G3724" s="162">
        <v>1</v>
      </c>
    </row>
    <row r="3725" spans="2:7" ht="28.8">
      <c r="B3725" s="162" t="s">
        <v>686</v>
      </c>
      <c r="C3725" s="162" t="s">
        <v>9187</v>
      </c>
      <c r="D3725" s="162" t="s">
        <v>9188</v>
      </c>
      <c r="F3725" s="162">
        <v>3999</v>
      </c>
      <c r="G3725" s="162">
        <v>1</v>
      </c>
    </row>
    <row r="3726" spans="2:7" ht="28.8">
      <c r="B3726" s="162" t="s">
        <v>686</v>
      </c>
      <c r="C3726" s="162" t="s">
        <v>9189</v>
      </c>
      <c r="D3726" s="162" t="s">
        <v>9190</v>
      </c>
      <c r="F3726" s="162">
        <v>685</v>
      </c>
      <c r="G3726" s="162">
        <v>1</v>
      </c>
    </row>
    <row r="3727" spans="2:7" ht="28.8">
      <c r="B3727" s="162" t="s">
        <v>686</v>
      </c>
      <c r="C3727" s="162" t="s">
        <v>9191</v>
      </c>
      <c r="D3727" s="162" t="s">
        <v>9192</v>
      </c>
      <c r="F3727" s="162">
        <v>113</v>
      </c>
      <c r="G3727" s="162">
        <v>1</v>
      </c>
    </row>
    <row r="3728" spans="2:7" ht="28.8">
      <c r="B3728" s="162" t="s">
        <v>686</v>
      </c>
      <c r="C3728" s="162" t="s">
        <v>9193</v>
      </c>
      <c r="D3728" s="162" t="s">
        <v>9194</v>
      </c>
      <c r="F3728" s="162">
        <v>1169</v>
      </c>
      <c r="G3728" s="162">
        <v>1</v>
      </c>
    </row>
    <row r="3729" spans="2:7" ht="28.8">
      <c r="B3729" s="162" t="s">
        <v>686</v>
      </c>
      <c r="C3729" s="162" t="s">
        <v>9195</v>
      </c>
      <c r="D3729" s="162" t="s">
        <v>9196</v>
      </c>
      <c r="F3729" s="162">
        <v>1369</v>
      </c>
      <c r="G3729" s="162">
        <v>1</v>
      </c>
    </row>
    <row r="3730" spans="2:7" ht="28.8">
      <c r="B3730" s="162" t="s">
        <v>686</v>
      </c>
      <c r="C3730" s="162" t="s">
        <v>9197</v>
      </c>
      <c r="D3730" s="162" t="s">
        <v>9198</v>
      </c>
      <c r="F3730" s="162">
        <v>250</v>
      </c>
      <c r="G3730" s="162">
        <v>1</v>
      </c>
    </row>
    <row r="3731" spans="2:7" ht="28.8">
      <c r="B3731" s="162" t="s">
        <v>686</v>
      </c>
      <c r="C3731" s="162" t="s">
        <v>9199</v>
      </c>
      <c r="D3731" s="162" t="s">
        <v>9200</v>
      </c>
      <c r="F3731" s="162">
        <v>179</v>
      </c>
      <c r="G3731" s="162">
        <v>1</v>
      </c>
    </row>
    <row r="3732" spans="2:7" ht="28.8">
      <c r="B3732" s="162" t="s">
        <v>686</v>
      </c>
      <c r="C3732" s="162" t="s">
        <v>9201</v>
      </c>
      <c r="D3732" s="162" t="s">
        <v>9202</v>
      </c>
      <c r="F3732" s="162">
        <v>229</v>
      </c>
      <c r="G3732" s="162">
        <v>1</v>
      </c>
    </row>
    <row r="3733" spans="2:7" ht="28.8">
      <c r="B3733" s="162" t="s">
        <v>686</v>
      </c>
      <c r="C3733" s="162" t="s">
        <v>9203</v>
      </c>
      <c r="D3733" s="162" t="s">
        <v>9204</v>
      </c>
      <c r="F3733" s="162">
        <v>229</v>
      </c>
      <c r="G3733" s="162">
        <v>1</v>
      </c>
    </row>
    <row r="3734" spans="2:7" ht="28.8">
      <c r="B3734" s="162" t="s">
        <v>686</v>
      </c>
      <c r="C3734" s="162" t="s">
        <v>9205</v>
      </c>
      <c r="D3734" s="162" t="s">
        <v>9206</v>
      </c>
      <c r="F3734" s="162">
        <v>229</v>
      </c>
      <c r="G3734" s="162">
        <v>1</v>
      </c>
    </row>
    <row r="3735" spans="2:7" ht="28.8">
      <c r="B3735" s="162" t="s">
        <v>686</v>
      </c>
      <c r="C3735" s="162" t="s">
        <v>9207</v>
      </c>
      <c r="D3735" s="162" t="s">
        <v>9208</v>
      </c>
      <c r="F3735" s="162">
        <v>229</v>
      </c>
      <c r="G3735" s="162">
        <v>1</v>
      </c>
    </row>
    <row r="3736" spans="2:7" ht="28.8">
      <c r="B3736" s="162" t="s">
        <v>686</v>
      </c>
      <c r="C3736" s="162" t="s">
        <v>9209</v>
      </c>
      <c r="D3736" s="162" t="s">
        <v>9210</v>
      </c>
      <c r="F3736" s="162">
        <v>229</v>
      </c>
      <c r="G3736" s="162">
        <v>1</v>
      </c>
    </row>
    <row r="3737" spans="2:7" ht="28.8">
      <c r="B3737" s="162" t="s">
        <v>686</v>
      </c>
      <c r="C3737" s="162" t="s">
        <v>9211</v>
      </c>
      <c r="D3737" s="162" t="s">
        <v>9212</v>
      </c>
      <c r="F3737" s="162">
        <v>229</v>
      </c>
      <c r="G3737" s="162">
        <v>1</v>
      </c>
    </row>
    <row r="3738" spans="2:7" ht="28.8">
      <c r="B3738" s="162" t="s">
        <v>686</v>
      </c>
      <c r="C3738" s="162" t="s">
        <v>9213</v>
      </c>
      <c r="D3738" s="162" t="s">
        <v>9214</v>
      </c>
      <c r="F3738" s="162">
        <v>229</v>
      </c>
      <c r="G3738" s="162">
        <v>1</v>
      </c>
    </row>
    <row r="3739" spans="2:7" ht="28.8">
      <c r="B3739" s="162" t="s">
        <v>686</v>
      </c>
      <c r="C3739" s="162" t="s">
        <v>9215</v>
      </c>
      <c r="D3739" s="162" t="s">
        <v>9216</v>
      </c>
      <c r="F3739" s="162">
        <v>229</v>
      </c>
      <c r="G3739" s="162">
        <v>1</v>
      </c>
    </row>
    <row r="3740" spans="2:7" ht="28.8">
      <c r="B3740" s="162" t="s">
        <v>686</v>
      </c>
      <c r="C3740" s="162" t="s">
        <v>9217</v>
      </c>
      <c r="D3740" s="162" t="s">
        <v>9218</v>
      </c>
      <c r="F3740" s="162">
        <v>229</v>
      </c>
      <c r="G3740" s="162">
        <v>1</v>
      </c>
    </row>
    <row r="3741" spans="2:7" ht="28.8">
      <c r="B3741" s="162" t="s">
        <v>686</v>
      </c>
      <c r="C3741" s="162" t="s">
        <v>9219</v>
      </c>
      <c r="D3741" s="162" t="s">
        <v>9220</v>
      </c>
      <c r="F3741" s="162">
        <v>229</v>
      </c>
      <c r="G3741" s="162">
        <v>1</v>
      </c>
    </row>
    <row r="3742" spans="2:7" ht="28.8">
      <c r="B3742" s="162" t="s">
        <v>686</v>
      </c>
      <c r="C3742" s="162" t="s">
        <v>9221</v>
      </c>
      <c r="D3742" s="162" t="s">
        <v>9222</v>
      </c>
      <c r="F3742" s="162">
        <v>229</v>
      </c>
      <c r="G3742" s="162">
        <v>1</v>
      </c>
    </row>
    <row r="3743" spans="2:7" ht="28.8">
      <c r="B3743" s="162" t="s">
        <v>686</v>
      </c>
      <c r="C3743" s="162" t="s">
        <v>9223</v>
      </c>
      <c r="D3743" s="162" t="s">
        <v>9224</v>
      </c>
      <c r="F3743" s="162">
        <v>229</v>
      </c>
      <c r="G3743" s="162">
        <v>1</v>
      </c>
    </row>
    <row r="3744" spans="2:7" ht="28.8">
      <c r="B3744" s="162" t="s">
        <v>686</v>
      </c>
      <c r="C3744" s="162" t="s">
        <v>9225</v>
      </c>
      <c r="D3744" s="162" t="s">
        <v>9226</v>
      </c>
      <c r="F3744" s="162">
        <v>229</v>
      </c>
      <c r="G3744" s="162">
        <v>1</v>
      </c>
    </row>
    <row r="3745" spans="2:7" ht="28.8">
      <c r="B3745" s="162" t="s">
        <v>686</v>
      </c>
      <c r="C3745" s="162" t="s">
        <v>9227</v>
      </c>
      <c r="D3745" s="162" t="s">
        <v>9228</v>
      </c>
      <c r="F3745" s="162">
        <v>229</v>
      </c>
      <c r="G3745" s="162">
        <v>1</v>
      </c>
    </row>
    <row r="3746" spans="2:7" ht="28.8">
      <c r="B3746" s="162" t="s">
        <v>686</v>
      </c>
      <c r="C3746" s="162" t="s">
        <v>9229</v>
      </c>
      <c r="D3746" s="162" t="s">
        <v>9230</v>
      </c>
      <c r="F3746" s="162">
        <v>229</v>
      </c>
      <c r="G3746" s="162">
        <v>1</v>
      </c>
    </row>
    <row r="3747" spans="2:7" ht="28.8">
      <c r="B3747" s="162" t="s">
        <v>686</v>
      </c>
      <c r="C3747" s="162" t="s">
        <v>9231</v>
      </c>
      <c r="D3747" s="162" t="s">
        <v>9232</v>
      </c>
      <c r="F3747" s="162">
        <v>229</v>
      </c>
      <c r="G3747" s="162">
        <v>1</v>
      </c>
    </row>
    <row r="3748" spans="2:7" ht="28.8">
      <c r="B3748" s="162" t="s">
        <v>686</v>
      </c>
      <c r="C3748" s="162" t="s">
        <v>9233</v>
      </c>
      <c r="D3748" s="162" t="s">
        <v>9234</v>
      </c>
      <c r="F3748" s="162">
        <v>229</v>
      </c>
      <c r="G3748" s="162">
        <v>1</v>
      </c>
    </row>
    <row r="3749" spans="2:7" ht="28.8">
      <c r="B3749" s="162" t="s">
        <v>686</v>
      </c>
      <c r="C3749" s="162" t="s">
        <v>9235</v>
      </c>
      <c r="D3749" s="162" t="s">
        <v>9236</v>
      </c>
      <c r="F3749" s="162">
        <v>229</v>
      </c>
      <c r="G3749" s="162">
        <v>1</v>
      </c>
    </row>
    <row r="3750" spans="2:7" ht="28.8">
      <c r="B3750" s="162" t="s">
        <v>686</v>
      </c>
      <c r="C3750" s="162" t="s">
        <v>9237</v>
      </c>
      <c r="D3750" s="162" t="s">
        <v>9238</v>
      </c>
      <c r="F3750" s="162">
        <v>229</v>
      </c>
      <c r="G3750" s="162">
        <v>1</v>
      </c>
    </row>
    <row r="3751" spans="2:7" ht="28.8">
      <c r="B3751" s="162" t="s">
        <v>686</v>
      </c>
      <c r="C3751" s="162" t="s">
        <v>9239</v>
      </c>
      <c r="D3751" s="162" t="s">
        <v>9240</v>
      </c>
      <c r="F3751" s="162">
        <v>229</v>
      </c>
      <c r="G3751" s="162">
        <v>1</v>
      </c>
    </row>
    <row r="3752" spans="2:7" ht="28.8">
      <c r="B3752" s="162" t="s">
        <v>686</v>
      </c>
      <c r="C3752" s="162" t="s">
        <v>9241</v>
      </c>
      <c r="D3752" s="162" t="s">
        <v>9242</v>
      </c>
      <c r="F3752" s="162">
        <v>229</v>
      </c>
      <c r="G3752" s="162">
        <v>1</v>
      </c>
    </row>
    <row r="3753" spans="2:7" ht="28.8">
      <c r="B3753" s="162" t="s">
        <v>686</v>
      </c>
      <c r="C3753" s="162" t="s">
        <v>9243</v>
      </c>
      <c r="D3753" s="162" t="s">
        <v>9244</v>
      </c>
      <c r="F3753" s="162">
        <v>229</v>
      </c>
      <c r="G3753" s="162">
        <v>1</v>
      </c>
    </row>
    <row r="3754" spans="2:7" ht="28.8">
      <c r="B3754" s="162" t="s">
        <v>686</v>
      </c>
      <c r="C3754" s="162" t="s">
        <v>9245</v>
      </c>
      <c r="D3754" s="162" t="s">
        <v>9246</v>
      </c>
      <c r="F3754" s="162">
        <v>229</v>
      </c>
      <c r="G3754" s="162">
        <v>1</v>
      </c>
    </row>
    <row r="3755" spans="2:7" ht="28.8">
      <c r="B3755" s="162" t="s">
        <v>686</v>
      </c>
      <c r="C3755" s="162" t="s">
        <v>9247</v>
      </c>
      <c r="D3755" s="162" t="s">
        <v>9248</v>
      </c>
      <c r="F3755" s="162">
        <v>149</v>
      </c>
      <c r="G3755" s="162">
        <v>1</v>
      </c>
    </row>
    <row r="3756" spans="2:7" ht="28.8">
      <c r="B3756" s="162" t="s">
        <v>686</v>
      </c>
      <c r="C3756" s="162" t="s">
        <v>9249</v>
      </c>
      <c r="D3756" s="162" t="s">
        <v>9250</v>
      </c>
      <c r="F3756" s="162">
        <v>299</v>
      </c>
      <c r="G3756" s="162">
        <v>1</v>
      </c>
    </row>
    <row r="3757" spans="2:7" ht="28.8">
      <c r="B3757" s="162" t="s">
        <v>686</v>
      </c>
      <c r="C3757" s="162" t="s">
        <v>9251</v>
      </c>
      <c r="D3757" s="162" t="s">
        <v>9252</v>
      </c>
      <c r="F3757" s="162">
        <v>149</v>
      </c>
      <c r="G3757" s="162">
        <v>1</v>
      </c>
    </row>
    <row r="3758" spans="2:7" ht="28.8">
      <c r="B3758" s="162" t="s">
        <v>686</v>
      </c>
      <c r="C3758" s="162" t="s">
        <v>9253</v>
      </c>
      <c r="D3758" s="162" t="s">
        <v>9254</v>
      </c>
      <c r="F3758" s="162">
        <v>149</v>
      </c>
      <c r="G3758" s="162">
        <v>1</v>
      </c>
    </row>
    <row r="3759" spans="2:7" ht="28.8">
      <c r="B3759" s="162" t="s">
        <v>686</v>
      </c>
      <c r="C3759" s="162" t="s">
        <v>9255</v>
      </c>
      <c r="D3759" s="162" t="s">
        <v>9256</v>
      </c>
      <c r="F3759" s="162">
        <v>149</v>
      </c>
      <c r="G3759" s="162">
        <v>1</v>
      </c>
    </row>
    <row r="3760" spans="2:7" ht="28.8">
      <c r="B3760" s="162" t="s">
        <v>686</v>
      </c>
      <c r="C3760" s="162" t="s">
        <v>9257</v>
      </c>
      <c r="D3760" s="162" t="s">
        <v>9258</v>
      </c>
      <c r="F3760" s="162">
        <v>149</v>
      </c>
      <c r="G3760" s="162">
        <v>1</v>
      </c>
    </row>
    <row r="3761" spans="2:7" ht="28.8">
      <c r="B3761" s="162" t="s">
        <v>686</v>
      </c>
      <c r="C3761" s="162" t="s">
        <v>9259</v>
      </c>
      <c r="D3761" s="162" t="s">
        <v>9260</v>
      </c>
      <c r="F3761" s="162">
        <v>149</v>
      </c>
      <c r="G3761" s="162">
        <v>1</v>
      </c>
    </row>
    <row r="3762" spans="2:7" ht="28.8">
      <c r="B3762" s="162" t="s">
        <v>686</v>
      </c>
      <c r="C3762" s="162" t="s">
        <v>9261</v>
      </c>
      <c r="D3762" s="162" t="s">
        <v>9262</v>
      </c>
      <c r="F3762" s="162">
        <v>149</v>
      </c>
      <c r="G3762" s="162">
        <v>1</v>
      </c>
    </row>
    <row r="3763" spans="2:7" ht="28.8">
      <c r="B3763" s="162" t="s">
        <v>686</v>
      </c>
      <c r="C3763" s="162" t="s">
        <v>9263</v>
      </c>
      <c r="D3763" s="162" t="s">
        <v>9264</v>
      </c>
      <c r="F3763" s="162">
        <v>149</v>
      </c>
      <c r="G3763" s="162">
        <v>1</v>
      </c>
    </row>
    <row r="3764" spans="2:7" ht="28.8">
      <c r="B3764" s="162" t="s">
        <v>686</v>
      </c>
      <c r="C3764" s="162" t="s">
        <v>9265</v>
      </c>
      <c r="D3764" s="162" t="s">
        <v>9266</v>
      </c>
      <c r="F3764" s="162">
        <v>299</v>
      </c>
      <c r="G3764" s="162">
        <v>1</v>
      </c>
    </row>
    <row r="3765" spans="2:7" ht="28.8">
      <c r="B3765" s="162" t="s">
        <v>686</v>
      </c>
      <c r="C3765" s="162" t="s">
        <v>9267</v>
      </c>
      <c r="D3765" s="162" t="s">
        <v>9268</v>
      </c>
      <c r="F3765" s="162">
        <v>1249</v>
      </c>
      <c r="G3765" s="162">
        <v>1</v>
      </c>
    </row>
    <row r="3766" spans="2:7" ht="28.8">
      <c r="B3766" s="162" t="s">
        <v>686</v>
      </c>
      <c r="C3766" s="162" t="s">
        <v>9269</v>
      </c>
      <c r="D3766" s="162" t="s">
        <v>9270</v>
      </c>
      <c r="F3766" s="162">
        <v>199</v>
      </c>
      <c r="G3766" s="162">
        <v>1</v>
      </c>
    </row>
    <row r="3767" spans="2:7" ht="28.8">
      <c r="B3767" s="162" t="s">
        <v>686</v>
      </c>
      <c r="C3767" s="162" t="s">
        <v>9271</v>
      </c>
      <c r="D3767" s="162" t="s">
        <v>9272</v>
      </c>
      <c r="F3767" s="162">
        <v>59</v>
      </c>
      <c r="G3767" s="162">
        <v>1</v>
      </c>
    </row>
    <row r="3768" spans="2:7" ht="28.8">
      <c r="B3768" s="162" t="s">
        <v>686</v>
      </c>
      <c r="C3768" s="162" t="s">
        <v>9273</v>
      </c>
      <c r="D3768" s="162" t="s">
        <v>9274</v>
      </c>
      <c r="F3768" s="162">
        <v>59</v>
      </c>
      <c r="G3768" s="162">
        <v>1</v>
      </c>
    </row>
    <row r="3769" spans="2:7" ht="28.8">
      <c r="B3769" s="162" t="s">
        <v>686</v>
      </c>
      <c r="C3769" s="162" t="s">
        <v>9275</v>
      </c>
      <c r="D3769" s="162" t="s">
        <v>9276</v>
      </c>
      <c r="F3769" s="162">
        <v>2499</v>
      </c>
      <c r="G3769" s="162">
        <v>1</v>
      </c>
    </row>
    <row r="3770" spans="2:7" ht="28.8">
      <c r="B3770" s="162" t="s">
        <v>686</v>
      </c>
      <c r="C3770" s="162" t="s">
        <v>9277</v>
      </c>
      <c r="D3770" s="162" t="s">
        <v>9278</v>
      </c>
      <c r="F3770" s="162">
        <v>1599</v>
      </c>
      <c r="G3770" s="162">
        <v>1</v>
      </c>
    </row>
    <row r="3771" spans="2:7" ht="28.8">
      <c r="B3771" s="162" t="s">
        <v>686</v>
      </c>
      <c r="C3771" s="162" t="s">
        <v>9279</v>
      </c>
      <c r="D3771" s="162" t="s">
        <v>9280</v>
      </c>
      <c r="F3771" s="162">
        <v>20</v>
      </c>
      <c r="G3771" s="162">
        <v>1</v>
      </c>
    </row>
    <row r="3772" spans="2:7" ht="28.8">
      <c r="B3772" s="162" t="s">
        <v>686</v>
      </c>
      <c r="C3772" s="162" t="s">
        <v>9281</v>
      </c>
      <c r="D3772" s="162" t="s">
        <v>9282</v>
      </c>
      <c r="F3772" s="162">
        <v>10</v>
      </c>
      <c r="G3772" s="162">
        <v>1</v>
      </c>
    </row>
    <row r="3773" spans="2:7" ht="28.8">
      <c r="B3773" s="162" t="s">
        <v>686</v>
      </c>
      <c r="C3773" s="162" t="s">
        <v>9283</v>
      </c>
      <c r="D3773" s="162" t="s">
        <v>9284</v>
      </c>
      <c r="F3773" s="162">
        <v>128</v>
      </c>
      <c r="G3773" s="162">
        <v>1</v>
      </c>
    </row>
    <row r="3774" spans="2:7" ht="28.8">
      <c r="B3774" s="162" t="s">
        <v>686</v>
      </c>
      <c r="C3774" s="162" t="s">
        <v>9285</v>
      </c>
      <c r="D3774" s="162" t="s">
        <v>9286</v>
      </c>
      <c r="F3774" s="162">
        <v>150</v>
      </c>
      <c r="G3774" s="162">
        <v>1</v>
      </c>
    </row>
    <row r="3775" spans="2:7" ht="28.8">
      <c r="B3775" s="162" t="s">
        <v>686</v>
      </c>
      <c r="C3775" s="162" t="s">
        <v>9287</v>
      </c>
      <c r="D3775" s="162" t="s">
        <v>9288</v>
      </c>
      <c r="F3775" s="162">
        <v>83</v>
      </c>
      <c r="G3775" s="162">
        <v>1</v>
      </c>
    </row>
    <row r="3776" spans="2:7" ht="28.8">
      <c r="B3776" s="162" t="s">
        <v>686</v>
      </c>
      <c r="C3776" s="162" t="s">
        <v>9289</v>
      </c>
      <c r="D3776" s="162" t="s">
        <v>9290</v>
      </c>
      <c r="F3776" s="162">
        <v>69</v>
      </c>
      <c r="G3776" s="162">
        <v>1</v>
      </c>
    </row>
    <row r="3777" spans="2:7" ht="28.8">
      <c r="B3777" s="162" t="s">
        <v>687</v>
      </c>
      <c r="C3777" s="162" t="s">
        <v>9291</v>
      </c>
      <c r="D3777" s="162" t="s">
        <v>9292</v>
      </c>
      <c r="F3777" s="162">
        <v>605.79</v>
      </c>
      <c r="G3777" s="162">
        <v>1</v>
      </c>
    </row>
    <row r="3778" spans="2:7" ht="28.8">
      <c r="B3778" s="162" t="s">
        <v>687</v>
      </c>
      <c r="C3778" s="162" t="s">
        <v>9293</v>
      </c>
      <c r="D3778" s="162" t="s">
        <v>9292</v>
      </c>
      <c r="F3778" s="162">
        <v>605.79</v>
      </c>
      <c r="G3778" s="162">
        <v>1</v>
      </c>
    </row>
    <row r="3779" spans="2:7" ht="28.8">
      <c r="B3779" s="162" t="s">
        <v>687</v>
      </c>
      <c r="C3779" s="162" t="s">
        <v>9294</v>
      </c>
      <c r="D3779" s="162" t="s">
        <v>9295</v>
      </c>
      <c r="F3779" s="162">
        <v>653.77</v>
      </c>
      <c r="G3779" s="162">
        <v>1</v>
      </c>
    </row>
    <row r="3780" spans="2:7" ht="28.8">
      <c r="B3780" s="162" t="s">
        <v>687</v>
      </c>
      <c r="C3780" s="162" t="s">
        <v>9296</v>
      </c>
      <c r="D3780" s="162" t="s">
        <v>9297</v>
      </c>
      <c r="F3780" s="162">
        <v>653.77</v>
      </c>
      <c r="G3780" s="162">
        <v>1</v>
      </c>
    </row>
    <row r="3781" spans="2:7">
      <c r="B3781" s="162" t="s">
        <v>687</v>
      </c>
      <c r="C3781" s="162" t="s">
        <v>9298</v>
      </c>
      <c r="D3781" s="162" t="s">
        <v>9299</v>
      </c>
      <c r="F3781" s="162">
        <v>1103.6099999999999</v>
      </c>
      <c r="G3781" s="162">
        <v>1</v>
      </c>
    </row>
    <row r="3782" spans="2:7">
      <c r="B3782" s="162" t="s">
        <v>687</v>
      </c>
      <c r="C3782" s="162" t="s">
        <v>9300</v>
      </c>
      <c r="D3782" s="162" t="s">
        <v>9299</v>
      </c>
      <c r="F3782" s="162">
        <v>1103.6099999999999</v>
      </c>
      <c r="G3782" s="162">
        <v>1</v>
      </c>
    </row>
    <row r="3783" spans="2:7" ht="28.8">
      <c r="B3783" s="162" t="s">
        <v>687</v>
      </c>
      <c r="C3783" s="162" t="s">
        <v>9301</v>
      </c>
      <c r="D3783" s="162" t="s">
        <v>9302</v>
      </c>
      <c r="F3783" s="162">
        <v>1236.04</v>
      </c>
      <c r="G3783" s="162">
        <v>1</v>
      </c>
    </row>
    <row r="3784" spans="2:7" ht="28.8">
      <c r="B3784" s="162" t="s">
        <v>687</v>
      </c>
      <c r="C3784" s="162" t="s">
        <v>9303</v>
      </c>
      <c r="D3784" s="162" t="s">
        <v>9302</v>
      </c>
      <c r="F3784" s="162">
        <v>1236.04</v>
      </c>
      <c r="G3784" s="162">
        <v>1</v>
      </c>
    </row>
    <row r="3785" spans="2:7">
      <c r="B3785" s="162" t="s">
        <v>687</v>
      </c>
      <c r="C3785" s="162" t="s">
        <v>9304</v>
      </c>
      <c r="D3785" s="162" t="s">
        <v>9305</v>
      </c>
      <c r="F3785" s="162">
        <v>2579.1</v>
      </c>
      <c r="G3785" s="162">
        <v>1</v>
      </c>
    </row>
    <row r="3786" spans="2:7">
      <c r="B3786" s="162" t="s">
        <v>687</v>
      </c>
      <c r="C3786" s="162" t="s">
        <v>9306</v>
      </c>
      <c r="D3786" s="162" t="s">
        <v>9305</v>
      </c>
      <c r="F3786" s="162">
        <v>2579.1</v>
      </c>
      <c r="G3786" s="162">
        <v>1</v>
      </c>
    </row>
    <row r="3787" spans="2:7">
      <c r="B3787" s="162" t="s">
        <v>687</v>
      </c>
      <c r="C3787" s="162" t="s">
        <v>9307</v>
      </c>
      <c r="D3787" s="162" t="s">
        <v>9308</v>
      </c>
      <c r="F3787" s="162">
        <v>1555.45</v>
      </c>
      <c r="G3787" s="162">
        <v>1</v>
      </c>
    </row>
    <row r="3788" spans="2:7">
      <c r="B3788" s="162" t="s">
        <v>687</v>
      </c>
      <c r="C3788" s="162" t="s">
        <v>9309</v>
      </c>
      <c r="D3788" s="162" t="s">
        <v>9308</v>
      </c>
      <c r="F3788" s="162">
        <v>1555.45</v>
      </c>
      <c r="G3788" s="162">
        <v>1</v>
      </c>
    </row>
    <row r="3789" spans="2:7">
      <c r="B3789" s="162" t="s">
        <v>687</v>
      </c>
      <c r="C3789" s="162" t="s">
        <v>9310</v>
      </c>
      <c r="D3789" s="162" t="s">
        <v>9311</v>
      </c>
      <c r="F3789" s="162">
        <v>881.69</v>
      </c>
      <c r="G3789" s="162">
        <v>1</v>
      </c>
    </row>
    <row r="3790" spans="2:7">
      <c r="B3790" s="162" t="s">
        <v>687</v>
      </c>
      <c r="C3790" s="162" t="s">
        <v>9312</v>
      </c>
      <c r="D3790" s="162" t="s">
        <v>9311</v>
      </c>
      <c r="F3790" s="162">
        <v>881.69</v>
      </c>
      <c r="G3790" s="162">
        <v>1</v>
      </c>
    </row>
    <row r="3791" spans="2:7" ht="28.8">
      <c r="B3791" s="162" t="s">
        <v>687</v>
      </c>
      <c r="C3791" s="162" t="s">
        <v>9313</v>
      </c>
      <c r="D3791" s="162" t="s">
        <v>9314</v>
      </c>
      <c r="F3791" s="162">
        <v>3178.88</v>
      </c>
      <c r="G3791" s="162">
        <v>1</v>
      </c>
    </row>
    <row r="3792" spans="2:7">
      <c r="B3792" s="162" t="s">
        <v>687</v>
      </c>
      <c r="C3792" s="162" t="s">
        <v>9315</v>
      </c>
      <c r="D3792" s="162" t="s">
        <v>9316</v>
      </c>
      <c r="F3792" s="162">
        <v>1739.39</v>
      </c>
      <c r="G3792" s="162">
        <v>1</v>
      </c>
    </row>
    <row r="3793" spans="2:7">
      <c r="B3793" s="162" t="s">
        <v>687</v>
      </c>
      <c r="C3793" s="162" t="s">
        <v>9317</v>
      </c>
      <c r="D3793" s="162" t="s">
        <v>9316</v>
      </c>
      <c r="F3793" s="162">
        <v>1739.39</v>
      </c>
      <c r="G3793" s="162">
        <v>1</v>
      </c>
    </row>
    <row r="3794" spans="2:7" ht="28.8">
      <c r="B3794" s="162" t="s">
        <v>687</v>
      </c>
      <c r="C3794" s="162" t="s">
        <v>9318</v>
      </c>
      <c r="D3794" s="162" t="s">
        <v>9314</v>
      </c>
      <c r="F3794" s="162">
        <v>3178.88</v>
      </c>
      <c r="G3794" s="162">
        <v>1</v>
      </c>
    </row>
    <row r="3795" spans="2:7" ht="28.8">
      <c r="B3795" s="162" t="s">
        <v>687</v>
      </c>
      <c r="C3795" s="162" t="s">
        <v>9319</v>
      </c>
      <c r="D3795" s="162" t="s">
        <v>9320</v>
      </c>
      <c r="F3795" s="162">
        <v>99.56</v>
      </c>
      <c r="G3795" s="162">
        <v>1</v>
      </c>
    </row>
    <row r="3796" spans="2:7" ht="28.8">
      <c r="B3796" s="162" t="s">
        <v>687</v>
      </c>
      <c r="C3796" s="162" t="s">
        <v>9321</v>
      </c>
      <c r="D3796" s="162" t="s">
        <v>9322</v>
      </c>
      <c r="F3796" s="162">
        <v>99.56</v>
      </c>
      <c r="G3796" s="162">
        <v>1</v>
      </c>
    </row>
    <row r="3797" spans="2:7">
      <c r="B3797" s="162" t="s">
        <v>687</v>
      </c>
      <c r="C3797" s="162" t="s">
        <v>9323</v>
      </c>
      <c r="D3797" s="162" t="s">
        <v>9324</v>
      </c>
      <c r="F3797" s="162">
        <v>139.75</v>
      </c>
      <c r="G3797" s="162">
        <v>1</v>
      </c>
    </row>
    <row r="3798" spans="2:7">
      <c r="B3798" s="162" t="s">
        <v>687</v>
      </c>
      <c r="C3798" s="162" t="s">
        <v>9325</v>
      </c>
      <c r="D3798" s="162" t="s">
        <v>9326</v>
      </c>
      <c r="F3798" s="162">
        <v>139.75</v>
      </c>
      <c r="G3798" s="162">
        <v>1</v>
      </c>
    </row>
    <row r="3799" spans="2:7">
      <c r="B3799" s="162" t="s">
        <v>687</v>
      </c>
      <c r="C3799" s="162" t="s">
        <v>9327</v>
      </c>
      <c r="D3799" s="162" t="s">
        <v>9328</v>
      </c>
      <c r="F3799" s="162">
        <v>179.34</v>
      </c>
      <c r="G3799" s="162">
        <v>1</v>
      </c>
    </row>
    <row r="3800" spans="2:7" ht="28.8">
      <c r="B3800" s="162" t="s">
        <v>687</v>
      </c>
      <c r="C3800" s="162" t="s">
        <v>9329</v>
      </c>
      <c r="D3800" s="162" t="s">
        <v>9330</v>
      </c>
      <c r="F3800" s="162">
        <v>179.34</v>
      </c>
      <c r="G3800" s="162">
        <v>1</v>
      </c>
    </row>
    <row r="3801" spans="2:7" ht="28.8">
      <c r="B3801" s="162" t="s">
        <v>687</v>
      </c>
      <c r="C3801" s="162" t="s">
        <v>9331</v>
      </c>
      <c r="D3801" s="162" t="s">
        <v>9332</v>
      </c>
      <c r="F3801" s="162">
        <v>245.92</v>
      </c>
      <c r="G3801" s="162">
        <v>1</v>
      </c>
    </row>
    <row r="3802" spans="2:7">
      <c r="B3802" s="162" t="s">
        <v>687</v>
      </c>
      <c r="C3802" s="162" t="s">
        <v>9333</v>
      </c>
      <c r="D3802" s="162" t="s">
        <v>9334</v>
      </c>
      <c r="F3802" s="162">
        <v>245.92</v>
      </c>
      <c r="G3802" s="162">
        <v>1</v>
      </c>
    </row>
    <row r="3803" spans="2:7" ht="28.8">
      <c r="B3803" s="162" t="s">
        <v>688</v>
      </c>
      <c r="C3803" s="162" t="s">
        <v>1607</v>
      </c>
      <c r="D3803" s="162" t="s">
        <v>1608</v>
      </c>
      <c r="F3803" s="162">
        <v>700</v>
      </c>
      <c r="G3803" s="162">
        <v>1</v>
      </c>
    </row>
    <row r="3804" spans="2:7" ht="28.8">
      <c r="B3804" s="162" t="s">
        <v>688</v>
      </c>
      <c r="C3804" s="162" t="s">
        <v>1609</v>
      </c>
      <c r="D3804" s="162" t="s">
        <v>1610</v>
      </c>
      <c r="F3804" s="162">
        <v>775</v>
      </c>
      <c r="G3804" s="162">
        <v>1</v>
      </c>
    </row>
    <row r="3805" spans="2:7" ht="28.8">
      <c r="B3805" s="162" t="s">
        <v>688</v>
      </c>
      <c r="C3805" s="162" t="s">
        <v>1611</v>
      </c>
      <c r="D3805" s="162" t="s">
        <v>1612</v>
      </c>
      <c r="F3805" s="162">
        <v>850</v>
      </c>
      <c r="G3805" s="162">
        <v>1</v>
      </c>
    </row>
    <row r="3806" spans="2:7" ht="28.8">
      <c r="B3806" s="162" t="s">
        <v>688</v>
      </c>
      <c r="C3806" s="162" t="s">
        <v>1613</v>
      </c>
      <c r="D3806" s="162" t="s">
        <v>1614</v>
      </c>
      <c r="F3806" s="162">
        <v>50</v>
      </c>
      <c r="G3806" s="162">
        <v>1</v>
      </c>
    </row>
    <row r="3807" spans="2:7" ht="28.8">
      <c r="B3807" s="162" t="s">
        <v>688</v>
      </c>
      <c r="C3807" s="162" t="s">
        <v>1615</v>
      </c>
      <c r="D3807" s="162" t="s">
        <v>1616</v>
      </c>
      <c r="F3807" s="162">
        <v>50</v>
      </c>
      <c r="G3807" s="162">
        <v>1</v>
      </c>
    </row>
    <row r="3808" spans="2:7">
      <c r="B3808" s="162" t="s">
        <v>688</v>
      </c>
      <c r="C3808" s="162" t="s">
        <v>1617</v>
      </c>
      <c r="D3808" s="162" t="s">
        <v>1618</v>
      </c>
      <c r="F3808" s="162">
        <v>50</v>
      </c>
      <c r="G3808" s="162">
        <v>1</v>
      </c>
    </row>
    <row r="3809" spans="2:7">
      <c r="B3809" s="162" t="s">
        <v>688</v>
      </c>
      <c r="C3809" s="162" t="s">
        <v>1619</v>
      </c>
      <c r="D3809" s="162" t="s">
        <v>1620</v>
      </c>
      <c r="F3809" s="162">
        <v>50</v>
      </c>
      <c r="G3809" s="162">
        <v>1</v>
      </c>
    </row>
    <row r="3810" spans="2:7" ht="28.8">
      <c r="B3810" s="162" t="s">
        <v>688</v>
      </c>
      <c r="C3810" s="162" t="s">
        <v>1621</v>
      </c>
      <c r="D3810" s="162" t="s">
        <v>1622</v>
      </c>
      <c r="F3810" s="162">
        <v>50</v>
      </c>
      <c r="G3810" s="162">
        <v>1</v>
      </c>
    </row>
    <row r="3811" spans="2:7" ht="28.8">
      <c r="B3811" s="162" t="s">
        <v>688</v>
      </c>
      <c r="C3811" s="162" t="s">
        <v>1623</v>
      </c>
      <c r="D3811" s="162" t="s">
        <v>1624</v>
      </c>
      <c r="F3811" s="162">
        <v>1050</v>
      </c>
      <c r="G3811" s="162">
        <v>1</v>
      </c>
    </row>
    <row r="3812" spans="2:7" ht="28.8">
      <c r="B3812" s="162" t="s">
        <v>688</v>
      </c>
      <c r="C3812" s="162" t="s">
        <v>1625</v>
      </c>
      <c r="D3812" s="162" t="s">
        <v>1626</v>
      </c>
      <c r="F3812" s="162">
        <v>1400</v>
      </c>
      <c r="G3812" s="162">
        <v>1</v>
      </c>
    </row>
    <row r="3813" spans="2:7" ht="43.2">
      <c r="B3813" s="162" t="s">
        <v>688</v>
      </c>
      <c r="C3813" s="162" t="s">
        <v>1627</v>
      </c>
      <c r="D3813" s="162" t="s">
        <v>1628</v>
      </c>
      <c r="F3813" s="162">
        <v>1850</v>
      </c>
      <c r="G3813" s="162">
        <v>1</v>
      </c>
    </row>
    <row r="3814" spans="2:7" ht="28.8">
      <c r="B3814" s="162" t="s">
        <v>688</v>
      </c>
      <c r="C3814" s="162" t="s">
        <v>1629</v>
      </c>
      <c r="D3814" s="162" t="s">
        <v>1630</v>
      </c>
      <c r="F3814" s="162">
        <v>50</v>
      </c>
      <c r="G3814" s="162">
        <v>1</v>
      </c>
    </row>
    <row r="3815" spans="2:7" ht="28.8">
      <c r="B3815" s="162" t="s">
        <v>688</v>
      </c>
      <c r="C3815" s="162" t="s">
        <v>1631</v>
      </c>
      <c r="D3815" s="162" t="s">
        <v>1632</v>
      </c>
      <c r="F3815" s="162">
        <v>50</v>
      </c>
      <c r="G3815" s="162">
        <v>1</v>
      </c>
    </row>
    <row r="3816" spans="2:7" ht="43.2">
      <c r="B3816" s="162" t="s">
        <v>688</v>
      </c>
      <c r="C3816" s="162" t="s">
        <v>1633</v>
      </c>
      <c r="D3816" s="162" t="s">
        <v>1634</v>
      </c>
      <c r="F3816" s="162">
        <v>4750</v>
      </c>
      <c r="G3816" s="162">
        <v>1</v>
      </c>
    </row>
    <row r="3817" spans="2:7" ht="43.2">
      <c r="B3817" s="162" t="s">
        <v>688</v>
      </c>
      <c r="C3817" s="162" t="s">
        <v>1635</v>
      </c>
      <c r="D3817" s="162" t="s">
        <v>1634</v>
      </c>
      <c r="F3817" s="162">
        <v>5250</v>
      </c>
      <c r="G3817" s="162">
        <v>1</v>
      </c>
    </row>
    <row r="3818" spans="2:7" ht="43.2">
      <c r="B3818" s="162" t="s">
        <v>688</v>
      </c>
      <c r="C3818" s="162" t="s">
        <v>1636</v>
      </c>
      <c r="D3818" s="162" t="s">
        <v>1634</v>
      </c>
      <c r="F3818" s="162">
        <v>5750</v>
      </c>
      <c r="G3818" s="162">
        <v>1</v>
      </c>
    </row>
    <row r="3819" spans="2:7" ht="43.2">
      <c r="B3819" s="162" t="s">
        <v>688</v>
      </c>
      <c r="C3819" s="162" t="s">
        <v>1637</v>
      </c>
      <c r="D3819" s="162" t="s">
        <v>1634</v>
      </c>
      <c r="F3819" s="162">
        <v>6250</v>
      </c>
      <c r="G3819" s="162">
        <v>1</v>
      </c>
    </row>
    <row r="3820" spans="2:7" ht="43.2">
      <c r="B3820" s="162" t="s">
        <v>688</v>
      </c>
      <c r="C3820" s="162" t="s">
        <v>1638</v>
      </c>
      <c r="D3820" s="162" t="s">
        <v>1634</v>
      </c>
      <c r="F3820" s="162">
        <v>7000</v>
      </c>
      <c r="G3820" s="162">
        <v>1</v>
      </c>
    </row>
    <row r="3821" spans="2:7" ht="43.2">
      <c r="B3821" s="162" t="s">
        <v>688</v>
      </c>
      <c r="C3821" s="162" t="s">
        <v>1639</v>
      </c>
      <c r="D3821" s="162" t="s">
        <v>1634</v>
      </c>
      <c r="F3821" s="162">
        <v>7550</v>
      </c>
      <c r="G3821" s="162">
        <v>1</v>
      </c>
    </row>
    <row r="3822" spans="2:7" ht="43.2">
      <c r="B3822" s="162" t="s">
        <v>688</v>
      </c>
      <c r="C3822" s="162" t="s">
        <v>1640</v>
      </c>
      <c r="D3822" s="162" t="s">
        <v>1634</v>
      </c>
      <c r="F3822" s="162">
        <v>2385</v>
      </c>
      <c r="G3822" s="162">
        <v>1</v>
      </c>
    </row>
    <row r="3823" spans="2:7" ht="43.2">
      <c r="B3823" s="162" t="s">
        <v>688</v>
      </c>
      <c r="C3823" s="162" t="s">
        <v>1641</v>
      </c>
      <c r="D3823" s="162" t="s">
        <v>1634</v>
      </c>
      <c r="F3823" s="162">
        <v>2950</v>
      </c>
      <c r="G3823" s="162">
        <v>1</v>
      </c>
    </row>
    <row r="3824" spans="2:7" ht="43.2">
      <c r="B3824" s="162" t="s">
        <v>688</v>
      </c>
      <c r="C3824" s="162" t="s">
        <v>1642</v>
      </c>
      <c r="D3824" s="162" t="s">
        <v>1643</v>
      </c>
      <c r="F3824" s="162">
        <v>7350</v>
      </c>
      <c r="G3824" s="162">
        <v>1</v>
      </c>
    </row>
    <row r="3825" spans="2:7" ht="43.2">
      <c r="B3825" s="162" t="s">
        <v>688</v>
      </c>
      <c r="C3825" s="162" t="s">
        <v>1644</v>
      </c>
      <c r="D3825" s="162" t="s">
        <v>1643</v>
      </c>
      <c r="F3825" s="162">
        <v>8450</v>
      </c>
      <c r="G3825" s="162">
        <v>1</v>
      </c>
    </row>
    <row r="3826" spans="2:7" ht="43.2">
      <c r="B3826" s="162" t="s">
        <v>688</v>
      </c>
      <c r="C3826" s="162" t="s">
        <v>1645</v>
      </c>
      <c r="D3826" s="162" t="s">
        <v>1643</v>
      </c>
      <c r="F3826" s="162">
        <v>9550</v>
      </c>
      <c r="G3826" s="162">
        <v>1</v>
      </c>
    </row>
    <row r="3827" spans="2:7" ht="43.2">
      <c r="B3827" s="162" t="s">
        <v>688</v>
      </c>
      <c r="C3827" s="162" t="s">
        <v>1646</v>
      </c>
      <c r="D3827" s="162" t="s">
        <v>1643</v>
      </c>
      <c r="F3827" s="162">
        <v>4050</v>
      </c>
      <c r="G3827" s="162">
        <v>1</v>
      </c>
    </row>
    <row r="3828" spans="2:7" ht="28.8">
      <c r="B3828" s="162" t="s">
        <v>688</v>
      </c>
      <c r="C3828" s="162" t="s">
        <v>9335</v>
      </c>
      <c r="D3828" s="162" t="s">
        <v>9336</v>
      </c>
      <c r="F3828" s="162">
        <v>1665</v>
      </c>
      <c r="G3828" s="162">
        <v>1</v>
      </c>
    </row>
    <row r="3829" spans="2:7" ht="28.8">
      <c r="B3829" s="162" t="s">
        <v>688</v>
      </c>
      <c r="C3829" s="162" t="s">
        <v>9337</v>
      </c>
      <c r="D3829" s="162" t="s">
        <v>9338</v>
      </c>
      <c r="F3829" s="162">
        <v>2165</v>
      </c>
      <c r="G3829" s="162">
        <v>1</v>
      </c>
    </row>
    <row r="3830" spans="2:7" ht="28.8">
      <c r="B3830" s="162" t="s">
        <v>688</v>
      </c>
      <c r="C3830" s="162" t="s">
        <v>9339</v>
      </c>
      <c r="D3830" s="162" t="s">
        <v>9340</v>
      </c>
      <c r="F3830" s="162">
        <v>2085</v>
      </c>
      <c r="G3830" s="162">
        <v>1</v>
      </c>
    </row>
    <row r="3831" spans="2:7" ht="43.2">
      <c r="B3831" s="162" t="s">
        <v>688</v>
      </c>
      <c r="C3831" s="162" t="s">
        <v>9341</v>
      </c>
      <c r="D3831" s="162" t="s">
        <v>9342</v>
      </c>
      <c r="F3831" s="162">
        <v>2585</v>
      </c>
      <c r="G3831" s="162">
        <v>1</v>
      </c>
    </row>
    <row r="3832" spans="2:7" ht="28.8">
      <c r="B3832" s="162" t="s">
        <v>688</v>
      </c>
      <c r="C3832" s="162" t="s">
        <v>9343</v>
      </c>
      <c r="D3832" s="162" t="s">
        <v>9344</v>
      </c>
      <c r="F3832" s="162">
        <v>3000</v>
      </c>
      <c r="G3832" s="162">
        <v>1</v>
      </c>
    </row>
    <row r="3833" spans="2:7" ht="43.2">
      <c r="B3833" s="162" t="s">
        <v>688</v>
      </c>
      <c r="C3833" s="162" t="s">
        <v>9345</v>
      </c>
      <c r="D3833" s="162" t="s">
        <v>9346</v>
      </c>
      <c r="F3833" s="162">
        <v>3500</v>
      </c>
      <c r="G3833" s="162">
        <v>1</v>
      </c>
    </row>
    <row r="3834" spans="2:7" ht="28.8">
      <c r="B3834" s="162" t="s">
        <v>688</v>
      </c>
      <c r="C3834" s="162" t="s">
        <v>9347</v>
      </c>
      <c r="D3834" s="162" t="s">
        <v>9348</v>
      </c>
      <c r="F3834" s="162">
        <v>4000</v>
      </c>
      <c r="G3834" s="162">
        <v>1</v>
      </c>
    </row>
    <row r="3835" spans="2:7" ht="43.2">
      <c r="B3835" s="162" t="s">
        <v>688</v>
      </c>
      <c r="C3835" s="162" t="s">
        <v>9349</v>
      </c>
      <c r="D3835" s="162" t="s">
        <v>9350</v>
      </c>
      <c r="F3835" s="162">
        <v>4500</v>
      </c>
      <c r="G3835" s="162">
        <v>1</v>
      </c>
    </row>
    <row r="3836" spans="2:7">
      <c r="B3836" s="162" t="s">
        <v>688</v>
      </c>
      <c r="C3836" s="162" t="s">
        <v>9351</v>
      </c>
      <c r="D3836" s="162" t="s">
        <v>1647</v>
      </c>
      <c r="F3836" s="162">
        <v>1375</v>
      </c>
      <c r="G3836" s="162">
        <v>1</v>
      </c>
    </row>
    <row r="3837" spans="2:7" ht="28.8">
      <c r="B3837" s="162" t="s">
        <v>688</v>
      </c>
      <c r="C3837" s="162" t="s">
        <v>9352</v>
      </c>
      <c r="D3837" s="162" t="s">
        <v>1648</v>
      </c>
      <c r="F3837" s="162">
        <v>1875</v>
      </c>
      <c r="G3837" s="162">
        <v>1</v>
      </c>
    </row>
    <row r="3838" spans="2:7" ht="43.2">
      <c r="B3838" s="162" t="s">
        <v>688</v>
      </c>
      <c r="C3838" s="162" t="s">
        <v>1649</v>
      </c>
      <c r="D3838" s="162" t="s">
        <v>1650</v>
      </c>
      <c r="F3838" s="162">
        <v>225</v>
      </c>
      <c r="G3838" s="162">
        <v>1</v>
      </c>
    </row>
    <row r="3839" spans="2:7" ht="43.2">
      <c r="B3839" s="162" t="s">
        <v>688</v>
      </c>
      <c r="C3839" s="162" t="s">
        <v>1651</v>
      </c>
      <c r="D3839" s="162" t="s">
        <v>1652</v>
      </c>
      <c r="F3839" s="162">
        <v>225</v>
      </c>
      <c r="G3839" s="162">
        <v>1</v>
      </c>
    </row>
    <row r="3840" spans="2:7" ht="43.2">
      <c r="B3840" s="162" t="s">
        <v>688</v>
      </c>
      <c r="C3840" s="162" t="s">
        <v>1653</v>
      </c>
      <c r="D3840" s="162" t="s">
        <v>1654</v>
      </c>
      <c r="F3840" s="162">
        <v>425</v>
      </c>
      <c r="G3840" s="162">
        <v>1</v>
      </c>
    </row>
    <row r="3841" spans="2:7" ht="43.2">
      <c r="B3841" s="162" t="s">
        <v>688</v>
      </c>
      <c r="C3841" s="162" t="s">
        <v>1655</v>
      </c>
      <c r="D3841" s="162" t="s">
        <v>1656</v>
      </c>
      <c r="F3841" s="162">
        <v>425</v>
      </c>
      <c r="G3841" s="162">
        <v>1</v>
      </c>
    </row>
    <row r="3842" spans="2:7" ht="28.8">
      <c r="B3842" s="162" t="s">
        <v>688</v>
      </c>
      <c r="C3842" s="162" t="s">
        <v>1657</v>
      </c>
      <c r="D3842" s="162" t="s">
        <v>1658</v>
      </c>
      <c r="F3842" s="162">
        <v>150</v>
      </c>
      <c r="G3842" s="162">
        <v>1</v>
      </c>
    </row>
    <row r="3843" spans="2:7" ht="43.2">
      <c r="B3843" s="162" t="s">
        <v>688</v>
      </c>
      <c r="C3843" s="162" t="s">
        <v>1659</v>
      </c>
      <c r="D3843" s="162" t="s">
        <v>1660</v>
      </c>
      <c r="F3843" s="162">
        <v>300</v>
      </c>
      <c r="G3843" s="162">
        <v>1</v>
      </c>
    </row>
    <row r="3844" spans="2:7" ht="43.2">
      <c r="B3844" s="162" t="s">
        <v>688</v>
      </c>
      <c r="C3844" s="162" t="s">
        <v>1661</v>
      </c>
      <c r="D3844" s="162" t="s">
        <v>1662</v>
      </c>
      <c r="F3844" s="162">
        <v>150</v>
      </c>
      <c r="G3844" s="162">
        <v>1</v>
      </c>
    </row>
    <row r="3845" spans="2:7" ht="57.6">
      <c r="B3845" s="162" t="s">
        <v>688</v>
      </c>
      <c r="C3845" s="162" t="s">
        <v>1663</v>
      </c>
      <c r="D3845" s="162" t="s">
        <v>1664</v>
      </c>
      <c r="F3845" s="162">
        <v>300</v>
      </c>
      <c r="G3845" s="162">
        <v>1</v>
      </c>
    </row>
    <row r="3846" spans="2:7" ht="28.8">
      <c r="B3846" s="162" t="s">
        <v>688</v>
      </c>
      <c r="C3846" s="162" t="s">
        <v>1665</v>
      </c>
      <c r="D3846" s="162" t="s">
        <v>1666</v>
      </c>
      <c r="F3846" s="162">
        <v>75</v>
      </c>
      <c r="G3846" s="162">
        <v>1</v>
      </c>
    </row>
    <row r="3847" spans="2:7" ht="43.2">
      <c r="B3847" s="162" t="s">
        <v>689</v>
      </c>
      <c r="C3847" s="162" t="s">
        <v>9353</v>
      </c>
      <c r="D3847" s="162" t="s">
        <v>9354</v>
      </c>
      <c r="E3847" s="162" t="s">
        <v>9355</v>
      </c>
      <c r="F3847" s="162">
        <v>7666</v>
      </c>
      <c r="G3847" s="162">
        <v>1</v>
      </c>
    </row>
    <row r="3848" spans="2:7" ht="43.2">
      <c r="B3848" s="162" t="s">
        <v>689</v>
      </c>
      <c r="C3848" s="162" t="s">
        <v>9356</v>
      </c>
      <c r="D3848" s="162" t="s">
        <v>9357</v>
      </c>
      <c r="E3848" s="162" t="s">
        <v>9358</v>
      </c>
      <c r="F3848" s="162">
        <v>9166</v>
      </c>
      <c r="G3848" s="162">
        <v>1</v>
      </c>
    </row>
    <row r="3849" spans="2:7" ht="43.2">
      <c r="B3849" s="162" t="s">
        <v>689</v>
      </c>
      <c r="C3849" s="162" t="s">
        <v>9359</v>
      </c>
      <c r="D3849" s="162" t="s">
        <v>9357</v>
      </c>
      <c r="E3849" s="162" t="s">
        <v>9358</v>
      </c>
      <c r="F3849" s="162">
        <v>9166</v>
      </c>
      <c r="G3849" s="162">
        <v>1</v>
      </c>
    </row>
    <row r="3850" spans="2:7" ht="43.2">
      <c r="B3850" s="162" t="s">
        <v>689</v>
      </c>
      <c r="C3850" s="162" t="s">
        <v>9360</v>
      </c>
      <c r="D3850" s="162" t="s">
        <v>9361</v>
      </c>
      <c r="E3850" s="162" t="s">
        <v>9362</v>
      </c>
      <c r="F3850" s="162">
        <v>7500</v>
      </c>
      <c r="G3850" s="162">
        <v>1</v>
      </c>
    </row>
    <row r="3851" spans="2:7" ht="43.2">
      <c r="B3851" s="162" t="s">
        <v>689</v>
      </c>
      <c r="C3851" s="162" t="s">
        <v>9363</v>
      </c>
      <c r="D3851" s="162" t="s">
        <v>9364</v>
      </c>
      <c r="E3851" s="162" t="s">
        <v>9365</v>
      </c>
      <c r="F3851" s="162">
        <v>20000</v>
      </c>
      <c r="G3851" s="162">
        <v>1</v>
      </c>
    </row>
    <row r="3852" spans="2:7" ht="43.2">
      <c r="B3852" s="162" t="s">
        <v>689</v>
      </c>
      <c r="C3852" s="162" t="s">
        <v>9366</v>
      </c>
      <c r="D3852" s="162" t="s">
        <v>9367</v>
      </c>
      <c r="E3852" s="162" t="s">
        <v>9365</v>
      </c>
      <c r="F3852" s="162">
        <v>21666</v>
      </c>
      <c r="G3852" s="162">
        <v>1</v>
      </c>
    </row>
    <row r="3853" spans="2:7" ht="43.2">
      <c r="B3853" s="162" t="s">
        <v>689</v>
      </c>
      <c r="C3853" s="162" t="s">
        <v>9368</v>
      </c>
      <c r="D3853" s="162" t="s">
        <v>9369</v>
      </c>
      <c r="E3853" s="162" t="s">
        <v>9365</v>
      </c>
      <c r="F3853" s="162">
        <v>21666</v>
      </c>
      <c r="G3853" s="162">
        <v>1</v>
      </c>
    </row>
    <row r="3854" spans="2:7" ht="57.6">
      <c r="B3854" s="162" t="s">
        <v>689</v>
      </c>
      <c r="C3854" s="162" t="s">
        <v>9370</v>
      </c>
      <c r="D3854" s="162" t="s">
        <v>9371</v>
      </c>
      <c r="E3854" s="162" t="s">
        <v>9355</v>
      </c>
      <c r="F3854" s="162">
        <v>5833</v>
      </c>
      <c r="G3854" s="162">
        <v>1</v>
      </c>
    </row>
    <row r="3855" spans="2:7" ht="43.2">
      <c r="B3855" s="162" t="s">
        <v>689</v>
      </c>
      <c r="C3855" s="162" t="s">
        <v>9372</v>
      </c>
      <c r="D3855" s="162" t="s">
        <v>9373</v>
      </c>
      <c r="E3855" s="162" t="s">
        <v>9374</v>
      </c>
      <c r="F3855" s="162">
        <v>2000</v>
      </c>
      <c r="G3855" s="162">
        <v>1</v>
      </c>
    </row>
    <row r="3856" spans="2:7" ht="28.8">
      <c r="B3856" s="162" t="s">
        <v>689</v>
      </c>
      <c r="C3856" s="162" t="s">
        <v>9375</v>
      </c>
      <c r="D3856" s="162" t="s">
        <v>9376</v>
      </c>
      <c r="E3856" s="162" t="s">
        <v>9374</v>
      </c>
      <c r="F3856" s="162">
        <v>2166</v>
      </c>
      <c r="G3856" s="162">
        <v>1</v>
      </c>
    </row>
    <row r="3857" spans="2:7" ht="43.2">
      <c r="B3857" s="162" t="s">
        <v>689</v>
      </c>
      <c r="C3857" s="162" t="s">
        <v>9377</v>
      </c>
      <c r="D3857" s="162" t="s">
        <v>9378</v>
      </c>
      <c r="E3857" s="162" t="s">
        <v>9374</v>
      </c>
      <c r="F3857" s="162">
        <v>1417</v>
      </c>
      <c r="G3857" s="162">
        <v>1</v>
      </c>
    </row>
    <row r="3858" spans="2:7" ht="43.2">
      <c r="B3858" s="162" t="s">
        <v>689</v>
      </c>
      <c r="C3858" s="162" t="s">
        <v>9379</v>
      </c>
      <c r="D3858" s="162" t="s">
        <v>9380</v>
      </c>
      <c r="E3858" s="162" t="s">
        <v>9374</v>
      </c>
      <c r="F3858" s="162">
        <v>1166</v>
      </c>
      <c r="G3858" s="162">
        <v>1</v>
      </c>
    </row>
    <row r="3859" spans="2:7" ht="43.2">
      <c r="B3859" s="162" t="s">
        <v>689</v>
      </c>
      <c r="C3859" s="162" t="s">
        <v>9381</v>
      </c>
      <c r="D3859" s="162" t="s">
        <v>9382</v>
      </c>
      <c r="E3859" s="162" t="s">
        <v>9374</v>
      </c>
      <c r="F3859" s="162">
        <v>1200</v>
      </c>
      <c r="G3859" s="162">
        <v>1</v>
      </c>
    </row>
    <row r="3860" spans="2:7" ht="43.2">
      <c r="B3860" s="162" t="s">
        <v>689</v>
      </c>
      <c r="C3860" s="162" t="s">
        <v>9383</v>
      </c>
      <c r="D3860" s="162" t="s">
        <v>9384</v>
      </c>
      <c r="E3860" s="162" t="s">
        <v>9385</v>
      </c>
      <c r="F3860" s="162">
        <v>2667</v>
      </c>
      <c r="G3860" s="162">
        <v>1</v>
      </c>
    </row>
    <row r="3861" spans="2:7">
      <c r="B3861" s="162" t="s">
        <v>689</v>
      </c>
      <c r="C3861" s="162" t="s">
        <v>9386</v>
      </c>
      <c r="D3861" s="162" t="s">
        <v>9387</v>
      </c>
      <c r="E3861" s="162" t="s">
        <v>9385</v>
      </c>
      <c r="F3861" s="162">
        <v>11333</v>
      </c>
      <c r="G3861" s="162">
        <v>1</v>
      </c>
    </row>
    <row r="3862" spans="2:7">
      <c r="B3862" s="162" t="s">
        <v>689</v>
      </c>
      <c r="C3862" s="162" t="s">
        <v>9388</v>
      </c>
      <c r="D3862" s="162" t="s">
        <v>9389</v>
      </c>
      <c r="E3862" s="162" t="s">
        <v>9385</v>
      </c>
      <c r="F3862" s="162">
        <v>25500</v>
      </c>
      <c r="G3862" s="162">
        <v>1</v>
      </c>
    </row>
    <row r="3863" spans="2:7" ht="57.6">
      <c r="B3863" s="162" t="s">
        <v>689</v>
      </c>
      <c r="C3863" s="162" t="s">
        <v>9390</v>
      </c>
      <c r="D3863" s="162" t="s">
        <v>9391</v>
      </c>
      <c r="E3863" s="162" t="s">
        <v>9385</v>
      </c>
      <c r="F3863" s="162">
        <v>3333</v>
      </c>
      <c r="G3863" s="162">
        <v>1</v>
      </c>
    </row>
    <row r="3864" spans="2:7">
      <c r="B3864" s="162" t="s">
        <v>689</v>
      </c>
      <c r="C3864" s="162" t="s">
        <v>9392</v>
      </c>
      <c r="D3864" s="162" t="s">
        <v>9393</v>
      </c>
      <c r="E3864" s="162" t="s">
        <v>9385</v>
      </c>
      <c r="F3864" s="162">
        <v>14666</v>
      </c>
      <c r="G3864" s="162">
        <v>1</v>
      </c>
    </row>
    <row r="3865" spans="2:7">
      <c r="B3865" s="162" t="s">
        <v>689</v>
      </c>
      <c r="C3865" s="162" t="s">
        <v>9394</v>
      </c>
      <c r="D3865" s="162" t="s">
        <v>9395</v>
      </c>
      <c r="E3865" s="162" t="s">
        <v>9385</v>
      </c>
      <c r="F3865" s="162">
        <v>33000</v>
      </c>
      <c r="G3865" s="162">
        <v>1</v>
      </c>
    </row>
    <row r="3866" spans="2:7" ht="72">
      <c r="B3866" s="162" t="s">
        <v>689</v>
      </c>
      <c r="C3866" s="162" t="s">
        <v>9396</v>
      </c>
      <c r="D3866" s="162" t="s">
        <v>9397</v>
      </c>
      <c r="E3866" s="162" t="s">
        <v>9385</v>
      </c>
      <c r="F3866" s="162">
        <v>5000</v>
      </c>
      <c r="G3866" s="162">
        <v>1</v>
      </c>
    </row>
    <row r="3867" spans="2:7">
      <c r="B3867" s="162" t="s">
        <v>689</v>
      </c>
      <c r="C3867" s="162" t="s">
        <v>9398</v>
      </c>
      <c r="D3867" s="162" t="s">
        <v>9399</v>
      </c>
      <c r="E3867" s="162" t="s">
        <v>9385</v>
      </c>
      <c r="F3867" s="162">
        <v>21333</v>
      </c>
      <c r="G3867" s="162">
        <v>1</v>
      </c>
    </row>
    <row r="3868" spans="2:7">
      <c r="B3868" s="162" t="s">
        <v>689</v>
      </c>
      <c r="C3868" s="162" t="s">
        <v>9400</v>
      </c>
      <c r="D3868" s="162" t="s">
        <v>9401</v>
      </c>
      <c r="E3868" s="162" t="s">
        <v>9385</v>
      </c>
      <c r="F3868" s="162">
        <v>48000</v>
      </c>
      <c r="G3868" s="162">
        <v>1</v>
      </c>
    </row>
    <row r="3869" spans="2:7" ht="57.6">
      <c r="B3869" s="162" t="s">
        <v>689</v>
      </c>
      <c r="C3869" s="162" t="s">
        <v>9402</v>
      </c>
      <c r="D3869" s="162" t="s">
        <v>9403</v>
      </c>
      <c r="E3869" s="162" t="s">
        <v>9385</v>
      </c>
      <c r="F3869" s="162">
        <v>4666</v>
      </c>
      <c r="G3869" s="162">
        <v>1</v>
      </c>
    </row>
    <row r="3870" spans="2:7">
      <c r="B3870" s="162" t="s">
        <v>689</v>
      </c>
      <c r="C3870" s="162" t="s">
        <v>9404</v>
      </c>
      <c r="D3870" s="162" t="s">
        <v>9405</v>
      </c>
      <c r="E3870" s="162" t="s">
        <v>9385</v>
      </c>
      <c r="F3870" s="162">
        <v>18666</v>
      </c>
      <c r="G3870" s="162">
        <v>1</v>
      </c>
    </row>
    <row r="3871" spans="2:7">
      <c r="B3871" s="162" t="s">
        <v>689</v>
      </c>
      <c r="C3871" s="162" t="s">
        <v>9406</v>
      </c>
      <c r="D3871" s="162" t="s">
        <v>9407</v>
      </c>
      <c r="E3871" s="162" t="s">
        <v>9385</v>
      </c>
      <c r="F3871" s="162">
        <v>42000</v>
      </c>
      <c r="G3871" s="162">
        <v>1</v>
      </c>
    </row>
    <row r="3872" spans="2:7" ht="129.6">
      <c r="B3872" s="162" t="s">
        <v>689</v>
      </c>
      <c r="C3872" s="162" t="s">
        <v>9408</v>
      </c>
      <c r="D3872" s="162" t="s">
        <v>9409</v>
      </c>
      <c r="E3872" s="162" t="s">
        <v>9410</v>
      </c>
      <c r="F3872" s="162">
        <v>9000</v>
      </c>
      <c r="G3872" s="162">
        <v>1</v>
      </c>
    </row>
    <row r="3873" spans="2:7" ht="43.2">
      <c r="B3873" s="162" t="s">
        <v>689</v>
      </c>
      <c r="C3873" s="162" t="s">
        <v>9411</v>
      </c>
      <c r="D3873" s="162" t="s">
        <v>9412</v>
      </c>
      <c r="E3873" s="162" t="s">
        <v>9410</v>
      </c>
      <c r="F3873" s="162">
        <v>4500</v>
      </c>
      <c r="G3873" s="162">
        <v>1</v>
      </c>
    </row>
    <row r="3874" spans="2:7" ht="43.2">
      <c r="B3874" s="162" t="s">
        <v>689</v>
      </c>
      <c r="C3874" s="162" t="s">
        <v>9413</v>
      </c>
      <c r="D3874" s="162" t="s">
        <v>9414</v>
      </c>
      <c r="E3874" s="162" t="s">
        <v>9415</v>
      </c>
      <c r="F3874" s="162">
        <v>11666</v>
      </c>
      <c r="G3874" s="162">
        <v>1</v>
      </c>
    </row>
    <row r="3875" spans="2:7" ht="28.8">
      <c r="B3875" s="162" t="s">
        <v>689</v>
      </c>
      <c r="C3875" s="162" t="s">
        <v>9416</v>
      </c>
      <c r="D3875" s="162" t="s">
        <v>9417</v>
      </c>
      <c r="E3875" s="162" t="s">
        <v>9355</v>
      </c>
      <c r="F3875" s="162">
        <v>3083</v>
      </c>
      <c r="G3875" s="162">
        <v>1</v>
      </c>
    </row>
    <row r="3876" spans="2:7" ht="43.2">
      <c r="B3876" s="162" t="s">
        <v>689</v>
      </c>
      <c r="C3876" s="162" t="s">
        <v>9418</v>
      </c>
      <c r="D3876" s="162" t="s">
        <v>9373</v>
      </c>
      <c r="E3876" s="162" t="s">
        <v>9374</v>
      </c>
      <c r="F3876" s="162">
        <v>2500</v>
      </c>
      <c r="G3876" s="162">
        <v>1</v>
      </c>
    </row>
    <row r="3877" spans="2:7" ht="43.2">
      <c r="B3877" s="162" t="s">
        <v>689</v>
      </c>
      <c r="C3877" s="162" t="s">
        <v>9419</v>
      </c>
      <c r="D3877" s="162" t="s">
        <v>9420</v>
      </c>
      <c r="E3877" s="162" t="s">
        <v>9374</v>
      </c>
      <c r="F3877" s="162">
        <v>2666</v>
      </c>
      <c r="G3877" s="162">
        <v>1</v>
      </c>
    </row>
    <row r="3878" spans="2:7" ht="43.2">
      <c r="B3878" s="162" t="s">
        <v>689</v>
      </c>
      <c r="C3878" s="162" t="s">
        <v>9421</v>
      </c>
      <c r="D3878" s="162" t="s">
        <v>9422</v>
      </c>
      <c r="E3878" s="162" t="s">
        <v>9374</v>
      </c>
      <c r="F3878" s="162">
        <v>1666</v>
      </c>
      <c r="G3878" s="162">
        <v>1</v>
      </c>
    </row>
    <row r="3879" spans="2:7" ht="43.2">
      <c r="B3879" s="162" t="s">
        <v>689</v>
      </c>
      <c r="C3879" s="162" t="s">
        <v>9423</v>
      </c>
      <c r="D3879" s="162" t="s">
        <v>9380</v>
      </c>
      <c r="E3879" s="162" t="s">
        <v>9374</v>
      </c>
      <c r="F3879" s="162">
        <v>1467</v>
      </c>
      <c r="G3879" s="162">
        <v>1</v>
      </c>
    </row>
    <row r="3880" spans="2:7" ht="43.2">
      <c r="B3880" s="162" t="s">
        <v>689</v>
      </c>
      <c r="C3880" s="162" t="s">
        <v>9424</v>
      </c>
      <c r="D3880" s="162" t="s">
        <v>9382</v>
      </c>
      <c r="E3880" s="162" t="s">
        <v>9374</v>
      </c>
      <c r="F3880" s="162">
        <v>1517</v>
      </c>
      <c r="G3880" s="162">
        <v>1</v>
      </c>
    </row>
    <row r="3881" spans="2:7" ht="28.8">
      <c r="B3881" s="162" t="s">
        <v>689</v>
      </c>
      <c r="C3881" s="162" t="s">
        <v>9425</v>
      </c>
      <c r="D3881" s="162" t="s">
        <v>9426</v>
      </c>
      <c r="E3881" s="162" t="s">
        <v>9355</v>
      </c>
      <c r="F3881" s="162">
        <v>4166</v>
      </c>
      <c r="G3881" s="162">
        <v>1</v>
      </c>
    </row>
    <row r="3882" spans="2:7" ht="43.2">
      <c r="B3882" s="162" t="s">
        <v>689</v>
      </c>
      <c r="C3882" s="162" t="s">
        <v>9427</v>
      </c>
      <c r="D3882" s="162" t="s">
        <v>9428</v>
      </c>
      <c r="E3882" s="162" t="s">
        <v>9374</v>
      </c>
      <c r="F3882" s="162">
        <v>4500</v>
      </c>
      <c r="G3882" s="162">
        <v>1</v>
      </c>
    </row>
    <row r="3883" spans="2:7" ht="43.2">
      <c r="B3883" s="162" t="s">
        <v>689</v>
      </c>
      <c r="C3883" s="162" t="s">
        <v>9429</v>
      </c>
      <c r="D3883" s="162" t="s">
        <v>9430</v>
      </c>
      <c r="E3883" s="162" t="s">
        <v>9374</v>
      </c>
      <c r="F3883" s="162">
        <v>2333</v>
      </c>
      <c r="G3883" s="162">
        <v>1</v>
      </c>
    </row>
    <row r="3884" spans="2:7" ht="43.2">
      <c r="B3884" s="162" t="s">
        <v>689</v>
      </c>
      <c r="C3884" s="162" t="s">
        <v>9431</v>
      </c>
      <c r="D3884" s="162" t="s">
        <v>9380</v>
      </c>
      <c r="E3884" s="162" t="s">
        <v>9374</v>
      </c>
      <c r="F3884" s="162">
        <v>2083</v>
      </c>
      <c r="G3884" s="162">
        <v>1</v>
      </c>
    </row>
    <row r="3885" spans="2:7" ht="43.2">
      <c r="B3885" s="162" t="s">
        <v>689</v>
      </c>
      <c r="C3885" s="162" t="s">
        <v>9432</v>
      </c>
      <c r="D3885" s="162" t="s">
        <v>9382</v>
      </c>
      <c r="E3885" s="162" t="s">
        <v>9374</v>
      </c>
      <c r="F3885" s="162">
        <v>2167</v>
      </c>
      <c r="G3885" s="162">
        <v>1</v>
      </c>
    </row>
    <row r="3886" spans="2:7" ht="43.2">
      <c r="B3886" s="162" t="s">
        <v>689</v>
      </c>
      <c r="C3886" s="162" t="s">
        <v>9433</v>
      </c>
      <c r="D3886" s="162" t="s">
        <v>9434</v>
      </c>
      <c r="E3886" s="162" t="s">
        <v>9410</v>
      </c>
      <c r="F3886" s="162">
        <v>30000</v>
      </c>
      <c r="G3886" s="162">
        <v>1</v>
      </c>
    </row>
    <row r="3887" spans="2:7" ht="187.2">
      <c r="B3887" s="162" t="s">
        <v>689</v>
      </c>
      <c r="C3887" s="162" t="s">
        <v>9435</v>
      </c>
      <c r="D3887" s="162" t="s">
        <v>9436</v>
      </c>
      <c r="E3887" s="162" t="s">
        <v>9410</v>
      </c>
      <c r="F3887" s="162">
        <v>11666</v>
      </c>
      <c r="G3887" s="162">
        <v>1</v>
      </c>
    </row>
    <row r="3888" spans="2:7" ht="28.8">
      <c r="B3888" s="162" t="s">
        <v>689</v>
      </c>
      <c r="C3888" s="162" t="s">
        <v>9437</v>
      </c>
      <c r="D3888" s="162" t="s">
        <v>9438</v>
      </c>
      <c r="E3888" s="162" t="s">
        <v>9355</v>
      </c>
      <c r="F3888" s="162">
        <v>5666</v>
      </c>
      <c r="G3888" s="162">
        <v>1</v>
      </c>
    </row>
    <row r="3889" spans="2:7" ht="43.2">
      <c r="B3889" s="162" t="s">
        <v>689</v>
      </c>
      <c r="C3889" s="162" t="s">
        <v>9439</v>
      </c>
      <c r="D3889" s="162" t="s">
        <v>9428</v>
      </c>
      <c r="E3889" s="162" t="s">
        <v>9374</v>
      </c>
      <c r="F3889" s="162">
        <v>7000</v>
      </c>
      <c r="G3889" s="162">
        <v>1</v>
      </c>
    </row>
    <row r="3890" spans="2:7" ht="43.2">
      <c r="B3890" s="162" t="s">
        <v>689</v>
      </c>
      <c r="C3890" s="162" t="s">
        <v>9440</v>
      </c>
      <c r="D3890" s="162" t="s">
        <v>9441</v>
      </c>
      <c r="E3890" s="162" t="s">
        <v>9374</v>
      </c>
      <c r="F3890" s="162">
        <v>3500</v>
      </c>
      <c r="G3890" s="162">
        <v>1</v>
      </c>
    </row>
    <row r="3891" spans="2:7" ht="43.2">
      <c r="B3891" s="162" t="s">
        <v>689</v>
      </c>
      <c r="C3891" s="162" t="s">
        <v>9442</v>
      </c>
      <c r="D3891" s="162" t="s">
        <v>9443</v>
      </c>
      <c r="E3891" s="162" t="s">
        <v>9374</v>
      </c>
      <c r="F3891" s="162">
        <v>3083</v>
      </c>
      <c r="G3891" s="162">
        <v>1</v>
      </c>
    </row>
    <row r="3892" spans="2:7" ht="43.2">
      <c r="B3892" s="162" t="s">
        <v>689</v>
      </c>
      <c r="C3892" s="162" t="s">
        <v>9444</v>
      </c>
      <c r="D3892" s="162" t="s">
        <v>9382</v>
      </c>
      <c r="E3892" s="162" t="s">
        <v>9374</v>
      </c>
      <c r="F3892" s="162">
        <v>3167</v>
      </c>
      <c r="G3892" s="162">
        <v>1</v>
      </c>
    </row>
    <row r="3893" spans="2:7" ht="43.2">
      <c r="B3893" s="162" t="s">
        <v>689</v>
      </c>
      <c r="C3893" s="162" t="s">
        <v>9445</v>
      </c>
      <c r="D3893" s="162" t="s">
        <v>9428</v>
      </c>
      <c r="E3893" s="162" t="s">
        <v>9374</v>
      </c>
      <c r="F3893" s="162">
        <v>14167</v>
      </c>
      <c r="G3893" s="162">
        <v>1</v>
      </c>
    </row>
    <row r="3894" spans="2:7" ht="28.8">
      <c r="B3894" s="162" t="s">
        <v>689</v>
      </c>
      <c r="C3894" s="162" t="s">
        <v>9446</v>
      </c>
      <c r="D3894" s="162" t="s">
        <v>9447</v>
      </c>
      <c r="E3894" s="162" t="s">
        <v>9374</v>
      </c>
      <c r="F3894" s="162">
        <v>11667</v>
      </c>
      <c r="G3894" s="162">
        <v>1</v>
      </c>
    </row>
    <row r="3895" spans="2:7" ht="28.8">
      <c r="B3895" s="162" t="s">
        <v>689</v>
      </c>
      <c r="C3895" s="162" t="s">
        <v>9448</v>
      </c>
      <c r="D3895" s="162" t="s">
        <v>9449</v>
      </c>
      <c r="E3895" s="162" t="s">
        <v>9374</v>
      </c>
      <c r="F3895" s="162">
        <v>32500</v>
      </c>
      <c r="G3895" s="162">
        <v>1</v>
      </c>
    </row>
    <row r="3896" spans="2:7" ht="28.8">
      <c r="B3896" s="162" t="s">
        <v>689</v>
      </c>
      <c r="C3896" s="162" t="s">
        <v>9450</v>
      </c>
      <c r="D3896" s="162" t="s">
        <v>9451</v>
      </c>
      <c r="E3896" s="162" t="s">
        <v>9452</v>
      </c>
      <c r="F3896" s="162">
        <v>53333</v>
      </c>
      <c r="G3896" s="162">
        <v>1</v>
      </c>
    </row>
    <row r="3897" spans="2:7" ht="28.8">
      <c r="B3897" s="162" t="s">
        <v>689</v>
      </c>
      <c r="C3897" s="162" t="s">
        <v>9453</v>
      </c>
      <c r="D3897" s="162" t="s">
        <v>9454</v>
      </c>
      <c r="E3897" s="162" t="s">
        <v>9452</v>
      </c>
      <c r="F3897" s="162">
        <v>66667</v>
      </c>
      <c r="G3897" s="162">
        <v>1</v>
      </c>
    </row>
    <row r="3898" spans="2:7" ht="28.8">
      <c r="B3898" s="162" t="s">
        <v>689</v>
      </c>
      <c r="C3898" s="162" t="s">
        <v>9455</v>
      </c>
      <c r="D3898" s="162" t="s">
        <v>9456</v>
      </c>
      <c r="E3898" s="162" t="s">
        <v>9452</v>
      </c>
      <c r="F3898" s="162">
        <v>80000</v>
      </c>
      <c r="G3898" s="162">
        <v>1</v>
      </c>
    </row>
    <row r="3899" spans="2:7" ht="43.2">
      <c r="B3899" s="162" t="s">
        <v>690</v>
      </c>
      <c r="C3899" s="162" t="s">
        <v>1667</v>
      </c>
      <c r="D3899" s="162" t="s">
        <v>1668</v>
      </c>
      <c r="F3899" s="162">
        <v>74</v>
      </c>
      <c r="G3899" s="162">
        <v>1</v>
      </c>
    </row>
    <row r="3900" spans="2:7" ht="43.2">
      <c r="B3900" s="162" t="s">
        <v>690</v>
      </c>
      <c r="C3900" s="162" t="s">
        <v>1669</v>
      </c>
      <c r="D3900" s="162" t="s">
        <v>1670</v>
      </c>
      <c r="F3900" s="162">
        <v>28</v>
      </c>
      <c r="G3900" s="162">
        <v>1</v>
      </c>
    </row>
    <row r="3901" spans="2:7" ht="43.2">
      <c r="B3901" s="162" t="s">
        <v>690</v>
      </c>
      <c r="C3901" s="162" t="s">
        <v>1671</v>
      </c>
      <c r="D3901" s="162" t="s">
        <v>1672</v>
      </c>
      <c r="F3901" s="162">
        <v>1096</v>
      </c>
      <c r="G3901" s="162">
        <v>1</v>
      </c>
    </row>
    <row r="3902" spans="2:7" ht="43.2">
      <c r="B3902" s="162" t="s">
        <v>690</v>
      </c>
      <c r="C3902" s="162" t="s">
        <v>1673</v>
      </c>
      <c r="D3902" s="162" t="s">
        <v>1674</v>
      </c>
      <c r="F3902" s="162">
        <v>258</v>
      </c>
      <c r="G3902" s="162">
        <v>1</v>
      </c>
    </row>
    <row r="3903" spans="2:7" ht="43.2">
      <c r="B3903" s="162" t="s">
        <v>690</v>
      </c>
      <c r="C3903" s="162" t="s">
        <v>1675</v>
      </c>
      <c r="D3903" s="162" t="s">
        <v>1676</v>
      </c>
      <c r="F3903" s="162">
        <v>449</v>
      </c>
      <c r="G3903" s="162">
        <v>1</v>
      </c>
    </row>
    <row r="3904" spans="2:7" ht="43.2">
      <c r="B3904" s="162" t="s">
        <v>690</v>
      </c>
      <c r="C3904" s="162" t="s">
        <v>1677</v>
      </c>
      <c r="D3904" s="162" t="s">
        <v>1678</v>
      </c>
      <c r="F3904" s="162">
        <v>951</v>
      </c>
      <c r="G3904" s="162">
        <v>1</v>
      </c>
    </row>
    <row r="3905" spans="2:7" ht="43.2">
      <c r="B3905" s="162" t="s">
        <v>690</v>
      </c>
      <c r="C3905" s="162" t="s">
        <v>1679</v>
      </c>
      <c r="D3905" s="162" t="s">
        <v>1680</v>
      </c>
      <c r="F3905" s="162">
        <v>33</v>
      </c>
      <c r="G3905" s="162">
        <v>1</v>
      </c>
    </row>
    <row r="3906" spans="2:7" ht="43.2">
      <c r="B3906" s="162" t="s">
        <v>690</v>
      </c>
      <c r="C3906" s="162" t="s">
        <v>1681</v>
      </c>
      <c r="D3906" s="162" t="s">
        <v>1682</v>
      </c>
      <c r="F3906" s="162">
        <v>17</v>
      </c>
      <c r="G3906" s="162">
        <v>1</v>
      </c>
    </row>
    <row r="3907" spans="2:7" ht="43.2">
      <c r="B3907" s="162" t="s">
        <v>690</v>
      </c>
      <c r="C3907" s="162" t="s">
        <v>1683</v>
      </c>
      <c r="D3907" s="162" t="s">
        <v>1684</v>
      </c>
      <c r="F3907" s="162">
        <v>16</v>
      </c>
      <c r="G3907" s="162">
        <v>1</v>
      </c>
    </row>
    <row r="3908" spans="2:7" ht="100.8">
      <c r="B3908" s="162" t="s">
        <v>691</v>
      </c>
      <c r="C3908" s="162" t="s">
        <v>9457</v>
      </c>
      <c r="D3908" s="162" t="s">
        <v>9458</v>
      </c>
      <c r="E3908" s="162" t="s">
        <v>9459</v>
      </c>
      <c r="F3908" s="162">
        <v>3999</v>
      </c>
      <c r="G3908" s="162">
        <v>1</v>
      </c>
    </row>
    <row r="3909" spans="2:7" ht="100.8">
      <c r="B3909" s="162" t="s">
        <v>691</v>
      </c>
      <c r="C3909" s="162" t="s">
        <v>9460</v>
      </c>
      <c r="D3909" s="162" t="s">
        <v>9461</v>
      </c>
      <c r="E3909" s="162" t="s">
        <v>9462</v>
      </c>
      <c r="F3909" s="162">
        <v>3999</v>
      </c>
      <c r="G3909" s="162">
        <v>1</v>
      </c>
    </row>
    <row r="3910" spans="2:7" ht="86.4">
      <c r="B3910" s="162" t="s">
        <v>691</v>
      </c>
      <c r="C3910" s="162" t="s">
        <v>9463</v>
      </c>
      <c r="D3910" s="162" t="s">
        <v>9464</v>
      </c>
      <c r="E3910" s="162" t="s">
        <v>9465</v>
      </c>
      <c r="F3910" s="162">
        <v>3999</v>
      </c>
      <c r="G3910" s="162">
        <v>1</v>
      </c>
    </row>
    <row r="3911" spans="2:7" ht="100.8">
      <c r="B3911" s="162" t="s">
        <v>691</v>
      </c>
      <c r="C3911" s="162" t="s">
        <v>9466</v>
      </c>
      <c r="D3911" s="162" t="s">
        <v>9467</v>
      </c>
      <c r="E3911" s="162" t="s">
        <v>9468</v>
      </c>
      <c r="F3911" s="162">
        <v>2999</v>
      </c>
      <c r="G3911" s="162">
        <v>1</v>
      </c>
    </row>
    <row r="3912" spans="2:7" ht="100.8">
      <c r="B3912" s="162" t="s">
        <v>691</v>
      </c>
      <c r="C3912" s="162" t="s">
        <v>9469</v>
      </c>
      <c r="D3912" s="162" t="s">
        <v>9470</v>
      </c>
      <c r="E3912" s="162" t="s">
        <v>9471</v>
      </c>
      <c r="F3912" s="162">
        <v>2999</v>
      </c>
      <c r="G3912" s="162">
        <v>1</v>
      </c>
    </row>
    <row r="3913" spans="2:7" ht="100.8">
      <c r="B3913" s="162" t="s">
        <v>691</v>
      </c>
      <c r="C3913" s="162" t="s">
        <v>9472</v>
      </c>
      <c r="D3913" s="162" t="s">
        <v>9473</v>
      </c>
      <c r="E3913" s="162" t="s">
        <v>9474</v>
      </c>
      <c r="F3913" s="162">
        <v>2999</v>
      </c>
      <c r="G3913" s="162">
        <v>1</v>
      </c>
    </row>
    <row r="3914" spans="2:7" ht="57.6">
      <c r="B3914" s="162" t="s">
        <v>691</v>
      </c>
      <c r="C3914" s="162" t="s">
        <v>9475</v>
      </c>
      <c r="D3914" s="162" t="s">
        <v>9476</v>
      </c>
      <c r="E3914" s="162" t="s">
        <v>9477</v>
      </c>
      <c r="F3914" s="162">
        <v>2599</v>
      </c>
      <c r="G3914" s="162">
        <v>1</v>
      </c>
    </row>
    <row r="3915" spans="2:7" ht="57.6">
      <c r="B3915" s="162" t="s">
        <v>691</v>
      </c>
      <c r="C3915" s="162" t="s">
        <v>9478</v>
      </c>
      <c r="D3915" s="162" t="s">
        <v>9479</v>
      </c>
      <c r="E3915" s="162" t="s">
        <v>9480</v>
      </c>
      <c r="F3915" s="162">
        <v>2599</v>
      </c>
      <c r="G3915" s="162">
        <v>1</v>
      </c>
    </row>
    <row r="3916" spans="2:7" ht="57.6">
      <c r="B3916" s="162" t="s">
        <v>691</v>
      </c>
      <c r="C3916" s="162" t="s">
        <v>9481</v>
      </c>
      <c r="D3916" s="162" t="s">
        <v>9482</v>
      </c>
      <c r="E3916" s="162" t="s">
        <v>9483</v>
      </c>
      <c r="F3916" s="162">
        <v>2099</v>
      </c>
      <c r="G3916" s="162">
        <v>1</v>
      </c>
    </row>
    <row r="3917" spans="2:7" ht="57.6">
      <c r="B3917" s="162" t="s">
        <v>691</v>
      </c>
      <c r="C3917" s="162" t="s">
        <v>9484</v>
      </c>
      <c r="D3917" s="162" t="s">
        <v>9485</v>
      </c>
      <c r="E3917" s="162" t="s">
        <v>9486</v>
      </c>
      <c r="F3917" s="162">
        <v>2099</v>
      </c>
      <c r="G3917" s="162">
        <v>1</v>
      </c>
    </row>
    <row r="3918" spans="2:7" ht="57.6">
      <c r="B3918" s="162" t="s">
        <v>691</v>
      </c>
      <c r="C3918" s="162" t="s">
        <v>9487</v>
      </c>
      <c r="D3918" s="162" t="s">
        <v>9488</v>
      </c>
      <c r="E3918" s="162" t="s">
        <v>9489</v>
      </c>
      <c r="F3918" s="162">
        <v>1399</v>
      </c>
      <c r="G3918" s="162">
        <v>1</v>
      </c>
    </row>
    <row r="3919" spans="2:7" ht="86.4">
      <c r="B3919" s="162" t="s">
        <v>691</v>
      </c>
      <c r="C3919" s="162" t="s">
        <v>9490</v>
      </c>
      <c r="D3919" s="162" t="s">
        <v>9491</v>
      </c>
      <c r="E3919" s="162" t="s">
        <v>9492</v>
      </c>
      <c r="F3919" s="162">
        <v>1699</v>
      </c>
      <c r="G3919" s="162">
        <v>1</v>
      </c>
    </row>
    <row r="3920" spans="2:7" ht="28.8">
      <c r="B3920" s="162" t="s">
        <v>691</v>
      </c>
      <c r="C3920" s="162" t="s">
        <v>9493</v>
      </c>
      <c r="D3920" s="162" t="s">
        <v>9494</v>
      </c>
      <c r="E3920" s="162" t="s">
        <v>9495</v>
      </c>
      <c r="F3920" s="162">
        <v>2299</v>
      </c>
      <c r="G3920" s="162">
        <v>1</v>
      </c>
    </row>
    <row r="3921" spans="2:7" ht="129.6">
      <c r="B3921" s="162" t="s">
        <v>691</v>
      </c>
      <c r="C3921" s="162" t="s">
        <v>9457</v>
      </c>
      <c r="D3921" s="162" t="s">
        <v>9496</v>
      </c>
      <c r="E3921" s="162" t="s">
        <v>9497</v>
      </c>
      <c r="F3921" s="162">
        <v>349.99</v>
      </c>
      <c r="G3921" s="162">
        <v>1</v>
      </c>
    </row>
    <row r="3922" spans="2:7" ht="115.2">
      <c r="B3922" s="162" t="s">
        <v>691</v>
      </c>
      <c r="C3922" s="162" t="s">
        <v>9460</v>
      </c>
      <c r="D3922" s="162" t="s">
        <v>9498</v>
      </c>
      <c r="E3922" s="162" t="s">
        <v>9499</v>
      </c>
      <c r="F3922" s="162">
        <v>349.99</v>
      </c>
      <c r="G3922" s="162">
        <v>1</v>
      </c>
    </row>
    <row r="3923" spans="2:7" ht="43.2">
      <c r="B3923" s="162" t="s">
        <v>691</v>
      </c>
      <c r="C3923" s="162" t="s">
        <v>9463</v>
      </c>
      <c r="D3923" s="162" t="s">
        <v>9500</v>
      </c>
      <c r="E3923" s="162" t="s">
        <v>9501</v>
      </c>
      <c r="F3923" s="162">
        <v>199</v>
      </c>
      <c r="G3923" s="162">
        <v>1</v>
      </c>
    </row>
    <row r="3924" spans="2:7" ht="57.6">
      <c r="B3924" s="162" t="s">
        <v>691</v>
      </c>
      <c r="C3924" s="162" t="s">
        <v>9466</v>
      </c>
      <c r="D3924" s="162" t="s">
        <v>9502</v>
      </c>
      <c r="E3924" s="162" t="s">
        <v>9503</v>
      </c>
      <c r="F3924" s="162">
        <v>69.989999999999995</v>
      </c>
      <c r="G3924" s="162">
        <v>1</v>
      </c>
    </row>
    <row r="3925" spans="2:7" ht="57.6">
      <c r="B3925" s="162" t="s">
        <v>691</v>
      </c>
      <c r="C3925" s="162" t="s">
        <v>9469</v>
      </c>
      <c r="D3925" s="162" t="s">
        <v>9504</v>
      </c>
      <c r="E3925" s="162" t="s">
        <v>9505</v>
      </c>
      <c r="F3925" s="162">
        <v>69.989999999999995</v>
      </c>
      <c r="G3925" s="162">
        <v>1</v>
      </c>
    </row>
    <row r="3926" spans="2:7" ht="72">
      <c r="B3926" s="162" t="s">
        <v>691</v>
      </c>
      <c r="C3926" s="162" t="s">
        <v>9472</v>
      </c>
      <c r="D3926" s="162" t="s">
        <v>9506</v>
      </c>
      <c r="E3926" s="162" t="s">
        <v>9507</v>
      </c>
      <c r="F3926" s="162">
        <v>249.99</v>
      </c>
      <c r="G3926" s="162">
        <v>1</v>
      </c>
    </row>
    <row r="3927" spans="2:7" ht="57.6">
      <c r="B3927" s="162" t="s">
        <v>691</v>
      </c>
      <c r="C3927" s="162" t="s">
        <v>9475</v>
      </c>
      <c r="D3927" s="162" t="s">
        <v>9508</v>
      </c>
      <c r="E3927" s="162" t="s">
        <v>9509</v>
      </c>
      <c r="F3927" s="162">
        <v>149.99</v>
      </c>
      <c r="G3927" s="162">
        <v>1</v>
      </c>
    </row>
    <row r="3928" spans="2:7" ht="72">
      <c r="B3928" s="162" t="s">
        <v>691</v>
      </c>
      <c r="C3928" s="162" t="s">
        <v>9478</v>
      </c>
      <c r="D3928" s="162" t="s">
        <v>9510</v>
      </c>
      <c r="E3928" s="162" t="s">
        <v>9511</v>
      </c>
      <c r="F3928" s="162">
        <v>249.99</v>
      </c>
      <c r="G3928" s="162">
        <v>1</v>
      </c>
    </row>
    <row r="3929" spans="2:7" ht="72">
      <c r="B3929" s="162" t="s">
        <v>691</v>
      </c>
      <c r="C3929" s="162" t="s">
        <v>9481</v>
      </c>
      <c r="D3929" s="162" t="s">
        <v>9512</v>
      </c>
      <c r="E3929" s="162" t="s">
        <v>9513</v>
      </c>
      <c r="F3929" s="162">
        <v>179</v>
      </c>
      <c r="G3929" s="162">
        <v>1</v>
      </c>
    </row>
    <row r="3930" spans="2:7" ht="144">
      <c r="B3930" s="162" t="s">
        <v>691</v>
      </c>
      <c r="C3930" s="162" t="s">
        <v>9484</v>
      </c>
      <c r="D3930" s="162" t="s">
        <v>9514</v>
      </c>
      <c r="E3930" s="162" t="s">
        <v>9515</v>
      </c>
      <c r="F3930" s="162">
        <v>99</v>
      </c>
      <c r="G3930" s="162">
        <v>1</v>
      </c>
    </row>
    <row r="3931" spans="2:7" ht="43.2">
      <c r="B3931" s="162" t="s">
        <v>691</v>
      </c>
      <c r="C3931" s="162" t="s">
        <v>9487</v>
      </c>
      <c r="D3931" s="162" t="s">
        <v>9516</v>
      </c>
      <c r="E3931" s="162" t="s">
        <v>9517</v>
      </c>
      <c r="F3931" s="162">
        <v>79</v>
      </c>
      <c r="G3931" s="162">
        <v>1</v>
      </c>
    </row>
    <row r="3932" spans="2:7" ht="100.8">
      <c r="B3932" s="162" t="s">
        <v>691</v>
      </c>
      <c r="C3932" s="162" t="s">
        <v>9490</v>
      </c>
      <c r="D3932" s="162" t="s">
        <v>9518</v>
      </c>
      <c r="E3932" s="162" t="s">
        <v>9519</v>
      </c>
      <c r="F3932" s="162">
        <v>1999</v>
      </c>
      <c r="G3932" s="162">
        <v>1</v>
      </c>
    </row>
    <row r="3933" spans="2:7" ht="100.8">
      <c r="B3933" s="162" t="s">
        <v>691</v>
      </c>
      <c r="C3933" s="162" t="s">
        <v>9493</v>
      </c>
      <c r="D3933" s="162" t="s">
        <v>9518</v>
      </c>
      <c r="E3933" s="162" t="s">
        <v>9520</v>
      </c>
      <c r="F3933" s="162">
        <v>1999</v>
      </c>
      <c r="G3933" s="162">
        <v>1</v>
      </c>
    </row>
    <row r="3934" spans="2:7" ht="72">
      <c r="B3934" s="162" t="s">
        <v>691</v>
      </c>
      <c r="C3934" s="162" t="s">
        <v>9521</v>
      </c>
      <c r="D3934" s="162" t="s">
        <v>9522</v>
      </c>
      <c r="E3934" s="162" t="s">
        <v>9523</v>
      </c>
      <c r="F3934" s="162">
        <v>1079.99</v>
      </c>
      <c r="G3934" s="162">
        <v>1</v>
      </c>
    </row>
    <row r="3935" spans="2:7" ht="43.2">
      <c r="B3935" s="162" t="s">
        <v>691</v>
      </c>
      <c r="C3935" s="162" t="s">
        <v>9524</v>
      </c>
      <c r="D3935" s="162" t="s">
        <v>9525</v>
      </c>
      <c r="E3935" s="162" t="s">
        <v>9526</v>
      </c>
      <c r="F3935" s="162">
        <v>899.99</v>
      </c>
      <c r="G3935" s="162">
        <v>1</v>
      </c>
    </row>
    <row r="3936" spans="2:7" ht="43.2">
      <c r="B3936" s="162" t="s">
        <v>691</v>
      </c>
      <c r="C3936" s="162" t="s">
        <v>9527</v>
      </c>
      <c r="D3936" s="162" t="s">
        <v>9528</v>
      </c>
      <c r="E3936" s="162" t="s">
        <v>9529</v>
      </c>
      <c r="F3936" s="162">
        <v>219.99</v>
      </c>
      <c r="G3936" s="162">
        <v>1</v>
      </c>
    </row>
    <row r="3937" spans="2:7" ht="43.2">
      <c r="B3937" s="162" t="s">
        <v>691</v>
      </c>
      <c r="C3937" s="162" t="s">
        <v>9530</v>
      </c>
      <c r="D3937" s="162" t="s">
        <v>9531</v>
      </c>
      <c r="E3937" s="162" t="s">
        <v>9532</v>
      </c>
      <c r="F3937" s="162">
        <v>99.99</v>
      </c>
      <c r="G3937" s="162">
        <v>1</v>
      </c>
    </row>
    <row r="3938" spans="2:7" ht="43.2">
      <c r="B3938" s="162" t="s">
        <v>691</v>
      </c>
      <c r="C3938" s="162" t="s">
        <v>9533</v>
      </c>
      <c r="D3938" s="162" t="s">
        <v>9534</v>
      </c>
      <c r="E3938" s="162" t="s">
        <v>9535</v>
      </c>
      <c r="F3938" s="162">
        <v>129.99</v>
      </c>
      <c r="G3938" s="162">
        <v>1</v>
      </c>
    </row>
    <row r="3939" spans="2:7" ht="43.2">
      <c r="B3939" s="162" t="s">
        <v>691</v>
      </c>
      <c r="C3939" s="162" t="s">
        <v>9536</v>
      </c>
      <c r="D3939" s="162" t="s">
        <v>9537</v>
      </c>
      <c r="E3939" s="162" t="s">
        <v>9538</v>
      </c>
      <c r="F3939" s="162">
        <v>79.989999999999995</v>
      </c>
      <c r="G3939" s="162">
        <v>1</v>
      </c>
    </row>
    <row r="3940" spans="2:7" ht="28.8">
      <c r="B3940" s="162" t="s">
        <v>691</v>
      </c>
      <c r="C3940" s="162" t="s">
        <v>9539</v>
      </c>
      <c r="D3940" s="162" t="s">
        <v>9540</v>
      </c>
      <c r="E3940" s="162" t="s">
        <v>9541</v>
      </c>
      <c r="F3940" s="162">
        <v>25</v>
      </c>
      <c r="G3940" s="162">
        <v>1</v>
      </c>
    </row>
    <row r="3941" spans="2:7" ht="172.8">
      <c r="B3941" s="162" t="s">
        <v>691</v>
      </c>
      <c r="C3941" s="162" t="s">
        <v>9542</v>
      </c>
      <c r="D3941" s="162" t="s">
        <v>9543</v>
      </c>
      <c r="E3941" s="162" t="s">
        <v>9544</v>
      </c>
      <c r="F3941" s="162">
        <v>999</v>
      </c>
      <c r="G3941" s="162">
        <v>1</v>
      </c>
    </row>
    <row r="3942" spans="2:7" ht="72">
      <c r="B3942" s="162" t="s">
        <v>691</v>
      </c>
      <c r="C3942" s="162" t="s">
        <v>9545</v>
      </c>
      <c r="D3942" s="162" t="s">
        <v>9546</v>
      </c>
      <c r="E3942" s="162" t="s">
        <v>9547</v>
      </c>
      <c r="F3942" s="162">
        <v>99.99</v>
      </c>
      <c r="G3942" s="162">
        <v>1</v>
      </c>
    </row>
    <row r="3943" spans="2:7" ht="115.2">
      <c r="B3943" s="162" t="s">
        <v>691</v>
      </c>
      <c r="C3943" s="162" t="s">
        <v>9548</v>
      </c>
      <c r="D3943" s="162" t="s">
        <v>9549</v>
      </c>
      <c r="E3943" s="162" t="s">
        <v>9550</v>
      </c>
      <c r="F3943" s="162">
        <v>499.99</v>
      </c>
      <c r="G3943" s="162">
        <v>1</v>
      </c>
    </row>
    <row r="3944" spans="2:7" ht="158.4">
      <c r="B3944" s="162" t="s">
        <v>691</v>
      </c>
      <c r="C3944" s="162" t="s">
        <v>9551</v>
      </c>
      <c r="D3944" s="162" t="s">
        <v>9552</v>
      </c>
      <c r="E3944" s="162" t="s">
        <v>9553</v>
      </c>
      <c r="F3944" s="162">
        <v>1349</v>
      </c>
      <c r="G3944" s="162">
        <v>1</v>
      </c>
    </row>
    <row r="3945" spans="2:7" ht="158.4">
      <c r="B3945" s="162" t="s">
        <v>691</v>
      </c>
      <c r="C3945" s="162" t="s">
        <v>9554</v>
      </c>
      <c r="D3945" s="162" t="s">
        <v>9555</v>
      </c>
      <c r="E3945" s="162" t="s">
        <v>9556</v>
      </c>
      <c r="F3945" s="162">
        <v>1099</v>
      </c>
      <c r="G3945" s="162">
        <v>1</v>
      </c>
    </row>
    <row r="3946" spans="2:7" ht="28.8">
      <c r="B3946" s="162" t="s">
        <v>691</v>
      </c>
      <c r="C3946" s="162" t="s">
        <v>9557</v>
      </c>
      <c r="D3946" s="162" t="s">
        <v>9558</v>
      </c>
      <c r="E3946" s="162" t="s">
        <v>9559</v>
      </c>
      <c r="F3946" s="162">
        <v>299.99</v>
      </c>
      <c r="G3946" s="162">
        <v>1</v>
      </c>
    </row>
    <row r="3947" spans="2:7" ht="28.8">
      <c r="B3947" s="162" t="s">
        <v>691</v>
      </c>
      <c r="C3947" s="162" t="s">
        <v>9560</v>
      </c>
      <c r="D3947" s="162" t="s">
        <v>9561</v>
      </c>
      <c r="E3947" s="162" t="s">
        <v>9562</v>
      </c>
      <c r="F3947" s="162">
        <v>199.99</v>
      </c>
      <c r="G3947" s="162">
        <v>1</v>
      </c>
    </row>
    <row r="3948" spans="2:7" ht="43.2">
      <c r="B3948" s="162" t="s">
        <v>691</v>
      </c>
      <c r="C3948" s="162" t="s">
        <v>9563</v>
      </c>
      <c r="D3948" s="162" t="s">
        <v>9564</v>
      </c>
      <c r="E3948" s="162" t="s">
        <v>9565</v>
      </c>
      <c r="F3948" s="162">
        <v>99.99</v>
      </c>
      <c r="G3948" s="162">
        <v>1</v>
      </c>
    </row>
    <row r="3949" spans="2:7" ht="72">
      <c r="B3949" s="162" t="s">
        <v>691</v>
      </c>
      <c r="C3949" s="162" t="s">
        <v>9566</v>
      </c>
      <c r="D3949" s="162" t="s">
        <v>9567</v>
      </c>
      <c r="E3949" s="162" t="s">
        <v>9568</v>
      </c>
      <c r="F3949" s="162">
        <v>849.99</v>
      </c>
      <c r="G3949" s="162">
        <v>1</v>
      </c>
    </row>
    <row r="3950" spans="2:7" ht="115.2">
      <c r="B3950" s="162" t="s">
        <v>691</v>
      </c>
      <c r="C3950" s="162" t="s">
        <v>9569</v>
      </c>
      <c r="D3950" s="162" t="s">
        <v>9570</v>
      </c>
      <c r="E3950" s="162" t="s">
        <v>9571</v>
      </c>
      <c r="F3950" s="162">
        <v>699</v>
      </c>
      <c r="G3950" s="162">
        <v>1</v>
      </c>
    </row>
    <row r="3951" spans="2:7" ht="129.6">
      <c r="B3951" s="162" t="s">
        <v>691</v>
      </c>
      <c r="C3951" s="162" t="s">
        <v>9572</v>
      </c>
      <c r="D3951" s="162" t="s">
        <v>9573</v>
      </c>
      <c r="E3951" s="162" t="s">
        <v>9574</v>
      </c>
      <c r="F3951" s="162">
        <v>699</v>
      </c>
      <c r="G3951" s="162">
        <v>1</v>
      </c>
    </row>
    <row r="3952" spans="2:7" ht="144">
      <c r="B3952" s="162" t="s">
        <v>691</v>
      </c>
      <c r="C3952" s="162" t="s">
        <v>9575</v>
      </c>
      <c r="D3952" s="162" t="s">
        <v>9576</v>
      </c>
      <c r="E3952" s="162" t="s">
        <v>9577</v>
      </c>
      <c r="F3952" s="162">
        <v>999</v>
      </c>
      <c r="G3952" s="162">
        <v>1</v>
      </c>
    </row>
    <row r="3953" spans="2:7" ht="100.8">
      <c r="B3953" s="162" t="s">
        <v>691</v>
      </c>
      <c r="C3953" s="162" t="s">
        <v>9578</v>
      </c>
      <c r="D3953" s="162" t="s">
        <v>9579</v>
      </c>
      <c r="E3953" s="162" t="s">
        <v>9580</v>
      </c>
      <c r="F3953" s="162">
        <v>399</v>
      </c>
      <c r="G3953" s="162">
        <v>1</v>
      </c>
    </row>
    <row r="3954" spans="2:7" ht="72">
      <c r="B3954" s="162" t="s">
        <v>691</v>
      </c>
      <c r="C3954" s="162" t="s">
        <v>9581</v>
      </c>
      <c r="D3954" s="162" t="s">
        <v>9582</v>
      </c>
      <c r="E3954" s="162" t="s">
        <v>9583</v>
      </c>
      <c r="F3954" s="162">
        <v>999</v>
      </c>
      <c r="G3954" s="162">
        <v>1</v>
      </c>
    </row>
    <row r="3955" spans="2:7" ht="72">
      <c r="B3955" s="162" t="s">
        <v>691</v>
      </c>
      <c r="C3955" s="162" t="s">
        <v>9584</v>
      </c>
      <c r="D3955" s="162" t="s">
        <v>9585</v>
      </c>
      <c r="E3955" s="162" t="s">
        <v>9586</v>
      </c>
      <c r="F3955" s="162">
        <v>599.99</v>
      </c>
      <c r="G3955" s="162">
        <v>1</v>
      </c>
    </row>
    <row r="3956" spans="2:7" ht="72">
      <c r="B3956" s="162" t="s">
        <v>691</v>
      </c>
      <c r="C3956" s="162" t="s">
        <v>9587</v>
      </c>
      <c r="D3956" s="162" t="s">
        <v>9588</v>
      </c>
      <c r="E3956" s="162" t="s">
        <v>9589</v>
      </c>
      <c r="F3956" s="162">
        <v>249.99</v>
      </c>
      <c r="G3956" s="162">
        <v>1</v>
      </c>
    </row>
    <row r="3957" spans="2:7" ht="72">
      <c r="B3957" s="162" t="s">
        <v>691</v>
      </c>
      <c r="C3957" s="162" t="s">
        <v>9590</v>
      </c>
      <c r="D3957" s="162" t="s">
        <v>9591</v>
      </c>
      <c r="E3957" s="162" t="s">
        <v>9592</v>
      </c>
      <c r="F3957" s="162">
        <v>199.99</v>
      </c>
      <c r="G3957" s="162">
        <v>1</v>
      </c>
    </row>
    <row r="3958" spans="2:7" ht="72">
      <c r="B3958" s="162" t="s">
        <v>691</v>
      </c>
      <c r="C3958" s="162" t="s">
        <v>9593</v>
      </c>
      <c r="D3958" s="162" t="s">
        <v>9594</v>
      </c>
      <c r="E3958" s="162" t="s">
        <v>9595</v>
      </c>
      <c r="F3958" s="162">
        <v>199.99</v>
      </c>
      <c r="G3958" s="162">
        <v>1</v>
      </c>
    </row>
    <row r="3959" spans="2:7" ht="57.6">
      <c r="B3959" s="162" t="s">
        <v>691</v>
      </c>
      <c r="C3959" s="162" t="s">
        <v>9596</v>
      </c>
      <c r="D3959" s="162" t="s">
        <v>9597</v>
      </c>
      <c r="E3959" s="162" t="s">
        <v>9598</v>
      </c>
      <c r="F3959" s="162">
        <v>199.99</v>
      </c>
      <c r="G3959" s="162">
        <v>1</v>
      </c>
    </row>
    <row r="3960" spans="2:7" ht="57.6">
      <c r="B3960" s="162" t="s">
        <v>691</v>
      </c>
      <c r="C3960" s="162" t="s">
        <v>9599</v>
      </c>
      <c r="D3960" s="162" t="s">
        <v>9600</v>
      </c>
      <c r="E3960" s="162" t="s">
        <v>9601</v>
      </c>
      <c r="F3960" s="162">
        <v>199.99</v>
      </c>
      <c r="G3960" s="162">
        <v>1</v>
      </c>
    </row>
    <row r="3961" spans="2:7" ht="115.2">
      <c r="B3961" s="162" t="s">
        <v>691</v>
      </c>
      <c r="C3961" s="162" t="s">
        <v>9602</v>
      </c>
      <c r="D3961" s="162" t="s">
        <v>9603</v>
      </c>
      <c r="E3961" s="162" t="s">
        <v>9604</v>
      </c>
      <c r="F3961" s="162">
        <v>99</v>
      </c>
      <c r="G3961" s="162">
        <v>1</v>
      </c>
    </row>
    <row r="3962" spans="2:7" ht="115.2">
      <c r="B3962" s="162" t="s">
        <v>691</v>
      </c>
      <c r="C3962" s="162" t="s">
        <v>9605</v>
      </c>
      <c r="D3962" s="162" t="s">
        <v>9603</v>
      </c>
      <c r="E3962" s="162" t="s">
        <v>9606</v>
      </c>
      <c r="F3962" s="162">
        <v>99</v>
      </c>
      <c r="G3962" s="162">
        <v>1</v>
      </c>
    </row>
    <row r="3963" spans="2:7" ht="86.4">
      <c r="B3963" s="162" t="s">
        <v>691</v>
      </c>
      <c r="C3963" s="162" t="s">
        <v>9607</v>
      </c>
      <c r="D3963" s="162" t="s">
        <v>9608</v>
      </c>
      <c r="E3963" s="162" t="s">
        <v>9609</v>
      </c>
      <c r="F3963" s="162">
        <v>1199</v>
      </c>
      <c r="G3963" s="162">
        <v>1</v>
      </c>
    </row>
    <row r="3964" spans="2:7" ht="158.4">
      <c r="B3964" s="162" t="s">
        <v>691</v>
      </c>
      <c r="C3964" s="162" t="s">
        <v>9610</v>
      </c>
      <c r="D3964" s="162" t="s">
        <v>9611</v>
      </c>
      <c r="E3964" s="162" t="s">
        <v>9612</v>
      </c>
      <c r="F3964" s="162">
        <v>59</v>
      </c>
      <c r="G3964" s="162">
        <v>1</v>
      </c>
    </row>
    <row r="3965" spans="2:7" ht="43.2">
      <c r="B3965" s="162" t="s">
        <v>691</v>
      </c>
      <c r="C3965" s="162" t="s">
        <v>9613</v>
      </c>
      <c r="D3965" s="162" t="s">
        <v>9614</v>
      </c>
      <c r="E3965" s="162" t="s">
        <v>9615</v>
      </c>
      <c r="F3965" s="162">
        <v>199</v>
      </c>
      <c r="G3965" s="162">
        <v>1</v>
      </c>
    </row>
    <row r="3966" spans="2:7" ht="43.2">
      <c r="B3966" s="162" t="s">
        <v>691</v>
      </c>
      <c r="C3966" s="162" t="s">
        <v>9616</v>
      </c>
      <c r="D3966" s="162" t="s">
        <v>9617</v>
      </c>
      <c r="E3966" s="162" t="s">
        <v>9618</v>
      </c>
      <c r="F3966" s="162">
        <v>99</v>
      </c>
      <c r="G3966" s="162">
        <v>1</v>
      </c>
    </row>
    <row r="3967" spans="2:7" ht="57.6">
      <c r="B3967" s="162" t="s">
        <v>691</v>
      </c>
      <c r="C3967" s="162" t="s">
        <v>9619</v>
      </c>
      <c r="D3967" s="162" t="s">
        <v>9620</v>
      </c>
      <c r="E3967" s="162" t="s">
        <v>9621</v>
      </c>
      <c r="F3967" s="162">
        <v>999</v>
      </c>
      <c r="G3967" s="162">
        <v>1</v>
      </c>
    </row>
    <row r="3968" spans="2:7" ht="43.2">
      <c r="B3968" s="162" t="s">
        <v>691</v>
      </c>
      <c r="C3968" s="162" t="s">
        <v>9622</v>
      </c>
      <c r="D3968" s="162" t="s">
        <v>9623</v>
      </c>
      <c r="E3968" s="162" t="s">
        <v>9624</v>
      </c>
      <c r="F3968" s="162">
        <v>99.99</v>
      </c>
      <c r="G3968" s="162">
        <v>1</v>
      </c>
    </row>
    <row r="3969" spans="2:7" ht="115.2">
      <c r="B3969" s="162" t="s">
        <v>691</v>
      </c>
      <c r="C3969" s="162" t="s">
        <v>9625</v>
      </c>
      <c r="D3969" s="162" t="s">
        <v>9626</v>
      </c>
      <c r="E3969" s="162" t="s">
        <v>9627</v>
      </c>
      <c r="F3969" s="162">
        <v>699</v>
      </c>
      <c r="G3969" s="162">
        <v>1</v>
      </c>
    </row>
    <row r="3970" spans="2:7" ht="115.2">
      <c r="B3970" s="162" t="s">
        <v>691</v>
      </c>
      <c r="C3970" s="162" t="s">
        <v>9628</v>
      </c>
      <c r="D3970" s="162" t="s">
        <v>9629</v>
      </c>
      <c r="E3970" s="162" t="s">
        <v>9630</v>
      </c>
      <c r="F3970" s="162">
        <v>699</v>
      </c>
      <c r="G3970" s="162">
        <v>1</v>
      </c>
    </row>
    <row r="3971" spans="2:7" ht="57.6">
      <c r="B3971" s="162" t="s">
        <v>691</v>
      </c>
      <c r="C3971" s="162" t="s">
        <v>9631</v>
      </c>
      <c r="D3971" s="162" t="s">
        <v>9632</v>
      </c>
      <c r="E3971" s="162" t="s">
        <v>9633</v>
      </c>
      <c r="F3971" s="162">
        <v>399</v>
      </c>
      <c r="G3971" s="162">
        <v>1</v>
      </c>
    </row>
    <row r="3972" spans="2:7" ht="57.6">
      <c r="B3972" s="162" t="s">
        <v>691</v>
      </c>
      <c r="C3972" s="162" t="s">
        <v>9634</v>
      </c>
      <c r="D3972" s="162" t="s">
        <v>9635</v>
      </c>
      <c r="E3972" s="162" t="s">
        <v>9636</v>
      </c>
      <c r="F3972" s="162">
        <v>699</v>
      </c>
      <c r="G3972" s="162">
        <v>1</v>
      </c>
    </row>
    <row r="3973" spans="2:7" ht="57.6">
      <c r="B3973" s="162" t="s">
        <v>691</v>
      </c>
      <c r="C3973" s="162" t="s">
        <v>9637</v>
      </c>
      <c r="D3973" s="162" t="s">
        <v>9638</v>
      </c>
      <c r="E3973" s="162" t="s">
        <v>9639</v>
      </c>
      <c r="F3973" s="162">
        <v>999</v>
      </c>
      <c r="G3973" s="162">
        <v>1</v>
      </c>
    </row>
    <row r="3974" spans="2:7" ht="57.6">
      <c r="B3974" s="162" t="s">
        <v>691</v>
      </c>
      <c r="C3974" s="162" t="s">
        <v>9640</v>
      </c>
      <c r="D3974" s="162" t="s">
        <v>9641</v>
      </c>
      <c r="E3974" s="162" t="s">
        <v>9642</v>
      </c>
      <c r="F3974" s="162">
        <v>1249</v>
      </c>
      <c r="G3974" s="162">
        <v>1</v>
      </c>
    </row>
    <row r="3975" spans="2:7" ht="57.6">
      <c r="B3975" s="162" t="s">
        <v>691</v>
      </c>
      <c r="C3975" s="162" t="s">
        <v>9643</v>
      </c>
      <c r="D3975" s="162" t="s">
        <v>9644</v>
      </c>
      <c r="E3975" s="162" t="s">
        <v>9645</v>
      </c>
      <c r="F3975" s="162">
        <v>1449</v>
      </c>
      <c r="G3975" s="162">
        <v>1</v>
      </c>
    </row>
    <row r="3976" spans="2:7" ht="43.2">
      <c r="B3976" s="162" t="s">
        <v>691</v>
      </c>
      <c r="C3976" s="162" t="s">
        <v>9646</v>
      </c>
      <c r="D3976" s="162" t="s">
        <v>9647</v>
      </c>
      <c r="E3976" s="162" t="s">
        <v>9648</v>
      </c>
      <c r="F3976" s="162">
        <v>749</v>
      </c>
      <c r="G3976" s="162">
        <v>1</v>
      </c>
    </row>
    <row r="3977" spans="2:7" ht="43.2">
      <c r="B3977" s="162" t="s">
        <v>691</v>
      </c>
      <c r="C3977" s="162" t="s">
        <v>9649</v>
      </c>
      <c r="D3977" s="162" t="s">
        <v>9647</v>
      </c>
      <c r="E3977" s="162" t="s">
        <v>9650</v>
      </c>
      <c r="F3977" s="162">
        <v>899</v>
      </c>
      <c r="G3977" s="162">
        <v>1</v>
      </c>
    </row>
    <row r="3978" spans="2:7" ht="100.8">
      <c r="B3978" s="162" t="s">
        <v>691</v>
      </c>
      <c r="C3978" s="162" t="s">
        <v>9651</v>
      </c>
      <c r="D3978" s="162" t="s">
        <v>9652</v>
      </c>
      <c r="E3978" s="162" t="s">
        <v>9653</v>
      </c>
      <c r="F3978" s="162">
        <v>49</v>
      </c>
      <c r="G3978" s="162">
        <v>1</v>
      </c>
    </row>
    <row r="3979" spans="2:7" ht="72">
      <c r="B3979" s="162" t="s">
        <v>691</v>
      </c>
      <c r="C3979" s="162" t="s">
        <v>9654</v>
      </c>
      <c r="D3979" s="162" t="s">
        <v>9655</v>
      </c>
      <c r="E3979" s="162" t="s">
        <v>9656</v>
      </c>
      <c r="F3979" s="162">
        <v>89</v>
      </c>
      <c r="G3979" s="162">
        <v>1</v>
      </c>
    </row>
    <row r="3980" spans="2:7" ht="72">
      <c r="B3980" s="162" t="s">
        <v>691</v>
      </c>
      <c r="C3980" s="162" t="s">
        <v>9657</v>
      </c>
      <c r="D3980" s="162" t="s">
        <v>9655</v>
      </c>
      <c r="E3980" s="162" t="s">
        <v>9658</v>
      </c>
      <c r="F3980" s="162">
        <v>119</v>
      </c>
      <c r="G3980" s="162">
        <v>1</v>
      </c>
    </row>
    <row r="3981" spans="2:7" ht="72">
      <c r="B3981" s="162" t="s">
        <v>691</v>
      </c>
      <c r="C3981" s="162" t="s">
        <v>9659</v>
      </c>
      <c r="D3981" s="162" t="s">
        <v>9655</v>
      </c>
      <c r="E3981" s="162" t="s">
        <v>9660</v>
      </c>
      <c r="F3981" s="162">
        <v>139</v>
      </c>
      <c r="G3981" s="162">
        <v>1</v>
      </c>
    </row>
    <row r="3982" spans="2:7" ht="72">
      <c r="B3982" s="162" t="s">
        <v>691</v>
      </c>
      <c r="C3982" s="162" t="s">
        <v>9661</v>
      </c>
      <c r="D3982" s="162" t="s">
        <v>9655</v>
      </c>
      <c r="E3982" s="162" t="s">
        <v>9662</v>
      </c>
      <c r="F3982" s="162">
        <v>149</v>
      </c>
      <c r="G3982" s="162">
        <v>1</v>
      </c>
    </row>
    <row r="3983" spans="2:7" ht="144">
      <c r="B3983" s="162" t="s">
        <v>691</v>
      </c>
      <c r="C3983" s="162" t="s">
        <v>9663</v>
      </c>
      <c r="D3983" s="162" t="s">
        <v>9664</v>
      </c>
      <c r="E3983" s="162" t="s">
        <v>9665</v>
      </c>
      <c r="F3983" s="162">
        <v>129.99</v>
      </c>
      <c r="G3983" s="162">
        <v>1</v>
      </c>
    </row>
    <row r="3984" spans="2:7" ht="115.2">
      <c r="B3984" s="162" t="s">
        <v>691</v>
      </c>
      <c r="C3984" s="162" t="s">
        <v>9666</v>
      </c>
      <c r="D3984" s="162" t="s">
        <v>9667</v>
      </c>
      <c r="E3984" s="162" t="s">
        <v>9668</v>
      </c>
      <c r="F3984" s="162">
        <v>399</v>
      </c>
      <c r="G3984" s="162">
        <v>1</v>
      </c>
    </row>
    <row r="3985" spans="2:7" ht="115.2">
      <c r="B3985" s="162" t="s">
        <v>691</v>
      </c>
      <c r="C3985" s="162" t="s">
        <v>9669</v>
      </c>
      <c r="D3985" s="162" t="s">
        <v>9670</v>
      </c>
      <c r="E3985" s="162" t="s">
        <v>9671</v>
      </c>
      <c r="F3985" s="162">
        <v>399</v>
      </c>
      <c r="G3985" s="162">
        <v>1</v>
      </c>
    </row>
    <row r="3986" spans="2:7" ht="115.2">
      <c r="B3986" s="162" t="s">
        <v>691</v>
      </c>
      <c r="C3986" s="162" t="s">
        <v>9672</v>
      </c>
      <c r="D3986" s="162" t="s">
        <v>9673</v>
      </c>
      <c r="E3986" s="162" t="s">
        <v>9674</v>
      </c>
      <c r="F3986" s="162">
        <v>399</v>
      </c>
      <c r="G3986" s="162">
        <v>1</v>
      </c>
    </row>
    <row r="3987" spans="2:7" ht="72">
      <c r="B3987" s="162" t="s">
        <v>691</v>
      </c>
      <c r="C3987" s="162" t="s">
        <v>9675</v>
      </c>
      <c r="D3987" s="162" t="s">
        <v>9676</v>
      </c>
      <c r="E3987" s="162" t="s">
        <v>9677</v>
      </c>
      <c r="F3987" s="162">
        <v>699</v>
      </c>
      <c r="G3987" s="162">
        <v>1</v>
      </c>
    </row>
    <row r="3988" spans="2:7" ht="72">
      <c r="B3988" s="162" t="s">
        <v>691</v>
      </c>
      <c r="C3988" s="162" t="s">
        <v>9678</v>
      </c>
      <c r="D3988" s="162" t="s">
        <v>9679</v>
      </c>
      <c r="E3988" s="162" t="s">
        <v>9680</v>
      </c>
      <c r="F3988" s="162">
        <v>699</v>
      </c>
      <c r="G3988" s="162">
        <v>1</v>
      </c>
    </row>
    <row r="3989" spans="2:7" ht="28.8">
      <c r="B3989" s="162" t="s">
        <v>692</v>
      </c>
      <c r="C3989" s="162" t="s">
        <v>1685</v>
      </c>
      <c r="D3989" s="162" t="s">
        <v>1686</v>
      </c>
      <c r="F3989" s="162">
        <v>1549</v>
      </c>
      <c r="G3989" s="162">
        <v>1</v>
      </c>
    </row>
    <row r="3990" spans="2:7" ht="28.8">
      <c r="B3990" s="162" t="s">
        <v>692</v>
      </c>
      <c r="C3990" s="162" t="s">
        <v>1687</v>
      </c>
      <c r="D3990" s="162" t="s">
        <v>1688</v>
      </c>
      <c r="F3990" s="162">
        <v>1787</v>
      </c>
      <c r="G3990" s="162">
        <v>1</v>
      </c>
    </row>
    <row r="3991" spans="2:7" ht="28.8">
      <c r="B3991" s="162" t="s">
        <v>692</v>
      </c>
      <c r="C3991" s="162" t="s">
        <v>1689</v>
      </c>
      <c r="D3991" s="162" t="s">
        <v>1690</v>
      </c>
      <c r="F3991" s="162">
        <v>1969</v>
      </c>
      <c r="G3991" s="162">
        <v>1</v>
      </c>
    </row>
    <row r="3992" spans="2:7" ht="28.8">
      <c r="B3992" s="162" t="s">
        <v>692</v>
      </c>
      <c r="C3992" s="162" t="s">
        <v>1691</v>
      </c>
      <c r="D3992" s="162" t="s">
        <v>1692</v>
      </c>
      <c r="F3992" s="162">
        <v>2137</v>
      </c>
      <c r="G3992" s="162">
        <v>1</v>
      </c>
    </row>
    <row r="3993" spans="2:7" ht="28.8">
      <c r="B3993" s="162" t="s">
        <v>692</v>
      </c>
      <c r="C3993" s="162" t="s">
        <v>1693</v>
      </c>
      <c r="D3993" s="162" t="s">
        <v>1694</v>
      </c>
      <c r="F3993" s="162">
        <v>2277</v>
      </c>
      <c r="G3993" s="162">
        <v>1</v>
      </c>
    </row>
    <row r="3994" spans="2:7" ht="28.8">
      <c r="B3994" s="162" t="s">
        <v>692</v>
      </c>
      <c r="C3994" s="162" t="s">
        <v>1695</v>
      </c>
      <c r="D3994" s="162" t="s">
        <v>1696</v>
      </c>
      <c r="F3994" s="162">
        <v>1349</v>
      </c>
      <c r="G3994" s="162">
        <v>1</v>
      </c>
    </row>
    <row r="3995" spans="2:7" ht="28.8">
      <c r="B3995" s="162" t="s">
        <v>692</v>
      </c>
      <c r="C3995" s="162" t="s">
        <v>1697</v>
      </c>
      <c r="D3995" s="162" t="s">
        <v>1698</v>
      </c>
      <c r="F3995" s="162">
        <v>1553</v>
      </c>
      <c r="G3995" s="162">
        <v>1</v>
      </c>
    </row>
    <row r="3996" spans="2:7" ht="28.8">
      <c r="B3996" s="162" t="s">
        <v>692</v>
      </c>
      <c r="C3996" s="162" t="s">
        <v>1699</v>
      </c>
      <c r="D3996" s="162" t="s">
        <v>1700</v>
      </c>
      <c r="F3996" s="162">
        <v>1709</v>
      </c>
      <c r="G3996" s="162">
        <v>1</v>
      </c>
    </row>
    <row r="3997" spans="2:7" ht="28.8">
      <c r="B3997" s="162" t="s">
        <v>692</v>
      </c>
      <c r="C3997" s="162" t="s">
        <v>1701</v>
      </c>
      <c r="D3997" s="162" t="s">
        <v>1702</v>
      </c>
      <c r="F3997" s="162">
        <v>1853</v>
      </c>
      <c r="G3997" s="162">
        <v>1</v>
      </c>
    </row>
    <row r="3998" spans="2:7" ht="28.8">
      <c r="B3998" s="162" t="s">
        <v>692</v>
      </c>
      <c r="C3998" s="162" t="s">
        <v>1703</v>
      </c>
      <c r="D3998" s="162" t="s">
        <v>1704</v>
      </c>
      <c r="F3998" s="162">
        <v>1973</v>
      </c>
      <c r="G3998" s="162">
        <v>1</v>
      </c>
    </row>
    <row r="3999" spans="2:7" ht="28.8">
      <c r="B3999" s="162" t="s">
        <v>692</v>
      </c>
      <c r="C3999" s="162" t="s">
        <v>1705</v>
      </c>
      <c r="D3999" s="162" t="s">
        <v>1706</v>
      </c>
      <c r="F3999" s="162">
        <v>280</v>
      </c>
      <c r="G3999" s="162">
        <v>1</v>
      </c>
    </row>
    <row r="4000" spans="2:7" ht="28.8">
      <c r="B4000" s="162" t="s">
        <v>692</v>
      </c>
      <c r="C4000" s="162" t="s">
        <v>1707</v>
      </c>
      <c r="D4000" s="162" t="s">
        <v>1708</v>
      </c>
      <c r="F4000" s="162">
        <v>504</v>
      </c>
      <c r="G4000" s="162">
        <v>1</v>
      </c>
    </row>
    <row r="4001" spans="2:7" ht="28.8">
      <c r="B4001" s="162" t="s">
        <v>692</v>
      </c>
      <c r="C4001" s="162" t="s">
        <v>1709</v>
      </c>
      <c r="D4001" s="162" t="s">
        <v>1710</v>
      </c>
      <c r="F4001" s="162">
        <v>714</v>
      </c>
      <c r="G4001" s="162">
        <v>1</v>
      </c>
    </row>
    <row r="4002" spans="2:7" ht="28.8">
      <c r="B4002" s="162" t="s">
        <v>692</v>
      </c>
      <c r="C4002" s="162" t="s">
        <v>1711</v>
      </c>
      <c r="D4002" s="162" t="s">
        <v>1712</v>
      </c>
      <c r="F4002" s="162">
        <v>896</v>
      </c>
      <c r="G4002" s="162">
        <v>1</v>
      </c>
    </row>
    <row r="4003" spans="2:7" ht="28.8">
      <c r="B4003" s="162" t="s">
        <v>692</v>
      </c>
      <c r="C4003" s="162" t="s">
        <v>1713</v>
      </c>
      <c r="D4003" s="162" t="s">
        <v>1714</v>
      </c>
      <c r="F4003" s="162">
        <v>240</v>
      </c>
      <c r="G4003" s="162">
        <v>1</v>
      </c>
    </row>
    <row r="4004" spans="2:7" ht="28.8">
      <c r="B4004" s="162" t="s">
        <v>692</v>
      </c>
      <c r="C4004" s="162" t="s">
        <v>1715</v>
      </c>
      <c r="D4004" s="162" t="s">
        <v>1716</v>
      </c>
      <c r="F4004" s="162">
        <v>432</v>
      </c>
      <c r="G4004" s="162">
        <v>1</v>
      </c>
    </row>
    <row r="4005" spans="2:7" ht="28.8">
      <c r="B4005" s="162" t="s">
        <v>692</v>
      </c>
      <c r="C4005" s="162" t="s">
        <v>1717</v>
      </c>
      <c r="D4005" s="162" t="s">
        <v>1718</v>
      </c>
      <c r="F4005" s="162">
        <v>612</v>
      </c>
      <c r="G4005" s="162">
        <v>1</v>
      </c>
    </row>
    <row r="4006" spans="2:7" ht="28.8">
      <c r="B4006" s="162" t="s">
        <v>692</v>
      </c>
      <c r="C4006" s="162" t="s">
        <v>1719</v>
      </c>
      <c r="D4006" s="162" t="s">
        <v>1720</v>
      </c>
      <c r="F4006" s="162">
        <v>768</v>
      </c>
      <c r="G4006" s="162">
        <v>1</v>
      </c>
    </row>
    <row r="4007" spans="2:7" ht="28.8">
      <c r="B4007" s="162" t="s">
        <v>692</v>
      </c>
      <c r="C4007" s="162" t="s">
        <v>1721</v>
      </c>
      <c r="D4007" s="162" t="s">
        <v>1722</v>
      </c>
      <c r="F4007" s="162">
        <v>200</v>
      </c>
      <c r="G4007" s="162">
        <v>1</v>
      </c>
    </row>
    <row r="4008" spans="2:7" ht="28.8">
      <c r="B4008" s="162" t="s">
        <v>692</v>
      </c>
      <c r="C4008" s="162" t="s">
        <v>1723</v>
      </c>
      <c r="D4008" s="162" t="s">
        <v>1724</v>
      </c>
      <c r="F4008" s="162">
        <v>17.989999999999998</v>
      </c>
      <c r="G4008" s="162">
        <v>1</v>
      </c>
    </row>
    <row r="4009" spans="2:7" ht="28.8">
      <c r="B4009" s="162" t="s">
        <v>692</v>
      </c>
      <c r="C4009" s="162" t="s">
        <v>1725</v>
      </c>
      <c r="D4009" s="162" t="s">
        <v>1726</v>
      </c>
      <c r="F4009" s="162">
        <v>4.99</v>
      </c>
      <c r="G4009" s="162">
        <v>1</v>
      </c>
    </row>
    <row r="4010" spans="2:7" ht="28.8">
      <c r="B4010" s="162" t="s">
        <v>692</v>
      </c>
      <c r="C4010" s="162" t="s">
        <v>1727</v>
      </c>
      <c r="D4010" s="162" t="s">
        <v>1728</v>
      </c>
      <c r="F4010" s="162">
        <v>2049</v>
      </c>
      <c r="G4010" s="162">
        <v>1</v>
      </c>
    </row>
    <row r="4011" spans="2:7" ht="28.8">
      <c r="B4011" s="162" t="s">
        <v>692</v>
      </c>
      <c r="C4011" s="162" t="s">
        <v>1729</v>
      </c>
      <c r="D4011" s="162" t="s">
        <v>1730</v>
      </c>
      <c r="F4011" s="162">
        <v>2637</v>
      </c>
      <c r="G4011" s="162">
        <v>1</v>
      </c>
    </row>
    <row r="4012" spans="2:7" ht="28.8">
      <c r="B4012" s="162" t="s">
        <v>692</v>
      </c>
      <c r="C4012" s="162" t="s">
        <v>1731</v>
      </c>
      <c r="D4012" s="162" t="s">
        <v>1732</v>
      </c>
      <c r="F4012" s="162">
        <v>3094</v>
      </c>
      <c r="G4012" s="162">
        <v>1</v>
      </c>
    </row>
    <row r="4013" spans="2:7" ht="28.8">
      <c r="B4013" s="162" t="s">
        <v>692</v>
      </c>
      <c r="C4013" s="162" t="s">
        <v>1733</v>
      </c>
      <c r="D4013" s="162" t="s">
        <v>1734</v>
      </c>
      <c r="F4013" s="162">
        <v>3537</v>
      </c>
      <c r="G4013" s="162">
        <v>1</v>
      </c>
    </row>
    <row r="4014" spans="2:7" ht="28.8">
      <c r="B4014" s="162" t="s">
        <v>692</v>
      </c>
      <c r="C4014" s="162" t="s">
        <v>1735</v>
      </c>
      <c r="D4014" s="162" t="s">
        <v>1736</v>
      </c>
      <c r="F4014" s="162">
        <v>3902</v>
      </c>
      <c r="G4014" s="162">
        <v>1</v>
      </c>
    </row>
    <row r="4015" spans="2:7" ht="28.8">
      <c r="B4015" s="162" t="s">
        <v>692</v>
      </c>
      <c r="C4015" s="162" t="s">
        <v>1737</v>
      </c>
      <c r="D4015" s="162" t="s">
        <v>1738</v>
      </c>
      <c r="F4015" s="162">
        <v>1849</v>
      </c>
      <c r="G4015" s="162">
        <v>1</v>
      </c>
    </row>
    <row r="4016" spans="2:7" ht="28.8">
      <c r="B4016" s="162" t="s">
        <v>692</v>
      </c>
      <c r="C4016" s="162" t="s">
        <v>1739</v>
      </c>
      <c r="D4016" s="162" t="s">
        <v>1740</v>
      </c>
      <c r="F4016" s="162">
        <v>2403</v>
      </c>
      <c r="G4016" s="162">
        <v>1</v>
      </c>
    </row>
    <row r="4017" spans="2:7" ht="28.8">
      <c r="B4017" s="162" t="s">
        <v>692</v>
      </c>
      <c r="C4017" s="162" t="s">
        <v>1741</v>
      </c>
      <c r="D4017" s="162" t="s">
        <v>1742</v>
      </c>
      <c r="F4017" s="162">
        <v>2834</v>
      </c>
      <c r="G4017" s="162">
        <v>1</v>
      </c>
    </row>
    <row r="4018" spans="2:7" ht="28.8">
      <c r="B4018" s="162" t="s">
        <v>692</v>
      </c>
      <c r="C4018" s="162" t="s">
        <v>1743</v>
      </c>
      <c r="D4018" s="162" t="s">
        <v>1744</v>
      </c>
      <c r="F4018" s="162">
        <v>3253</v>
      </c>
      <c r="G4018" s="162">
        <v>1</v>
      </c>
    </row>
    <row r="4019" spans="2:7" ht="28.8">
      <c r="B4019" s="162" t="s">
        <v>692</v>
      </c>
      <c r="C4019" s="162" t="s">
        <v>1745</v>
      </c>
      <c r="D4019" s="162" t="s">
        <v>1746</v>
      </c>
      <c r="F4019" s="162">
        <v>3598</v>
      </c>
      <c r="G4019" s="162">
        <v>1</v>
      </c>
    </row>
    <row r="4020" spans="2:7" ht="28.8">
      <c r="B4020" s="162" t="s">
        <v>693</v>
      </c>
      <c r="C4020" s="162" t="s">
        <v>9681</v>
      </c>
      <c r="D4020" s="162" t="s">
        <v>9682</v>
      </c>
      <c r="E4020" s="162" t="s">
        <v>9683</v>
      </c>
      <c r="F4020" s="162">
        <v>1389</v>
      </c>
      <c r="G4020" s="162">
        <v>1</v>
      </c>
    </row>
    <row r="4021" spans="2:7" ht="28.8">
      <c r="B4021" s="162" t="s">
        <v>693</v>
      </c>
      <c r="C4021" s="162" t="s">
        <v>9684</v>
      </c>
      <c r="D4021" s="162" t="s">
        <v>9682</v>
      </c>
      <c r="E4021" s="162" t="s">
        <v>9683</v>
      </c>
      <c r="F4021" s="162">
        <v>1300</v>
      </c>
      <c r="G4021" s="162">
        <v>1</v>
      </c>
    </row>
    <row r="4022" spans="2:7" ht="28.8">
      <c r="B4022" s="162" t="s">
        <v>693</v>
      </c>
      <c r="C4022" s="162" t="s">
        <v>9685</v>
      </c>
      <c r="D4022" s="162" t="s">
        <v>9682</v>
      </c>
      <c r="E4022" s="162" t="s">
        <v>9686</v>
      </c>
      <c r="F4022" s="162">
        <v>1529</v>
      </c>
      <c r="G4022" s="162">
        <v>1</v>
      </c>
    </row>
    <row r="4023" spans="2:7" ht="28.8">
      <c r="B4023" s="162" t="s">
        <v>693</v>
      </c>
      <c r="C4023" s="162" t="s">
        <v>9687</v>
      </c>
      <c r="D4023" s="162" t="s">
        <v>9682</v>
      </c>
      <c r="E4023" s="162" t="s">
        <v>9686</v>
      </c>
      <c r="F4023" s="162">
        <v>1457</v>
      </c>
      <c r="G4023" s="162">
        <v>1</v>
      </c>
    </row>
    <row r="4024" spans="2:7" ht="28.8">
      <c r="B4024" s="162" t="s">
        <v>693</v>
      </c>
      <c r="C4024" s="162" t="s">
        <v>9688</v>
      </c>
      <c r="D4024" s="162" t="s">
        <v>9682</v>
      </c>
      <c r="E4024" s="162" t="s">
        <v>9686</v>
      </c>
      <c r="F4024" s="162">
        <v>3104</v>
      </c>
      <c r="G4024" s="162">
        <v>1</v>
      </c>
    </row>
    <row r="4025" spans="2:7" ht="28.8">
      <c r="B4025" s="162" t="s">
        <v>693</v>
      </c>
      <c r="C4025" s="162" t="s">
        <v>9689</v>
      </c>
      <c r="D4025" s="162" t="s">
        <v>9682</v>
      </c>
      <c r="E4025" s="162" t="s">
        <v>9686</v>
      </c>
      <c r="F4025" s="162">
        <v>2569</v>
      </c>
      <c r="G4025" s="162">
        <v>1</v>
      </c>
    </row>
    <row r="4026" spans="2:7" ht="28.8">
      <c r="B4026" s="162" t="s">
        <v>693</v>
      </c>
      <c r="C4026" s="162" t="s">
        <v>9690</v>
      </c>
      <c r="D4026" s="162" t="s">
        <v>9682</v>
      </c>
      <c r="E4026" s="162" t="s">
        <v>9686</v>
      </c>
      <c r="F4026" s="162">
        <v>2569</v>
      </c>
      <c r="G4026" s="162">
        <v>1</v>
      </c>
    </row>
    <row r="4027" spans="2:7" ht="28.8">
      <c r="B4027" s="162" t="s">
        <v>693</v>
      </c>
      <c r="C4027" s="162" t="s">
        <v>9691</v>
      </c>
      <c r="D4027" s="162" t="s">
        <v>9682</v>
      </c>
      <c r="E4027" s="162" t="s">
        <v>9686</v>
      </c>
      <c r="F4027" s="162">
        <v>3104</v>
      </c>
      <c r="G4027" s="162">
        <v>1</v>
      </c>
    </row>
    <row r="4028" spans="2:7" ht="28.8">
      <c r="B4028" s="162" t="s">
        <v>693</v>
      </c>
      <c r="C4028" s="162" t="s">
        <v>9692</v>
      </c>
      <c r="D4028" s="162" t="s">
        <v>9682</v>
      </c>
      <c r="E4028" s="162" t="s">
        <v>9683</v>
      </c>
      <c r="F4028" s="162">
        <v>1420</v>
      </c>
      <c r="G4028" s="162">
        <v>1</v>
      </c>
    </row>
    <row r="4029" spans="2:7" ht="28.8">
      <c r="B4029" s="162" t="s">
        <v>693</v>
      </c>
      <c r="C4029" s="162" t="s">
        <v>9693</v>
      </c>
      <c r="D4029" s="162" t="s">
        <v>9682</v>
      </c>
      <c r="E4029" s="162" t="s">
        <v>9683</v>
      </c>
      <c r="F4029" s="162">
        <v>1317</v>
      </c>
      <c r="G4029" s="162">
        <v>1</v>
      </c>
    </row>
    <row r="4030" spans="2:7" ht="28.8">
      <c r="B4030" s="162" t="s">
        <v>693</v>
      </c>
      <c r="C4030" s="162" t="s">
        <v>9694</v>
      </c>
      <c r="D4030" s="162" t="s">
        <v>9682</v>
      </c>
      <c r="E4030" s="162" t="s">
        <v>9683</v>
      </c>
      <c r="F4030" s="162">
        <v>1562</v>
      </c>
      <c r="G4030" s="162">
        <v>1</v>
      </c>
    </row>
    <row r="4031" spans="2:7" ht="28.8">
      <c r="B4031" s="162" t="s">
        <v>693</v>
      </c>
      <c r="C4031" s="162" t="s">
        <v>9695</v>
      </c>
      <c r="D4031" s="162" t="s">
        <v>9682</v>
      </c>
      <c r="E4031" s="162" t="s">
        <v>9683</v>
      </c>
      <c r="F4031" s="162">
        <v>1459</v>
      </c>
      <c r="G4031" s="162">
        <v>1</v>
      </c>
    </row>
    <row r="4032" spans="2:7" ht="28.8">
      <c r="B4032" s="162" t="s">
        <v>693</v>
      </c>
      <c r="C4032" s="162" t="s">
        <v>9696</v>
      </c>
      <c r="D4032" s="162" t="s">
        <v>9682</v>
      </c>
      <c r="E4032" s="162" t="s">
        <v>9686</v>
      </c>
      <c r="F4032" s="162">
        <v>1624</v>
      </c>
      <c r="G4032" s="162">
        <v>1</v>
      </c>
    </row>
    <row r="4033" spans="2:7" ht="28.8">
      <c r="B4033" s="162" t="s">
        <v>693</v>
      </c>
      <c r="C4033" s="162" t="s">
        <v>9697</v>
      </c>
      <c r="D4033" s="162" t="s">
        <v>9682</v>
      </c>
      <c r="E4033" s="162" t="s">
        <v>9686</v>
      </c>
      <c r="F4033" s="162">
        <v>1523</v>
      </c>
      <c r="G4033" s="162">
        <v>1</v>
      </c>
    </row>
    <row r="4034" spans="2:7" ht="28.8">
      <c r="B4034" s="162" t="s">
        <v>693</v>
      </c>
      <c r="C4034" s="162" t="s">
        <v>9698</v>
      </c>
      <c r="D4034" s="162" t="s">
        <v>9682</v>
      </c>
      <c r="E4034" s="162" t="s">
        <v>9686</v>
      </c>
      <c r="F4034" s="162">
        <v>1756</v>
      </c>
      <c r="G4034" s="162">
        <v>1</v>
      </c>
    </row>
    <row r="4035" spans="2:7" ht="28.8">
      <c r="B4035" s="162" t="s">
        <v>693</v>
      </c>
      <c r="C4035" s="162" t="s">
        <v>9699</v>
      </c>
      <c r="D4035" s="162" t="s">
        <v>9682</v>
      </c>
      <c r="E4035" s="162" t="s">
        <v>9686</v>
      </c>
      <c r="F4035" s="162">
        <v>1653</v>
      </c>
      <c r="G4035" s="162">
        <v>1</v>
      </c>
    </row>
    <row r="4036" spans="2:7" ht="28.8">
      <c r="B4036" s="162" t="s">
        <v>693</v>
      </c>
      <c r="C4036" s="162" t="s">
        <v>9700</v>
      </c>
      <c r="D4036" s="162" t="s">
        <v>9682</v>
      </c>
      <c r="E4036" s="162" t="s">
        <v>9686</v>
      </c>
      <c r="F4036" s="162">
        <v>3260</v>
      </c>
      <c r="G4036" s="162">
        <v>1</v>
      </c>
    </row>
    <row r="4037" spans="2:7" ht="28.8">
      <c r="B4037" s="162" t="s">
        <v>693</v>
      </c>
      <c r="C4037" s="162" t="s">
        <v>9701</v>
      </c>
      <c r="D4037" s="162" t="s">
        <v>9682</v>
      </c>
      <c r="E4037" s="162" t="s">
        <v>9686</v>
      </c>
      <c r="F4037" s="162">
        <v>3260</v>
      </c>
      <c r="G4037" s="162">
        <v>1</v>
      </c>
    </row>
    <row r="4038" spans="2:7" ht="28.8">
      <c r="B4038" s="162" t="s">
        <v>693</v>
      </c>
      <c r="C4038" s="162" t="s">
        <v>9702</v>
      </c>
      <c r="D4038" s="162" t="s">
        <v>9682</v>
      </c>
      <c r="E4038" s="162" t="s">
        <v>9686</v>
      </c>
      <c r="F4038" s="162">
        <v>3260</v>
      </c>
      <c r="G4038" s="162">
        <v>1</v>
      </c>
    </row>
    <row r="4039" spans="2:7" ht="28.8">
      <c r="B4039" s="162" t="s">
        <v>693</v>
      </c>
      <c r="C4039" s="162" t="s">
        <v>9703</v>
      </c>
      <c r="D4039" s="162" t="s">
        <v>9682</v>
      </c>
      <c r="E4039" s="162" t="s">
        <v>9686</v>
      </c>
      <c r="F4039" s="162">
        <v>3260</v>
      </c>
      <c r="G4039" s="162">
        <v>1</v>
      </c>
    </row>
    <row r="4040" spans="2:7" ht="28.8">
      <c r="B4040" s="162" t="s">
        <v>693</v>
      </c>
      <c r="C4040" s="162" t="s">
        <v>9704</v>
      </c>
      <c r="D4040" s="162" t="s">
        <v>9682</v>
      </c>
      <c r="E4040" s="162" t="s">
        <v>9686</v>
      </c>
      <c r="F4040" s="162">
        <v>3436</v>
      </c>
      <c r="G4040" s="162">
        <v>1</v>
      </c>
    </row>
    <row r="4041" spans="2:7" ht="28.8">
      <c r="B4041" s="162" t="s">
        <v>693</v>
      </c>
      <c r="C4041" s="162" t="s">
        <v>9705</v>
      </c>
      <c r="D4041" s="162" t="s">
        <v>9706</v>
      </c>
      <c r="E4041" s="162" t="s">
        <v>9707</v>
      </c>
      <c r="F4041" s="162">
        <v>639</v>
      </c>
      <c r="G4041" s="162">
        <v>1</v>
      </c>
    </row>
    <row r="4042" spans="2:7" ht="28.8">
      <c r="B4042" s="162" t="s">
        <v>693</v>
      </c>
      <c r="C4042" s="162" t="s">
        <v>9708</v>
      </c>
      <c r="D4042" s="162" t="s">
        <v>9706</v>
      </c>
      <c r="E4042" s="162" t="s">
        <v>9707</v>
      </c>
      <c r="F4042" s="162">
        <v>851</v>
      </c>
      <c r="G4042" s="162">
        <v>1</v>
      </c>
    </row>
    <row r="4043" spans="2:7" ht="43.2">
      <c r="B4043" s="162" t="s">
        <v>693</v>
      </c>
      <c r="C4043" s="162" t="s">
        <v>9709</v>
      </c>
      <c r="D4043" s="162" t="s">
        <v>9706</v>
      </c>
      <c r="E4043" s="162" t="s">
        <v>9710</v>
      </c>
      <c r="F4043" s="162">
        <v>670</v>
      </c>
      <c r="G4043" s="162">
        <v>1</v>
      </c>
    </row>
    <row r="4044" spans="2:7" ht="28.8">
      <c r="B4044" s="162" t="s">
        <v>693</v>
      </c>
      <c r="C4044" s="162" t="s">
        <v>9711</v>
      </c>
      <c r="D4044" s="162" t="s">
        <v>9682</v>
      </c>
      <c r="E4044" s="162" t="s">
        <v>9683</v>
      </c>
      <c r="F4044" s="162">
        <v>1655</v>
      </c>
      <c r="G4044" s="162">
        <v>1</v>
      </c>
    </row>
    <row r="4045" spans="2:7" ht="28.8">
      <c r="B4045" s="162" t="s">
        <v>693</v>
      </c>
      <c r="C4045" s="162" t="s">
        <v>9712</v>
      </c>
      <c r="D4045" s="162" t="s">
        <v>9682</v>
      </c>
      <c r="E4045" s="162" t="s">
        <v>9683</v>
      </c>
      <c r="F4045" s="162">
        <v>4240</v>
      </c>
      <c r="G4045" s="162">
        <v>1</v>
      </c>
    </row>
    <row r="4046" spans="2:7" ht="28.8">
      <c r="B4046" s="162" t="s">
        <v>693</v>
      </c>
      <c r="C4046" s="162" t="s">
        <v>9713</v>
      </c>
      <c r="D4046" s="162" t="s">
        <v>9682</v>
      </c>
      <c r="E4046" s="162" t="s">
        <v>9683</v>
      </c>
      <c r="F4046" s="162">
        <v>7993</v>
      </c>
      <c r="G4046" s="162">
        <v>1</v>
      </c>
    </row>
    <row r="4047" spans="2:7" ht="28.8">
      <c r="B4047" s="162" t="s">
        <v>693</v>
      </c>
      <c r="C4047" s="162" t="s">
        <v>9714</v>
      </c>
      <c r="D4047" s="162" t="s">
        <v>9682</v>
      </c>
      <c r="E4047" s="162" t="s">
        <v>9683</v>
      </c>
      <c r="F4047" s="162">
        <v>1533</v>
      </c>
      <c r="G4047" s="162">
        <v>1</v>
      </c>
    </row>
    <row r="4048" spans="2:7" ht="28.8">
      <c r="B4048" s="162" t="s">
        <v>693</v>
      </c>
      <c r="C4048" s="162" t="s">
        <v>9715</v>
      </c>
      <c r="D4048" s="162" t="s">
        <v>9682</v>
      </c>
      <c r="E4048" s="162" t="s">
        <v>9683</v>
      </c>
      <c r="F4048" s="162">
        <v>1900</v>
      </c>
      <c r="G4048" s="162">
        <v>1</v>
      </c>
    </row>
    <row r="4049" spans="2:7" ht="28.8">
      <c r="B4049" s="162" t="s">
        <v>693</v>
      </c>
      <c r="C4049" s="162" t="s">
        <v>9716</v>
      </c>
      <c r="D4049" s="162" t="s">
        <v>9682</v>
      </c>
      <c r="E4049" s="162" t="s">
        <v>9683</v>
      </c>
      <c r="F4049" s="162">
        <v>4695</v>
      </c>
      <c r="G4049" s="162">
        <v>1</v>
      </c>
    </row>
    <row r="4050" spans="2:7" ht="28.8">
      <c r="B4050" s="162" t="s">
        <v>693</v>
      </c>
      <c r="C4050" s="162" t="s">
        <v>9717</v>
      </c>
      <c r="D4050" s="162" t="s">
        <v>9682</v>
      </c>
      <c r="E4050" s="162" t="s">
        <v>9683</v>
      </c>
      <c r="F4050" s="162">
        <v>8451</v>
      </c>
      <c r="G4050" s="162">
        <v>1</v>
      </c>
    </row>
    <row r="4051" spans="2:7" ht="28.8">
      <c r="B4051" s="162" t="s">
        <v>693</v>
      </c>
      <c r="C4051" s="162" t="s">
        <v>9718</v>
      </c>
      <c r="D4051" s="162" t="s">
        <v>9682</v>
      </c>
      <c r="E4051" s="162" t="s">
        <v>9683</v>
      </c>
      <c r="F4051" s="162">
        <v>1780</v>
      </c>
      <c r="G4051" s="162">
        <v>1</v>
      </c>
    </row>
    <row r="4052" spans="2:7" ht="28.8">
      <c r="B4052" s="162" t="s">
        <v>693</v>
      </c>
      <c r="C4052" s="162" t="s">
        <v>9719</v>
      </c>
      <c r="D4052" s="162" t="s">
        <v>9682</v>
      </c>
      <c r="E4052" s="162" t="s">
        <v>9686</v>
      </c>
      <c r="F4052" s="162">
        <v>1834</v>
      </c>
      <c r="G4052" s="162">
        <v>1</v>
      </c>
    </row>
    <row r="4053" spans="2:7" ht="28.8">
      <c r="B4053" s="162" t="s">
        <v>693</v>
      </c>
      <c r="C4053" s="162" t="s">
        <v>9720</v>
      </c>
      <c r="D4053" s="162" t="s">
        <v>9682</v>
      </c>
      <c r="E4053" s="162" t="s">
        <v>9686</v>
      </c>
      <c r="F4053" s="162">
        <v>1716</v>
      </c>
      <c r="G4053" s="162">
        <v>1</v>
      </c>
    </row>
    <row r="4054" spans="2:7" ht="28.8">
      <c r="B4054" s="162" t="s">
        <v>693</v>
      </c>
      <c r="C4054" s="162" t="s">
        <v>9721</v>
      </c>
      <c r="D4054" s="162" t="s">
        <v>9682</v>
      </c>
      <c r="E4054" s="162" t="s">
        <v>9686</v>
      </c>
      <c r="F4054" s="162">
        <v>2124</v>
      </c>
      <c r="G4054" s="162">
        <v>1</v>
      </c>
    </row>
    <row r="4055" spans="2:7" ht="28.8">
      <c r="B4055" s="162" t="s">
        <v>693</v>
      </c>
      <c r="C4055" s="162" t="s">
        <v>9722</v>
      </c>
      <c r="D4055" s="162" t="s">
        <v>9682</v>
      </c>
      <c r="E4055" s="162" t="s">
        <v>9686</v>
      </c>
      <c r="F4055" s="162">
        <v>2005</v>
      </c>
      <c r="G4055" s="162">
        <v>1</v>
      </c>
    </row>
    <row r="4056" spans="2:7" ht="28.8">
      <c r="B4056" s="162" t="s">
        <v>693</v>
      </c>
      <c r="C4056" s="162" t="s">
        <v>9723</v>
      </c>
      <c r="D4056" s="162" t="s">
        <v>9706</v>
      </c>
      <c r="E4056" s="162" t="s">
        <v>9724</v>
      </c>
      <c r="F4056" s="162">
        <v>437</v>
      </c>
      <c r="G4056" s="162">
        <v>1</v>
      </c>
    </row>
    <row r="4057" spans="2:7" ht="28.8">
      <c r="B4057" s="162" t="s">
        <v>693</v>
      </c>
      <c r="C4057" s="162" t="s">
        <v>9725</v>
      </c>
      <c r="D4057" s="162" t="s">
        <v>9682</v>
      </c>
      <c r="E4057" s="162" t="s">
        <v>9683</v>
      </c>
      <c r="F4057" s="162">
        <v>1721</v>
      </c>
      <c r="G4057" s="162">
        <v>1</v>
      </c>
    </row>
    <row r="4058" spans="2:7" ht="28.8">
      <c r="B4058" s="162" t="s">
        <v>693</v>
      </c>
      <c r="C4058" s="162" t="s">
        <v>9726</v>
      </c>
      <c r="D4058" s="162" t="s">
        <v>9682</v>
      </c>
      <c r="E4058" s="162" t="s">
        <v>9683</v>
      </c>
      <c r="F4058" s="162">
        <v>1587</v>
      </c>
      <c r="G4058" s="162">
        <v>1</v>
      </c>
    </row>
    <row r="4059" spans="2:7" ht="28.8">
      <c r="B4059" s="162" t="s">
        <v>693</v>
      </c>
      <c r="C4059" s="162" t="s">
        <v>9727</v>
      </c>
      <c r="D4059" s="162" t="s">
        <v>9682</v>
      </c>
      <c r="E4059" s="162" t="s">
        <v>9683</v>
      </c>
      <c r="F4059" s="162">
        <v>2046</v>
      </c>
      <c r="G4059" s="162">
        <v>1</v>
      </c>
    </row>
    <row r="4060" spans="2:7" ht="28.8">
      <c r="B4060" s="162" t="s">
        <v>693</v>
      </c>
      <c r="C4060" s="162" t="s">
        <v>9728</v>
      </c>
      <c r="D4060" s="162" t="s">
        <v>9682</v>
      </c>
      <c r="E4060" s="162" t="s">
        <v>9683</v>
      </c>
      <c r="F4060" s="162">
        <v>1912</v>
      </c>
      <c r="G4060" s="162">
        <v>1</v>
      </c>
    </row>
    <row r="4061" spans="2:7" ht="28.8">
      <c r="B4061" s="162" t="s">
        <v>693</v>
      </c>
      <c r="C4061" s="162" t="s">
        <v>9729</v>
      </c>
      <c r="D4061" s="162" t="s">
        <v>9682</v>
      </c>
      <c r="E4061" s="162" t="s">
        <v>9683</v>
      </c>
      <c r="F4061" s="162">
        <v>2334</v>
      </c>
      <c r="G4061" s="162">
        <v>1</v>
      </c>
    </row>
    <row r="4062" spans="2:7" ht="28.8">
      <c r="B4062" s="162" t="s">
        <v>693</v>
      </c>
      <c r="C4062" s="162" t="s">
        <v>9730</v>
      </c>
      <c r="D4062" s="162" t="s">
        <v>9682</v>
      </c>
      <c r="E4062" s="162" t="s">
        <v>9683</v>
      </c>
      <c r="F4062" s="162">
        <v>2201</v>
      </c>
      <c r="G4062" s="162">
        <v>1</v>
      </c>
    </row>
    <row r="4063" spans="2:7" ht="28.8">
      <c r="B4063" s="162" t="s">
        <v>693</v>
      </c>
      <c r="C4063" s="162" t="s">
        <v>9731</v>
      </c>
      <c r="D4063" s="162" t="s">
        <v>9682</v>
      </c>
      <c r="E4063" s="162" t="s">
        <v>9686</v>
      </c>
      <c r="F4063" s="162">
        <v>2114</v>
      </c>
      <c r="G4063" s="162">
        <v>1</v>
      </c>
    </row>
    <row r="4064" spans="2:7" ht="28.8">
      <c r="B4064" s="162" t="s">
        <v>693</v>
      </c>
      <c r="C4064" s="162" t="s">
        <v>9732</v>
      </c>
      <c r="D4064" s="162" t="s">
        <v>9682</v>
      </c>
      <c r="E4064" s="162" t="s">
        <v>9686</v>
      </c>
      <c r="F4064" s="162">
        <v>1978</v>
      </c>
      <c r="G4064" s="162">
        <v>1</v>
      </c>
    </row>
    <row r="4065" spans="2:7" ht="28.8">
      <c r="B4065" s="162" t="s">
        <v>693</v>
      </c>
      <c r="C4065" s="162" t="s">
        <v>9733</v>
      </c>
      <c r="D4065" s="162" t="s">
        <v>9682</v>
      </c>
      <c r="E4065" s="162" t="s">
        <v>9686</v>
      </c>
      <c r="F4065" s="162">
        <v>2199</v>
      </c>
      <c r="G4065" s="162">
        <v>1</v>
      </c>
    </row>
    <row r="4066" spans="2:7" ht="28.8">
      <c r="B4066" s="162" t="s">
        <v>693</v>
      </c>
      <c r="C4066" s="162" t="s">
        <v>9734</v>
      </c>
      <c r="D4066" s="162" t="s">
        <v>9682</v>
      </c>
      <c r="E4066" s="162" t="s">
        <v>9686</v>
      </c>
      <c r="F4066" s="162">
        <v>2063</v>
      </c>
      <c r="G4066" s="162">
        <v>1</v>
      </c>
    </row>
    <row r="4067" spans="2:7" ht="28.8">
      <c r="B4067" s="162" t="s">
        <v>693</v>
      </c>
      <c r="C4067" s="162" t="s">
        <v>9735</v>
      </c>
      <c r="D4067" s="162" t="s">
        <v>9706</v>
      </c>
      <c r="E4067" s="162" t="s">
        <v>9724</v>
      </c>
      <c r="F4067" s="162">
        <v>458</v>
      </c>
      <c r="G4067" s="162">
        <v>1</v>
      </c>
    </row>
    <row r="4068" spans="2:7" ht="28.8">
      <c r="B4068" s="162" t="s">
        <v>693</v>
      </c>
      <c r="C4068" s="162" t="s">
        <v>9736</v>
      </c>
      <c r="D4068" s="162" t="s">
        <v>9682</v>
      </c>
      <c r="E4068" s="162" t="s">
        <v>9683</v>
      </c>
      <c r="F4068" s="162">
        <v>1857</v>
      </c>
      <c r="G4068" s="162">
        <v>1</v>
      </c>
    </row>
    <row r="4069" spans="2:7" ht="28.8">
      <c r="B4069" s="162" t="s">
        <v>693</v>
      </c>
      <c r="C4069" s="162" t="s">
        <v>9737</v>
      </c>
      <c r="D4069" s="162" t="s">
        <v>9682</v>
      </c>
      <c r="E4069" s="162" t="s">
        <v>9683</v>
      </c>
      <c r="F4069" s="162">
        <v>4370</v>
      </c>
      <c r="G4069" s="162">
        <v>1</v>
      </c>
    </row>
    <row r="4070" spans="2:7" ht="28.8">
      <c r="B4070" s="162" t="s">
        <v>693</v>
      </c>
      <c r="C4070" s="162" t="s">
        <v>9738</v>
      </c>
      <c r="D4070" s="162" t="s">
        <v>9682</v>
      </c>
      <c r="E4070" s="162" t="s">
        <v>9683</v>
      </c>
      <c r="F4070" s="162">
        <v>8170</v>
      </c>
      <c r="G4070" s="162">
        <v>1</v>
      </c>
    </row>
    <row r="4071" spans="2:7" ht="28.8">
      <c r="B4071" s="162" t="s">
        <v>693</v>
      </c>
      <c r="C4071" s="162" t="s">
        <v>9739</v>
      </c>
      <c r="D4071" s="162" t="s">
        <v>9682</v>
      </c>
      <c r="E4071" s="162" t="s">
        <v>9683</v>
      </c>
      <c r="F4071" s="162">
        <v>1716</v>
      </c>
      <c r="G4071" s="162">
        <v>1</v>
      </c>
    </row>
    <row r="4072" spans="2:7" ht="28.8">
      <c r="B4072" s="162" t="s">
        <v>693</v>
      </c>
      <c r="C4072" s="162" t="s">
        <v>9740</v>
      </c>
      <c r="D4072" s="162" t="s">
        <v>9682</v>
      </c>
      <c r="E4072" s="162" t="s">
        <v>9683</v>
      </c>
      <c r="F4072" s="162">
        <v>2110</v>
      </c>
      <c r="G4072" s="162">
        <v>1</v>
      </c>
    </row>
    <row r="4073" spans="2:7" ht="28.8">
      <c r="B4073" s="162" t="s">
        <v>693</v>
      </c>
      <c r="C4073" s="162" t="s">
        <v>9741</v>
      </c>
      <c r="D4073" s="162" t="s">
        <v>9682</v>
      </c>
      <c r="E4073" s="162" t="s">
        <v>9683</v>
      </c>
      <c r="F4073" s="162">
        <v>4736</v>
      </c>
      <c r="G4073" s="162">
        <v>1</v>
      </c>
    </row>
    <row r="4074" spans="2:7" ht="43.2">
      <c r="B4074" s="162" t="s">
        <v>693</v>
      </c>
      <c r="C4074" s="162" t="s">
        <v>9742</v>
      </c>
      <c r="D4074" s="162" t="s">
        <v>9682</v>
      </c>
      <c r="E4074" s="162" t="s">
        <v>9683</v>
      </c>
      <c r="F4074" s="162">
        <v>8570</v>
      </c>
      <c r="G4074" s="162">
        <v>1</v>
      </c>
    </row>
    <row r="4075" spans="2:7" ht="28.8">
      <c r="B4075" s="162" t="s">
        <v>693</v>
      </c>
      <c r="C4075" s="162" t="s">
        <v>9743</v>
      </c>
      <c r="D4075" s="162" t="s">
        <v>9682</v>
      </c>
      <c r="E4075" s="162" t="s">
        <v>9683</v>
      </c>
      <c r="F4075" s="162">
        <v>1966</v>
      </c>
      <c r="G4075" s="162">
        <v>1</v>
      </c>
    </row>
    <row r="4076" spans="2:7" ht="28.8">
      <c r="B4076" s="162" t="s">
        <v>693</v>
      </c>
      <c r="C4076" s="162" t="s">
        <v>9744</v>
      </c>
      <c r="D4076" s="162" t="s">
        <v>9682</v>
      </c>
      <c r="E4076" s="162" t="s">
        <v>9683</v>
      </c>
      <c r="F4076" s="162">
        <v>2390</v>
      </c>
      <c r="G4076" s="162">
        <v>1</v>
      </c>
    </row>
    <row r="4077" spans="2:7" ht="28.8">
      <c r="B4077" s="162" t="s">
        <v>693</v>
      </c>
      <c r="C4077" s="162" t="s">
        <v>9745</v>
      </c>
      <c r="D4077" s="162" t="s">
        <v>9682</v>
      </c>
      <c r="E4077" s="162" t="s">
        <v>9683</v>
      </c>
      <c r="F4077" s="162">
        <v>2485</v>
      </c>
      <c r="G4077" s="162">
        <v>1</v>
      </c>
    </row>
    <row r="4078" spans="2:7" ht="28.8">
      <c r="B4078" s="162" t="s">
        <v>693</v>
      </c>
      <c r="C4078" s="162" t="s">
        <v>9746</v>
      </c>
      <c r="D4078" s="162" t="s">
        <v>9682</v>
      </c>
      <c r="E4078" s="162" t="s">
        <v>9683</v>
      </c>
      <c r="F4078" s="162">
        <v>2248</v>
      </c>
      <c r="G4078" s="162">
        <v>1</v>
      </c>
    </row>
    <row r="4079" spans="2:7" ht="43.2">
      <c r="B4079" s="162" t="s">
        <v>693</v>
      </c>
      <c r="C4079" s="162" t="s">
        <v>9747</v>
      </c>
      <c r="D4079" s="162" t="s">
        <v>9682</v>
      </c>
      <c r="E4079" s="162" t="s">
        <v>9683</v>
      </c>
      <c r="F4079" s="162">
        <v>2337</v>
      </c>
      <c r="G4079" s="162">
        <v>1</v>
      </c>
    </row>
    <row r="4080" spans="2:7" ht="28.8">
      <c r="B4080" s="162" t="s">
        <v>693</v>
      </c>
      <c r="C4080" s="162" t="s">
        <v>9748</v>
      </c>
      <c r="D4080" s="162" t="s">
        <v>9682</v>
      </c>
      <c r="E4080" s="162" t="s">
        <v>9686</v>
      </c>
      <c r="F4080" s="162">
        <v>2223</v>
      </c>
      <c r="G4080" s="162">
        <v>1</v>
      </c>
    </row>
    <row r="4081" spans="2:7" ht="28.8">
      <c r="B4081" s="162" t="s">
        <v>693</v>
      </c>
      <c r="C4081" s="162" t="s">
        <v>9749</v>
      </c>
      <c r="D4081" s="162" t="s">
        <v>9682</v>
      </c>
      <c r="E4081" s="162" t="s">
        <v>9686</v>
      </c>
      <c r="F4081" s="162">
        <v>2083</v>
      </c>
      <c r="G4081" s="162">
        <v>1</v>
      </c>
    </row>
    <row r="4082" spans="2:7" ht="28.8">
      <c r="B4082" s="162" t="s">
        <v>693</v>
      </c>
      <c r="C4082" s="162" t="s">
        <v>9750</v>
      </c>
      <c r="D4082" s="162" t="s">
        <v>9682</v>
      </c>
      <c r="E4082" s="162" t="s">
        <v>9686</v>
      </c>
      <c r="F4082" s="162">
        <v>2372</v>
      </c>
      <c r="G4082" s="162">
        <v>1</v>
      </c>
    </row>
    <row r="4083" spans="2:7" ht="28.8">
      <c r="B4083" s="162" t="s">
        <v>693</v>
      </c>
      <c r="C4083" s="162" t="s">
        <v>9751</v>
      </c>
      <c r="D4083" s="162" t="s">
        <v>9682</v>
      </c>
      <c r="E4083" s="162" t="s">
        <v>9686</v>
      </c>
      <c r="F4083" s="162">
        <v>2229</v>
      </c>
      <c r="G4083" s="162">
        <v>1</v>
      </c>
    </row>
    <row r="4084" spans="2:7" ht="28.8">
      <c r="B4084" s="162" t="s">
        <v>693</v>
      </c>
      <c r="C4084" s="162" t="s">
        <v>9752</v>
      </c>
      <c r="D4084" s="162" t="s">
        <v>9706</v>
      </c>
      <c r="E4084" s="162" t="s">
        <v>9707</v>
      </c>
      <c r="F4084" s="162">
        <v>697</v>
      </c>
      <c r="G4084" s="162">
        <v>1</v>
      </c>
    </row>
    <row r="4085" spans="2:7" ht="28.8">
      <c r="B4085" s="162" t="s">
        <v>693</v>
      </c>
      <c r="C4085" s="162" t="s">
        <v>9753</v>
      </c>
      <c r="D4085" s="162" t="s">
        <v>9706</v>
      </c>
      <c r="E4085" s="162" t="s">
        <v>9707</v>
      </c>
      <c r="F4085" s="162">
        <v>912</v>
      </c>
      <c r="G4085" s="162">
        <v>1</v>
      </c>
    </row>
    <row r="4086" spans="2:7" ht="43.2">
      <c r="B4086" s="162" t="s">
        <v>693</v>
      </c>
      <c r="C4086" s="162" t="s">
        <v>9754</v>
      </c>
      <c r="D4086" s="162" t="s">
        <v>9706</v>
      </c>
      <c r="E4086" s="162" t="s">
        <v>9710</v>
      </c>
      <c r="F4086" s="162">
        <v>884</v>
      </c>
      <c r="G4086" s="162">
        <v>1</v>
      </c>
    </row>
    <row r="4087" spans="2:7" ht="28.8">
      <c r="B4087" s="162" t="s">
        <v>693</v>
      </c>
      <c r="C4087" s="162" t="s">
        <v>9755</v>
      </c>
      <c r="D4087" s="162" t="s">
        <v>9706</v>
      </c>
      <c r="E4087" s="162" t="s">
        <v>9756</v>
      </c>
      <c r="F4087" s="162">
        <v>69.5</v>
      </c>
      <c r="G4087" s="162">
        <v>1</v>
      </c>
    </row>
    <row r="4088" spans="2:7" ht="28.8">
      <c r="B4088" s="162" t="s">
        <v>693</v>
      </c>
      <c r="C4088" s="162" t="s">
        <v>9757</v>
      </c>
      <c r="D4088" s="162" t="s">
        <v>9706</v>
      </c>
      <c r="E4088" s="162" t="s">
        <v>9756</v>
      </c>
      <c r="F4088" s="162">
        <v>75.5</v>
      </c>
      <c r="G4088" s="162">
        <v>1</v>
      </c>
    </row>
    <row r="4089" spans="2:7" ht="28.8">
      <c r="B4089" s="162" t="s">
        <v>693</v>
      </c>
      <c r="C4089" s="162" t="s">
        <v>9758</v>
      </c>
      <c r="D4089" s="162" t="s">
        <v>9706</v>
      </c>
      <c r="E4089" s="162" t="s">
        <v>9756</v>
      </c>
      <c r="F4089" s="162">
        <v>231</v>
      </c>
      <c r="G4089" s="162">
        <v>1</v>
      </c>
    </row>
    <row r="4090" spans="2:7" ht="28.8">
      <c r="B4090" s="162" t="s">
        <v>693</v>
      </c>
      <c r="C4090" s="162" t="s">
        <v>9759</v>
      </c>
      <c r="D4090" s="162" t="s">
        <v>9706</v>
      </c>
      <c r="E4090" s="162" t="s">
        <v>9756</v>
      </c>
      <c r="F4090" s="162">
        <v>78.5</v>
      </c>
      <c r="G4090" s="162">
        <v>1</v>
      </c>
    </row>
    <row r="4091" spans="2:7" ht="28.8">
      <c r="B4091" s="162" t="s">
        <v>693</v>
      </c>
      <c r="C4091" s="162" t="s">
        <v>9760</v>
      </c>
      <c r="D4091" s="162" t="s">
        <v>9706</v>
      </c>
      <c r="E4091" s="162" t="s">
        <v>9756</v>
      </c>
      <c r="F4091" s="162">
        <v>262</v>
      </c>
      <c r="G4091" s="162">
        <v>1</v>
      </c>
    </row>
    <row r="4092" spans="2:7" ht="28.8">
      <c r="B4092" s="162" t="s">
        <v>693</v>
      </c>
      <c r="C4092" s="162" t="s">
        <v>9761</v>
      </c>
      <c r="D4092" s="162" t="s">
        <v>9706</v>
      </c>
      <c r="E4092" s="162" t="s">
        <v>9756</v>
      </c>
      <c r="F4092" s="162">
        <v>287</v>
      </c>
      <c r="G4092" s="162">
        <v>1</v>
      </c>
    </row>
    <row r="4093" spans="2:7" ht="28.8">
      <c r="B4093" s="162" t="s">
        <v>693</v>
      </c>
      <c r="C4093" s="162" t="s">
        <v>9762</v>
      </c>
      <c r="D4093" s="162" t="s">
        <v>9706</v>
      </c>
      <c r="E4093" s="162" t="s">
        <v>9707</v>
      </c>
      <c r="F4093" s="162">
        <v>96</v>
      </c>
      <c r="G4093" s="162">
        <v>1</v>
      </c>
    </row>
    <row r="4094" spans="2:7" ht="28.8">
      <c r="B4094" s="162" t="s">
        <v>693</v>
      </c>
      <c r="C4094" s="162" t="s">
        <v>9763</v>
      </c>
      <c r="D4094" s="162" t="s">
        <v>9706</v>
      </c>
      <c r="E4094" s="162" t="s">
        <v>9764</v>
      </c>
      <c r="F4094" s="162">
        <v>87</v>
      </c>
      <c r="G4094" s="162">
        <v>1</v>
      </c>
    </row>
    <row r="4095" spans="2:7" ht="28.8">
      <c r="B4095" s="162" t="s">
        <v>693</v>
      </c>
      <c r="C4095" s="162" t="s">
        <v>9765</v>
      </c>
      <c r="D4095" s="162" t="s">
        <v>9706</v>
      </c>
      <c r="E4095" s="162" t="s">
        <v>9764</v>
      </c>
      <c r="F4095" s="162">
        <v>151</v>
      </c>
      <c r="G4095" s="162">
        <v>1</v>
      </c>
    </row>
    <row r="4096" spans="2:7" ht="28.8">
      <c r="B4096" s="162" t="s">
        <v>693</v>
      </c>
      <c r="C4096" s="162" t="s">
        <v>9766</v>
      </c>
      <c r="D4096" s="162" t="s">
        <v>9706</v>
      </c>
      <c r="E4096" s="162" t="s">
        <v>9710</v>
      </c>
      <c r="F4096" s="162">
        <v>91</v>
      </c>
      <c r="G4096" s="162">
        <v>1</v>
      </c>
    </row>
    <row r="4097" spans="2:7" ht="28.8">
      <c r="B4097" s="162" t="s">
        <v>693</v>
      </c>
      <c r="C4097" s="162" t="s">
        <v>9767</v>
      </c>
      <c r="D4097" s="162" t="s">
        <v>9706</v>
      </c>
      <c r="E4097" s="162" t="s">
        <v>9768</v>
      </c>
      <c r="F4097" s="162">
        <v>90</v>
      </c>
      <c r="G4097" s="162">
        <v>1</v>
      </c>
    </row>
    <row r="4098" spans="2:7" ht="28.8">
      <c r="B4098" s="162" t="s">
        <v>693</v>
      </c>
      <c r="C4098" s="162" t="s">
        <v>9769</v>
      </c>
      <c r="D4098" s="162" t="s">
        <v>9706</v>
      </c>
      <c r="E4098" s="162" t="s">
        <v>9768</v>
      </c>
      <c r="F4098" s="162">
        <v>108</v>
      </c>
      <c r="G4098" s="162">
        <v>1</v>
      </c>
    </row>
    <row r="4099" spans="2:7" ht="28.8">
      <c r="B4099" s="162" t="s">
        <v>693</v>
      </c>
      <c r="C4099" s="162" t="s">
        <v>9770</v>
      </c>
      <c r="D4099" s="162" t="s">
        <v>9706</v>
      </c>
      <c r="E4099" s="162" t="s">
        <v>9768</v>
      </c>
      <c r="F4099" s="162">
        <v>126</v>
      </c>
      <c r="G4099" s="162">
        <v>1</v>
      </c>
    </row>
    <row r="4100" spans="2:7" ht="28.8">
      <c r="B4100" s="162" t="s">
        <v>693</v>
      </c>
      <c r="C4100" s="162" t="s">
        <v>9771</v>
      </c>
      <c r="D4100" s="162" t="s">
        <v>9706</v>
      </c>
      <c r="E4100" s="162" t="s">
        <v>9768</v>
      </c>
      <c r="F4100" s="162">
        <v>136</v>
      </c>
      <c r="G4100" s="162">
        <v>1</v>
      </c>
    </row>
    <row r="4101" spans="2:7" ht="28.8">
      <c r="B4101" s="162" t="s">
        <v>693</v>
      </c>
      <c r="C4101" s="162" t="s">
        <v>9772</v>
      </c>
      <c r="D4101" s="162" t="s">
        <v>9706</v>
      </c>
      <c r="E4101" s="162" t="s">
        <v>9768</v>
      </c>
      <c r="F4101" s="162">
        <v>476</v>
      </c>
      <c r="G4101" s="162">
        <v>1</v>
      </c>
    </row>
    <row r="4102" spans="2:7" ht="28.8">
      <c r="B4102" s="162" t="s">
        <v>693</v>
      </c>
      <c r="C4102" s="162" t="s">
        <v>9773</v>
      </c>
      <c r="D4102" s="162" t="s">
        <v>9706</v>
      </c>
      <c r="E4102" s="162" t="s">
        <v>9768</v>
      </c>
      <c r="F4102" s="162">
        <v>299</v>
      </c>
      <c r="G4102" s="162">
        <v>1</v>
      </c>
    </row>
    <row r="4103" spans="2:7" ht="28.8">
      <c r="B4103" s="162" t="s">
        <v>693</v>
      </c>
      <c r="C4103" s="162" t="s">
        <v>9774</v>
      </c>
      <c r="D4103" s="162" t="s">
        <v>9706</v>
      </c>
      <c r="E4103" s="162" t="s">
        <v>9768</v>
      </c>
      <c r="F4103" s="162">
        <v>322</v>
      </c>
      <c r="G4103" s="162">
        <v>1</v>
      </c>
    </row>
    <row r="4104" spans="2:7" ht="28.8">
      <c r="B4104" s="162" t="s">
        <v>693</v>
      </c>
      <c r="C4104" s="162" t="s">
        <v>9775</v>
      </c>
      <c r="D4104" s="162" t="s">
        <v>9706</v>
      </c>
      <c r="E4104" s="162" t="s">
        <v>9768</v>
      </c>
      <c r="F4104" s="162">
        <v>369</v>
      </c>
      <c r="G4104" s="162">
        <v>1</v>
      </c>
    </row>
    <row r="4105" spans="2:7" ht="28.8">
      <c r="B4105" s="162" t="s">
        <v>693</v>
      </c>
      <c r="C4105" s="162" t="s">
        <v>9776</v>
      </c>
      <c r="D4105" s="162" t="s">
        <v>9706</v>
      </c>
      <c r="E4105" s="162" t="s">
        <v>9768</v>
      </c>
      <c r="F4105" s="162">
        <v>384</v>
      </c>
      <c r="G4105" s="162">
        <v>1</v>
      </c>
    </row>
    <row r="4106" spans="2:7" ht="28.8">
      <c r="B4106" s="162" t="s">
        <v>693</v>
      </c>
      <c r="C4106" s="162" t="s">
        <v>9777</v>
      </c>
      <c r="D4106" s="162" t="s">
        <v>9706</v>
      </c>
      <c r="E4106" s="162" t="s">
        <v>9768</v>
      </c>
      <c r="F4106" s="162">
        <v>396</v>
      </c>
      <c r="G4106" s="162">
        <v>1</v>
      </c>
    </row>
    <row r="4107" spans="2:7" ht="28.8">
      <c r="B4107" s="162" t="s">
        <v>693</v>
      </c>
      <c r="C4107" s="162" t="s">
        <v>9778</v>
      </c>
      <c r="D4107" s="162" t="s">
        <v>9706</v>
      </c>
      <c r="E4107" s="162" t="s">
        <v>9724</v>
      </c>
      <c r="F4107" s="162">
        <v>141</v>
      </c>
      <c r="G4107" s="162">
        <v>1</v>
      </c>
    </row>
    <row r="4108" spans="2:7" ht="28.8">
      <c r="B4108" s="162" t="s">
        <v>693</v>
      </c>
      <c r="C4108" s="162" t="s">
        <v>9779</v>
      </c>
      <c r="D4108" s="162" t="s">
        <v>9706</v>
      </c>
      <c r="E4108" s="162" t="s">
        <v>9724</v>
      </c>
      <c r="F4108" s="162">
        <v>163</v>
      </c>
      <c r="G4108" s="162">
        <v>1</v>
      </c>
    </row>
    <row r="4109" spans="2:7" ht="28.8">
      <c r="B4109" s="162" t="s">
        <v>693</v>
      </c>
      <c r="C4109" s="162" t="s">
        <v>9780</v>
      </c>
      <c r="D4109" s="162" t="s">
        <v>9706</v>
      </c>
      <c r="E4109" s="162" t="s">
        <v>9724</v>
      </c>
      <c r="F4109" s="162">
        <v>180</v>
      </c>
      <c r="G4109" s="162">
        <v>1</v>
      </c>
    </row>
    <row r="4110" spans="2:7" ht="28.8">
      <c r="B4110" s="162" t="s">
        <v>693</v>
      </c>
      <c r="C4110" s="162" t="s">
        <v>9781</v>
      </c>
      <c r="D4110" s="162" t="s">
        <v>9706</v>
      </c>
      <c r="E4110" s="162" t="s">
        <v>9724</v>
      </c>
      <c r="F4110" s="162">
        <v>192</v>
      </c>
      <c r="G4110" s="162">
        <v>1</v>
      </c>
    </row>
    <row r="4111" spans="2:7" ht="28.8">
      <c r="B4111" s="162" t="s">
        <v>693</v>
      </c>
      <c r="C4111" s="162" t="s">
        <v>9782</v>
      </c>
      <c r="D4111" s="162" t="s">
        <v>9706</v>
      </c>
      <c r="E4111" s="162" t="s">
        <v>9724</v>
      </c>
      <c r="F4111" s="162">
        <v>206</v>
      </c>
      <c r="G4111" s="162">
        <v>1</v>
      </c>
    </row>
    <row r="4112" spans="2:7" ht="28.8">
      <c r="B4112" s="162" t="s">
        <v>693</v>
      </c>
      <c r="C4112" s="162" t="s">
        <v>9783</v>
      </c>
      <c r="D4112" s="162" t="s">
        <v>9706</v>
      </c>
      <c r="E4112" s="162" t="s">
        <v>9784</v>
      </c>
      <c r="F4112" s="162">
        <v>34</v>
      </c>
      <c r="G4112" s="162">
        <v>1</v>
      </c>
    </row>
    <row r="4113" spans="2:7" ht="28.8">
      <c r="B4113" s="162" t="s">
        <v>693</v>
      </c>
      <c r="C4113" s="162" t="s">
        <v>9785</v>
      </c>
      <c r="D4113" s="162" t="s">
        <v>9706</v>
      </c>
      <c r="E4113" s="162" t="s">
        <v>9784</v>
      </c>
      <c r="F4113" s="162">
        <v>36.5</v>
      </c>
      <c r="G4113" s="162">
        <v>1</v>
      </c>
    </row>
    <row r="4114" spans="2:7" ht="28.8">
      <c r="B4114" s="162" t="s">
        <v>693</v>
      </c>
      <c r="C4114" s="162" t="s">
        <v>9786</v>
      </c>
      <c r="D4114" s="162" t="s">
        <v>9706</v>
      </c>
      <c r="E4114" s="162" t="s">
        <v>9784</v>
      </c>
      <c r="F4114" s="162">
        <v>76.5</v>
      </c>
      <c r="G4114" s="162">
        <v>1</v>
      </c>
    </row>
    <row r="4115" spans="2:7" ht="28.8">
      <c r="B4115" s="162" t="s">
        <v>693</v>
      </c>
      <c r="C4115" s="162" t="s">
        <v>9787</v>
      </c>
      <c r="D4115" s="162" t="s">
        <v>9706</v>
      </c>
      <c r="E4115" s="162" t="s">
        <v>9784</v>
      </c>
      <c r="F4115" s="162">
        <v>149</v>
      </c>
      <c r="G4115" s="162">
        <v>1</v>
      </c>
    </row>
    <row r="4116" spans="2:7" ht="28.8">
      <c r="B4116" s="162" t="s">
        <v>693</v>
      </c>
      <c r="C4116" s="162" t="s">
        <v>9788</v>
      </c>
      <c r="D4116" s="162" t="s">
        <v>9706</v>
      </c>
      <c r="E4116" s="162" t="s">
        <v>9764</v>
      </c>
      <c r="F4116" s="162">
        <v>78.5</v>
      </c>
      <c r="G4116" s="162">
        <v>1</v>
      </c>
    </row>
    <row r="4117" spans="2:7" ht="28.8">
      <c r="B4117" s="162" t="s">
        <v>693</v>
      </c>
      <c r="C4117" s="162" t="s">
        <v>9789</v>
      </c>
      <c r="D4117" s="162" t="s">
        <v>9706</v>
      </c>
      <c r="E4117" s="162" t="s">
        <v>9790</v>
      </c>
      <c r="F4117" s="162">
        <v>71.5</v>
      </c>
      <c r="G4117" s="162">
        <v>1</v>
      </c>
    </row>
    <row r="4118" spans="2:7" ht="28.8">
      <c r="B4118" s="162" t="s">
        <v>693</v>
      </c>
      <c r="C4118" s="162" t="s">
        <v>9791</v>
      </c>
      <c r="D4118" s="162" t="s">
        <v>9706</v>
      </c>
      <c r="E4118" s="162" t="s">
        <v>9790</v>
      </c>
      <c r="F4118" s="162">
        <v>71.5</v>
      </c>
      <c r="G4118" s="162">
        <v>1</v>
      </c>
    </row>
    <row r="4119" spans="2:7" ht="28.8">
      <c r="B4119" s="162" t="s">
        <v>693</v>
      </c>
      <c r="C4119" s="162" t="s">
        <v>9792</v>
      </c>
      <c r="D4119" s="162" t="s">
        <v>9706</v>
      </c>
      <c r="E4119" s="162" t="s">
        <v>9790</v>
      </c>
      <c r="F4119" s="162">
        <v>99</v>
      </c>
      <c r="G4119" s="162">
        <v>1</v>
      </c>
    </row>
    <row r="4120" spans="2:7" ht="28.8">
      <c r="B4120" s="162" t="s">
        <v>693</v>
      </c>
      <c r="C4120" s="162" t="s">
        <v>9793</v>
      </c>
      <c r="D4120" s="162" t="s">
        <v>9706</v>
      </c>
      <c r="E4120" s="162" t="s">
        <v>9790</v>
      </c>
      <c r="F4120" s="162">
        <v>78.5</v>
      </c>
      <c r="G4120" s="162">
        <v>1</v>
      </c>
    </row>
    <row r="4121" spans="2:7" ht="28.8">
      <c r="B4121" s="162" t="s">
        <v>693</v>
      </c>
      <c r="C4121" s="162" t="s">
        <v>9794</v>
      </c>
      <c r="D4121" s="162" t="s">
        <v>9706</v>
      </c>
      <c r="E4121" s="162" t="s">
        <v>9790</v>
      </c>
      <c r="F4121" s="162">
        <v>116</v>
      </c>
      <c r="G4121" s="162">
        <v>1</v>
      </c>
    </row>
    <row r="4122" spans="2:7" ht="28.8">
      <c r="B4122" s="162" t="s">
        <v>693</v>
      </c>
      <c r="C4122" s="162" t="s">
        <v>9795</v>
      </c>
      <c r="D4122" s="162" t="s">
        <v>9706</v>
      </c>
      <c r="E4122" s="162" t="s">
        <v>9790</v>
      </c>
      <c r="F4122" s="162">
        <v>79.5</v>
      </c>
      <c r="G4122" s="162">
        <v>1</v>
      </c>
    </row>
    <row r="4123" spans="2:7" ht="28.8">
      <c r="B4123" s="162" t="s">
        <v>693</v>
      </c>
      <c r="C4123" s="162" t="s">
        <v>9796</v>
      </c>
      <c r="D4123" s="162" t="s">
        <v>9706</v>
      </c>
      <c r="E4123" s="162" t="s">
        <v>9790</v>
      </c>
      <c r="F4123" s="162">
        <v>136</v>
      </c>
      <c r="G4123" s="162">
        <v>1</v>
      </c>
    </row>
    <row r="4124" spans="2:7" ht="28.8">
      <c r="B4124" s="162" t="s">
        <v>693</v>
      </c>
      <c r="C4124" s="162" t="s">
        <v>9797</v>
      </c>
      <c r="D4124" s="162" t="s">
        <v>9706</v>
      </c>
      <c r="E4124" s="162" t="s">
        <v>9790</v>
      </c>
      <c r="F4124" s="162">
        <v>80.5</v>
      </c>
      <c r="G4124" s="162">
        <v>1</v>
      </c>
    </row>
    <row r="4125" spans="2:7" ht="28.8">
      <c r="B4125" s="162" t="s">
        <v>693</v>
      </c>
      <c r="C4125" s="162" t="s">
        <v>9798</v>
      </c>
      <c r="D4125" s="162" t="s">
        <v>9706</v>
      </c>
      <c r="E4125" s="162" t="s">
        <v>9790</v>
      </c>
      <c r="F4125" s="162">
        <v>147</v>
      </c>
      <c r="G4125" s="162">
        <v>1</v>
      </c>
    </row>
    <row r="4126" spans="2:7" ht="28.8">
      <c r="B4126" s="162" t="s">
        <v>693</v>
      </c>
      <c r="C4126" s="162" t="s">
        <v>9799</v>
      </c>
      <c r="D4126" s="162" t="s">
        <v>9706</v>
      </c>
      <c r="E4126" s="162" t="s">
        <v>9790</v>
      </c>
      <c r="F4126" s="162">
        <v>147</v>
      </c>
      <c r="G4126" s="162">
        <v>1</v>
      </c>
    </row>
    <row r="4127" spans="2:7" ht="28.8">
      <c r="B4127" s="162" t="s">
        <v>693</v>
      </c>
      <c r="C4127" s="162" t="s">
        <v>9800</v>
      </c>
      <c r="D4127" s="162" t="s">
        <v>9706</v>
      </c>
      <c r="E4127" s="162" t="s">
        <v>9724</v>
      </c>
      <c r="F4127" s="162">
        <v>31</v>
      </c>
      <c r="G4127" s="162">
        <v>1</v>
      </c>
    </row>
    <row r="4128" spans="2:7" ht="28.8">
      <c r="B4128" s="162" t="s">
        <v>693</v>
      </c>
      <c r="C4128" s="162" t="s">
        <v>9801</v>
      </c>
      <c r="D4128" s="162" t="s">
        <v>9706</v>
      </c>
      <c r="E4128" s="162" t="s">
        <v>9724</v>
      </c>
      <c r="F4128" s="162">
        <v>48.5</v>
      </c>
      <c r="G4128" s="162">
        <v>1</v>
      </c>
    </row>
    <row r="4129" spans="2:7" ht="28.8">
      <c r="B4129" s="162" t="s">
        <v>693</v>
      </c>
      <c r="C4129" s="162" t="s">
        <v>9802</v>
      </c>
      <c r="D4129" s="162" t="s">
        <v>9706</v>
      </c>
      <c r="E4129" s="162" t="s">
        <v>9764</v>
      </c>
      <c r="F4129" s="162">
        <v>67</v>
      </c>
      <c r="G4129" s="162">
        <v>1</v>
      </c>
    </row>
    <row r="4130" spans="2:7" ht="28.8">
      <c r="B4130" s="162" t="s">
        <v>693</v>
      </c>
      <c r="G4130" s="162">
        <v>1</v>
      </c>
    </row>
    <row r="4131" spans="2:7" ht="28.8">
      <c r="B4131" s="162" t="s">
        <v>693</v>
      </c>
      <c r="C4131" s="162" t="s">
        <v>9803</v>
      </c>
      <c r="D4131" s="162" t="s">
        <v>9804</v>
      </c>
      <c r="E4131" s="162" t="s">
        <v>9805</v>
      </c>
      <c r="F4131" s="162">
        <v>300</v>
      </c>
      <c r="G4131" s="162">
        <v>1</v>
      </c>
    </row>
    <row r="4132" spans="2:7" ht="28.8">
      <c r="B4132" s="162" t="s">
        <v>693</v>
      </c>
      <c r="C4132" s="162" t="s">
        <v>9806</v>
      </c>
      <c r="D4132" s="162" t="s">
        <v>9804</v>
      </c>
      <c r="E4132" s="162" t="s">
        <v>9805</v>
      </c>
      <c r="F4132" s="162">
        <v>360</v>
      </c>
      <c r="G4132" s="162">
        <v>1</v>
      </c>
    </row>
    <row r="4133" spans="2:7" ht="28.8">
      <c r="B4133" s="162" t="s">
        <v>693</v>
      </c>
      <c r="C4133" s="162" t="s">
        <v>9807</v>
      </c>
      <c r="D4133" s="162" t="s">
        <v>9804</v>
      </c>
      <c r="E4133" s="162" t="s">
        <v>9805</v>
      </c>
      <c r="F4133" s="162">
        <v>250</v>
      </c>
      <c r="G4133" s="162">
        <v>1</v>
      </c>
    </row>
    <row r="4134" spans="2:7" ht="43.2">
      <c r="B4134" s="162" t="s">
        <v>693</v>
      </c>
      <c r="C4134" s="162" t="s">
        <v>9808</v>
      </c>
      <c r="D4134" s="162" t="s">
        <v>9804</v>
      </c>
      <c r="E4134" s="162" t="s">
        <v>9805</v>
      </c>
      <c r="F4134" s="162">
        <v>240</v>
      </c>
      <c r="G4134" s="162">
        <v>1</v>
      </c>
    </row>
    <row r="4135" spans="2:7" ht="28.8">
      <c r="B4135" s="162" t="s">
        <v>693</v>
      </c>
      <c r="C4135" s="162" t="s">
        <v>9809</v>
      </c>
      <c r="D4135" s="162" t="s">
        <v>9804</v>
      </c>
      <c r="E4135" s="162" t="s">
        <v>9805</v>
      </c>
      <c r="F4135" s="162">
        <v>300</v>
      </c>
      <c r="G4135" s="162">
        <v>1</v>
      </c>
    </row>
    <row r="4136" spans="2:7" ht="28.8">
      <c r="B4136" s="162" t="s">
        <v>693</v>
      </c>
      <c r="C4136" s="162" t="s">
        <v>9810</v>
      </c>
      <c r="D4136" s="162" t="s">
        <v>9804</v>
      </c>
      <c r="E4136" s="162" t="s">
        <v>9811</v>
      </c>
      <c r="F4136" s="162">
        <v>300</v>
      </c>
      <c r="G4136" s="162">
        <v>1</v>
      </c>
    </row>
    <row r="4137" spans="2:7" ht="28.8">
      <c r="B4137" s="162" t="s">
        <v>693</v>
      </c>
      <c r="C4137" s="162" t="s">
        <v>9812</v>
      </c>
      <c r="D4137" s="162" t="s">
        <v>9804</v>
      </c>
      <c r="E4137" s="162" t="s">
        <v>9811</v>
      </c>
      <c r="F4137" s="162">
        <v>260</v>
      </c>
      <c r="G4137" s="162">
        <v>1</v>
      </c>
    </row>
    <row r="4138" spans="2:7" ht="28.8">
      <c r="B4138" s="162" t="s">
        <v>693</v>
      </c>
      <c r="C4138" s="162" t="s">
        <v>9813</v>
      </c>
      <c r="D4138" s="162" t="s">
        <v>9804</v>
      </c>
      <c r="E4138" s="162" t="s">
        <v>9811</v>
      </c>
      <c r="F4138" s="162">
        <v>300</v>
      </c>
      <c r="G4138" s="162">
        <v>1</v>
      </c>
    </row>
    <row r="4139" spans="2:7" ht="28.8">
      <c r="B4139" s="162" t="s">
        <v>693</v>
      </c>
      <c r="C4139" s="162" t="s">
        <v>9814</v>
      </c>
      <c r="D4139" s="162" t="s">
        <v>9804</v>
      </c>
      <c r="E4139" s="162" t="s">
        <v>9815</v>
      </c>
      <c r="F4139" s="162">
        <v>400</v>
      </c>
      <c r="G4139" s="162">
        <v>1</v>
      </c>
    </row>
    <row r="4140" spans="2:7" ht="28.8">
      <c r="B4140" s="162" t="s">
        <v>693</v>
      </c>
      <c r="C4140" s="162" t="s">
        <v>9816</v>
      </c>
      <c r="D4140" s="162" t="s">
        <v>9804</v>
      </c>
      <c r="E4140" s="162" t="s">
        <v>9811</v>
      </c>
      <c r="F4140" s="162">
        <v>990</v>
      </c>
      <c r="G4140" s="162">
        <v>1</v>
      </c>
    </row>
    <row r="4141" spans="2:7" ht="28.8">
      <c r="B4141" s="162" t="s">
        <v>693</v>
      </c>
      <c r="C4141" s="162" t="s">
        <v>9817</v>
      </c>
      <c r="D4141" s="162" t="s">
        <v>9804</v>
      </c>
      <c r="E4141" s="162" t="s">
        <v>9805</v>
      </c>
      <c r="F4141" s="162">
        <v>660</v>
      </c>
      <c r="G4141" s="162">
        <v>1</v>
      </c>
    </row>
    <row r="4142" spans="2:7" ht="28.8">
      <c r="B4142" s="162" t="s">
        <v>693</v>
      </c>
      <c r="C4142" s="162" t="s">
        <v>9818</v>
      </c>
      <c r="D4142" s="162" t="s">
        <v>9804</v>
      </c>
      <c r="E4142" s="162" t="s">
        <v>9805</v>
      </c>
      <c r="F4142" s="162">
        <v>720</v>
      </c>
      <c r="G4142" s="162">
        <v>1</v>
      </c>
    </row>
    <row r="4143" spans="2:7" ht="28.8">
      <c r="B4143" s="162" t="s">
        <v>693</v>
      </c>
      <c r="C4143" s="162" t="s">
        <v>9819</v>
      </c>
      <c r="D4143" s="162" t="s">
        <v>9804</v>
      </c>
      <c r="E4143" s="162" t="s">
        <v>9811</v>
      </c>
      <c r="F4143" s="162">
        <v>180</v>
      </c>
      <c r="G4143" s="162">
        <v>1</v>
      </c>
    </row>
    <row r="4144" spans="2:7" ht="28.8">
      <c r="B4144" s="162" t="s">
        <v>693</v>
      </c>
      <c r="C4144" s="162" t="s">
        <v>9820</v>
      </c>
      <c r="D4144" s="162" t="s">
        <v>9804</v>
      </c>
      <c r="E4144" s="162" t="s">
        <v>9805</v>
      </c>
      <c r="F4144" s="162">
        <v>210</v>
      </c>
      <c r="G4144" s="162">
        <v>1</v>
      </c>
    </row>
    <row r="4145" spans="2:7" ht="28.8">
      <c r="B4145" s="162" t="s">
        <v>693</v>
      </c>
      <c r="C4145" s="162" t="s">
        <v>9821</v>
      </c>
      <c r="D4145" s="162" t="s">
        <v>9804</v>
      </c>
      <c r="E4145" s="162" t="s">
        <v>9805</v>
      </c>
      <c r="F4145" s="162">
        <v>450</v>
      </c>
      <c r="G4145" s="162">
        <v>1</v>
      </c>
    </row>
    <row r="4146" spans="2:7" ht="28.8">
      <c r="B4146" s="162" t="s">
        <v>693</v>
      </c>
      <c r="C4146" s="162" t="s">
        <v>9822</v>
      </c>
      <c r="D4146" s="162" t="s">
        <v>9804</v>
      </c>
      <c r="E4146" s="162" t="s">
        <v>9811</v>
      </c>
      <c r="F4146" s="162">
        <v>190</v>
      </c>
      <c r="G4146" s="162">
        <v>1</v>
      </c>
    </row>
    <row r="4147" spans="2:7" ht="28.8">
      <c r="B4147" s="162" t="s">
        <v>693</v>
      </c>
      <c r="C4147" s="162" t="s">
        <v>9823</v>
      </c>
      <c r="D4147" s="162" t="s">
        <v>9804</v>
      </c>
      <c r="E4147" s="162" t="s">
        <v>9811</v>
      </c>
      <c r="F4147" s="162">
        <v>210</v>
      </c>
      <c r="G4147" s="162">
        <v>1</v>
      </c>
    </row>
    <row r="4148" spans="2:7" ht="28.8">
      <c r="B4148" s="162" t="s">
        <v>693</v>
      </c>
      <c r="C4148" s="162" t="s">
        <v>9824</v>
      </c>
      <c r="D4148" s="162" t="s">
        <v>9804</v>
      </c>
      <c r="E4148" s="162" t="s">
        <v>9811</v>
      </c>
      <c r="F4148" s="162">
        <v>170</v>
      </c>
      <c r="G4148" s="162">
        <v>1</v>
      </c>
    </row>
    <row r="4149" spans="2:7" ht="28.8">
      <c r="B4149" s="162" t="s">
        <v>693</v>
      </c>
      <c r="C4149" s="162" t="s">
        <v>9825</v>
      </c>
      <c r="D4149" s="162" t="s">
        <v>9804</v>
      </c>
      <c r="E4149" s="162" t="s">
        <v>9805</v>
      </c>
      <c r="F4149" s="162">
        <v>280</v>
      </c>
      <c r="G4149" s="162">
        <v>1</v>
      </c>
    </row>
    <row r="4150" spans="2:7" ht="28.8">
      <c r="B4150" s="162" t="s">
        <v>693</v>
      </c>
      <c r="C4150" s="162" t="s">
        <v>9826</v>
      </c>
      <c r="D4150" s="162" t="s">
        <v>9804</v>
      </c>
      <c r="E4150" s="162" t="s">
        <v>9805</v>
      </c>
      <c r="F4150" s="162">
        <v>220</v>
      </c>
      <c r="G4150" s="162">
        <v>1</v>
      </c>
    </row>
    <row r="4151" spans="2:7" ht="28.8">
      <c r="B4151" s="162" t="s">
        <v>693</v>
      </c>
      <c r="C4151" s="162" t="s">
        <v>9827</v>
      </c>
      <c r="D4151" s="162" t="s">
        <v>9804</v>
      </c>
      <c r="E4151" s="162" t="s">
        <v>9805</v>
      </c>
      <c r="F4151" s="162">
        <v>240</v>
      </c>
      <c r="G4151" s="162">
        <v>1</v>
      </c>
    </row>
    <row r="4152" spans="2:7" ht="28.8">
      <c r="B4152" s="162" t="s">
        <v>693</v>
      </c>
      <c r="C4152" s="162" t="s">
        <v>9828</v>
      </c>
      <c r="D4152" s="162" t="s">
        <v>9804</v>
      </c>
      <c r="E4152" s="162" t="s">
        <v>9805</v>
      </c>
      <c r="F4152" s="162">
        <v>900</v>
      </c>
      <c r="G4152" s="162">
        <v>1</v>
      </c>
    </row>
    <row r="4153" spans="2:7" ht="28.8">
      <c r="B4153" s="162" t="s">
        <v>693</v>
      </c>
      <c r="C4153" s="162" t="s">
        <v>9829</v>
      </c>
      <c r="D4153" s="162" t="s">
        <v>9804</v>
      </c>
      <c r="E4153" s="162" t="s">
        <v>9805</v>
      </c>
      <c r="F4153" s="162">
        <v>240</v>
      </c>
      <c r="G4153" s="162">
        <v>1</v>
      </c>
    </row>
    <row r="4154" spans="2:7" ht="28.8">
      <c r="B4154" s="162" t="s">
        <v>693</v>
      </c>
      <c r="C4154" s="162" t="s">
        <v>9830</v>
      </c>
      <c r="D4154" s="162" t="s">
        <v>9804</v>
      </c>
      <c r="E4154" s="162" t="s">
        <v>9805</v>
      </c>
      <c r="F4154" s="162">
        <v>410</v>
      </c>
      <c r="G4154" s="162">
        <v>1</v>
      </c>
    </row>
    <row r="4155" spans="2:7" ht="28.8">
      <c r="B4155" s="162" t="s">
        <v>693</v>
      </c>
      <c r="C4155" s="162" t="s">
        <v>9831</v>
      </c>
      <c r="D4155" s="162" t="s">
        <v>9804</v>
      </c>
      <c r="E4155" s="162" t="s">
        <v>9805</v>
      </c>
      <c r="F4155" s="162">
        <v>370</v>
      </c>
      <c r="G4155" s="162">
        <v>1</v>
      </c>
    </row>
    <row r="4156" spans="2:7" ht="28.8">
      <c r="B4156" s="162" t="s">
        <v>693</v>
      </c>
      <c r="C4156" s="162" t="s">
        <v>9832</v>
      </c>
      <c r="D4156" s="162" t="s">
        <v>9804</v>
      </c>
      <c r="E4156" s="162" t="s">
        <v>9805</v>
      </c>
      <c r="F4156" s="162">
        <v>1100</v>
      </c>
      <c r="G4156" s="162">
        <v>1</v>
      </c>
    </row>
    <row r="4157" spans="2:7" ht="28.8">
      <c r="B4157" s="162" t="s">
        <v>693</v>
      </c>
      <c r="C4157" s="162" t="s">
        <v>9830</v>
      </c>
      <c r="D4157" s="162" t="s">
        <v>9804</v>
      </c>
      <c r="E4157" s="162" t="s">
        <v>9805</v>
      </c>
      <c r="F4157" s="162">
        <v>430</v>
      </c>
      <c r="G4157" s="162">
        <v>1</v>
      </c>
    </row>
    <row r="4158" spans="2:7" ht="28.8">
      <c r="B4158" s="162" t="s">
        <v>693</v>
      </c>
      <c r="C4158" s="162" t="s">
        <v>9833</v>
      </c>
      <c r="D4158" s="162" t="s">
        <v>9804</v>
      </c>
      <c r="E4158" s="162" t="s">
        <v>9805</v>
      </c>
      <c r="F4158" s="162">
        <v>700</v>
      </c>
      <c r="G4158" s="162">
        <v>1</v>
      </c>
    </row>
    <row r="4159" spans="2:7" ht="28.8">
      <c r="B4159" s="162" t="s">
        <v>693</v>
      </c>
      <c r="C4159" s="162" t="s">
        <v>9834</v>
      </c>
      <c r="D4159" s="162" t="s">
        <v>9804</v>
      </c>
      <c r="E4159" s="162" t="s">
        <v>9805</v>
      </c>
      <c r="F4159" s="162">
        <v>900</v>
      </c>
      <c r="G4159" s="162">
        <v>1</v>
      </c>
    </row>
    <row r="4160" spans="2:7" ht="28.8">
      <c r="B4160" s="162" t="s">
        <v>693</v>
      </c>
      <c r="C4160" s="162" t="s">
        <v>9835</v>
      </c>
      <c r="D4160" s="162" t="s">
        <v>9804</v>
      </c>
      <c r="E4160" s="162" t="s">
        <v>9805</v>
      </c>
      <c r="F4160" s="162">
        <v>900</v>
      </c>
      <c r="G4160" s="162">
        <v>1</v>
      </c>
    </row>
    <row r="4161" spans="2:7" ht="28.8">
      <c r="B4161" s="162" t="s">
        <v>693</v>
      </c>
      <c r="C4161" s="162" t="s">
        <v>9836</v>
      </c>
      <c r="D4161" s="162" t="s">
        <v>9804</v>
      </c>
      <c r="E4161" s="162" t="s">
        <v>9805</v>
      </c>
      <c r="F4161" s="162">
        <v>900</v>
      </c>
      <c r="G4161" s="162">
        <v>1</v>
      </c>
    </row>
    <row r="4162" spans="2:7" ht="28.8">
      <c r="B4162" s="162" t="s">
        <v>693</v>
      </c>
      <c r="C4162" s="162" t="s">
        <v>9837</v>
      </c>
      <c r="D4162" s="162" t="s">
        <v>9804</v>
      </c>
      <c r="E4162" s="162" t="s">
        <v>9805</v>
      </c>
      <c r="F4162" s="162">
        <v>900</v>
      </c>
      <c r="G4162" s="162">
        <v>1</v>
      </c>
    </row>
    <row r="4163" spans="2:7" ht="28.8">
      <c r="B4163" s="162" t="s">
        <v>693</v>
      </c>
      <c r="C4163" s="162" t="s">
        <v>9838</v>
      </c>
      <c r="D4163" s="162" t="s">
        <v>9804</v>
      </c>
      <c r="E4163" s="162" t="s">
        <v>9805</v>
      </c>
      <c r="F4163" s="162">
        <v>900</v>
      </c>
      <c r="G4163" s="162">
        <v>1</v>
      </c>
    </row>
    <row r="4164" spans="2:7" ht="28.8">
      <c r="B4164" s="162" t="s">
        <v>693</v>
      </c>
      <c r="C4164" s="162" t="s">
        <v>9839</v>
      </c>
      <c r="D4164" s="162" t="s">
        <v>9804</v>
      </c>
      <c r="E4164" s="162" t="s">
        <v>9815</v>
      </c>
      <c r="F4164" s="162">
        <v>430</v>
      </c>
      <c r="G4164" s="162">
        <v>1</v>
      </c>
    </row>
    <row r="4165" spans="2:7" ht="28.8">
      <c r="B4165" s="162" t="s">
        <v>693</v>
      </c>
      <c r="C4165" s="162" t="s">
        <v>9840</v>
      </c>
      <c r="D4165" s="162" t="s">
        <v>9804</v>
      </c>
      <c r="E4165" s="162" t="s">
        <v>9805</v>
      </c>
      <c r="F4165" s="162">
        <v>420</v>
      </c>
      <c r="G4165" s="162">
        <v>1</v>
      </c>
    </row>
    <row r="4166" spans="2:7" ht="28.8">
      <c r="B4166" s="162" t="s">
        <v>693</v>
      </c>
      <c r="C4166" s="162" t="s">
        <v>9840</v>
      </c>
      <c r="D4166" s="162" t="s">
        <v>9804</v>
      </c>
      <c r="E4166" s="162" t="s">
        <v>9805</v>
      </c>
      <c r="F4166" s="162">
        <v>420</v>
      </c>
      <c r="G4166" s="162">
        <v>1</v>
      </c>
    </row>
    <row r="4167" spans="2:7" ht="28.8">
      <c r="B4167" s="162" t="s">
        <v>693</v>
      </c>
      <c r="C4167" s="162" t="s">
        <v>9841</v>
      </c>
      <c r="D4167" s="162" t="s">
        <v>9804</v>
      </c>
      <c r="E4167" s="162" t="s">
        <v>9805</v>
      </c>
      <c r="F4167" s="162">
        <v>860</v>
      </c>
      <c r="G4167" s="162">
        <v>1</v>
      </c>
    </row>
    <row r="4168" spans="2:7" ht="28.8">
      <c r="B4168" s="162" t="s">
        <v>693</v>
      </c>
      <c r="C4168" s="162" t="s">
        <v>9842</v>
      </c>
      <c r="D4168" s="162" t="s">
        <v>9804</v>
      </c>
      <c r="E4168" s="162" t="s">
        <v>9805</v>
      </c>
      <c r="F4168" s="162">
        <v>820</v>
      </c>
      <c r="G4168" s="162">
        <v>1</v>
      </c>
    </row>
    <row r="4169" spans="2:7" ht="28.8">
      <c r="B4169" s="162" t="s">
        <v>693</v>
      </c>
      <c r="C4169" s="162" t="s">
        <v>9843</v>
      </c>
      <c r="D4169" s="162" t="s">
        <v>9804</v>
      </c>
      <c r="E4169" s="162" t="s">
        <v>9805</v>
      </c>
      <c r="F4169" s="162">
        <v>700</v>
      </c>
      <c r="G4169" s="162">
        <v>1</v>
      </c>
    </row>
    <row r="4170" spans="2:7" ht="28.8">
      <c r="B4170" s="162" t="s">
        <v>693</v>
      </c>
      <c r="C4170" s="162" t="s">
        <v>9844</v>
      </c>
      <c r="D4170" s="162" t="s">
        <v>9804</v>
      </c>
      <c r="E4170" s="162" t="s">
        <v>9805</v>
      </c>
      <c r="F4170" s="162">
        <v>760</v>
      </c>
      <c r="G4170" s="162">
        <v>1</v>
      </c>
    </row>
    <row r="4171" spans="2:7" ht="28.8">
      <c r="B4171" s="162" t="s">
        <v>693</v>
      </c>
      <c r="C4171" s="162" t="s">
        <v>9845</v>
      </c>
      <c r="D4171" s="162" t="s">
        <v>9804</v>
      </c>
      <c r="E4171" s="162" t="s">
        <v>9805</v>
      </c>
      <c r="F4171" s="162">
        <v>480</v>
      </c>
      <c r="G4171" s="162">
        <v>1</v>
      </c>
    </row>
    <row r="4172" spans="2:7" ht="28.8">
      <c r="B4172" s="162" t="s">
        <v>693</v>
      </c>
      <c r="C4172" s="162" t="s">
        <v>9846</v>
      </c>
      <c r="D4172" s="162" t="s">
        <v>9804</v>
      </c>
      <c r="E4172" s="162" t="s">
        <v>9805</v>
      </c>
      <c r="F4172" s="162">
        <v>500</v>
      </c>
      <c r="G4172" s="162">
        <v>1</v>
      </c>
    </row>
    <row r="4173" spans="2:7" ht="28.8">
      <c r="B4173" s="162" t="s">
        <v>693</v>
      </c>
      <c r="C4173" s="162" t="s">
        <v>9847</v>
      </c>
      <c r="D4173" s="162" t="s">
        <v>9804</v>
      </c>
      <c r="E4173" s="162" t="s">
        <v>9805</v>
      </c>
      <c r="F4173" s="162">
        <v>560</v>
      </c>
      <c r="G4173" s="162">
        <v>1</v>
      </c>
    </row>
    <row r="4174" spans="2:7" ht="28.8">
      <c r="B4174" s="162" t="s">
        <v>693</v>
      </c>
      <c r="C4174" s="162" t="s">
        <v>9848</v>
      </c>
      <c r="D4174" s="162" t="s">
        <v>9804</v>
      </c>
      <c r="E4174" s="162" t="s">
        <v>9805</v>
      </c>
      <c r="F4174" s="162">
        <v>620</v>
      </c>
      <c r="G4174" s="162">
        <v>1</v>
      </c>
    </row>
    <row r="4175" spans="2:7" ht="28.8">
      <c r="B4175" s="162" t="s">
        <v>693</v>
      </c>
      <c r="C4175" s="162" t="s">
        <v>9849</v>
      </c>
      <c r="D4175" s="162" t="s">
        <v>9804</v>
      </c>
      <c r="E4175" s="162" t="s">
        <v>9805</v>
      </c>
      <c r="F4175" s="162">
        <v>790</v>
      </c>
      <c r="G4175" s="162">
        <v>1</v>
      </c>
    </row>
    <row r="4176" spans="2:7" ht="28.8">
      <c r="B4176" s="162" t="s">
        <v>693</v>
      </c>
      <c r="C4176" s="162" t="s">
        <v>9850</v>
      </c>
      <c r="D4176" s="162" t="s">
        <v>9804</v>
      </c>
      <c r="E4176" s="162" t="s">
        <v>9805</v>
      </c>
      <c r="F4176" s="162">
        <v>910</v>
      </c>
      <c r="G4176" s="162">
        <v>1</v>
      </c>
    </row>
    <row r="4177" spans="2:7" ht="43.2">
      <c r="B4177" s="162" t="s">
        <v>693</v>
      </c>
      <c r="C4177" s="162" t="s">
        <v>9851</v>
      </c>
      <c r="D4177" s="162" t="s">
        <v>9804</v>
      </c>
      <c r="E4177" s="162" t="s">
        <v>9811</v>
      </c>
      <c r="F4177" s="162">
        <v>350</v>
      </c>
      <c r="G4177" s="162">
        <v>1</v>
      </c>
    </row>
    <row r="4178" spans="2:7" ht="28.8">
      <c r="B4178" s="162" t="s">
        <v>693</v>
      </c>
      <c r="C4178" s="162" t="s">
        <v>9852</v>
      </c>
      <c r="D4178" s="162" t="s">
        <v>9804</v>
      </c>
      <c r="E4178" s="162" t="s">
        <v>9811</v>
      </c>
      <c r="F4178" s="162">
        <v>230</v>
      </c>
      <c r="G4178" s="162">
        <v>1</v>
      </c>
    </row>
    <row r="4179" spans="2:7" ht="43.2">
      <c r="B4179" s="162" t="s">
        <v>693</v>
      </c>
      <c r="C4179" s="162" t="s">
        <v>9853</v>
      </c>
      <c r="D4179" s="162" t="s">
        <v>9804</v>
      </c>
      <c r="E4179" s="162" t="s">
        <v>9811</v>
      </c>
      <c r="F4179" s="162">
        <v>270</v>
      </c>
      <c r="G4179" s="162">
        <v>1</v>
      </c>
    </row>
    <row r="4180" spans="2:7" ht="28.8">
      <c r="B4180" s="162" t="s">
        <v>693</v>
      </c>
      <c r="C4180" s="162" t="s">
        <v>9854</v>
      </c>
      <c r="D4180" s="162" t="s">
        <v>9804</v>
      </c>
      <c r="E4180" s="162" t="s">
        <v>9811</v>
      </c>
      <c r="F4180" s="162">
        <v>270</v>
      </c>
      <c r="G4180" s="162">
        <v>1</v>
      </c>
    </row>
    <row r="4181" spans="2:7" ht="28.8">
      <c r="B4181" s="162" t="s">
        <v>693</v>
      </c>
      <c r="C4181" s="162" t="s">
        <v>9855</v>
      </c>
      <c r="D4181" s="162" t="s">
        <v>9804</v>
      </c>
      <c r="E4181" s="162" t="s">
        <v>9811</v>
      </c>
      <c r="F4181" s="162">
        <v>300</v>
      </c>
      <c r="G4181" s="162">
        <v>1</v>
      </c>
    </row>
    <row r="4182" spans="2:7" ht="43.2">
      <c r="B4182" s="162" t="s">
        <v>693</v>
      </c>
      <c r="C4182" s="162" t="s">
        <v>9856</v>
      </c>
      <c r="D4182" s="162" t="s">
        <v>9804</v>
      </c>
      <c r="E4182" s="162" t="s">
        <v>9811</v>
      </c>
      <c r="F4182" s="162">
        <v>300</v>
      </c>
      <c r="G4182" s="162">
        <v>1</v>
      </c>
    </row>
    <row r="4183" spans="2:7" ht="28.8">
      <c r="B4183" s="162" t="s">
        <v>693</v>
      </c>
      <c r="C4183" s="162" t="s">
        <v>9857</v>
      </c>
      <c r="D4183" s="162" t="s">
        <v>9804</v>
      </c>
      <c r="E4183" s="162" t="s">
        <v>9811</v>
      </c>
      <c r="F4183" s="162">
        <v>260</v>
      </c>
      <c r="G4183" s="162">
        <v>1</v>
      </c>
    </row>
    <row r="4184" spans="2:7" ht="28.8">
      <c r="B4184" s="162" t="s">
        <v>693</v>
      </c>
      <c r="C4184" s="162" t="s">
        <v>9858</v>
      </c>
      <c r="D4184" s="162" t="s">
        <v>9804</v>
      </c>
      <c r="E4184" s="162" t="s">
        <v>9811</v>
      </c>
      <c r="F4184" s="162">
        <v>280</v>
      </c>
      <c r="G4184" s="162">
        <v>1</v>
      </c>
    </row>
    <row r="4185" spans="2:7" ht="28.8">
      <c r="B4185" s="162" t="s">
        <v>693</v>
      </c>
      <c r="C4185" s="162" t="s">
        <v>9859</v>
      </c>
      <c r="D4185" s="162" t="s">
        <v>9804</v>
      </c>
      <c r="E4185" s="162" t="s">
        <v>9811</v>
      </c>
      <c r="F4185" s="162">
        <v>320</v>
      </c>
      <c r="G4185" s="162">
        <v>1</v>
      </c>
    </row>
    <row r="4186" spans="2:7" ht="43.2">
      <c r="B4186" s="162" t="s">
        <v>693</v>
      </c>
      <c r="C4186" s="162" t="s">
        <v>9860</v>
      </c>
      <c r="D4186" s="162" t="s">
        <v>9804</v>
      </c>
      <c r="E4186" s="162" t="s">
        <v>9811</v>
      </c>
      <c r="F4186" s="162">
        <v>460</v>
      </c>
      <c r="G4186" s="162">
        <v>1</v>
      </c>
    </row>
    <row r="4187" spans="2:7" ht="28.8">
      <c r="B4187" s="162" t="s">
        <v>693</v>
      </c>
      <c r="C4187" s="162" t="s">
        <v>9861</v>
      </c>
      <c r="D4187" s="162" t="s">
        <v>9804</v>
      </c>
      <c r="E4187" s="162" t="s">
        <v>9811</v>
      </c>
      <c r="F4187" s="162">
        <v>300</v>
      </c>
      <c r="G4187" s="162">
        <v>1</v>
      </c>
    </row>
    <row r="4188" spans="2:7" ht="43.2">
      <c r="B4188" s="162" t="s">
        <v>693</v>
      </c>
      <c r="C4188" s="162" t="s">
        <v>9862</v>
      </c>
      <c r="D4188" s="162" t="s">
        <v>9804</v>
      </c>
      <c r="E4188" s="162" t="s">
        <v>9811</v>
      </c>
      <c r="F4188" s="162">
        <v>380</v>
      </c>
      <c r="G4188" s="162">
        <v>1</v>
      </c>
    </row>
    <row r="4189" spans="2:7" ht="43.2">
      <c r="B4189" s="162" t="s">
        <v>693</v>
      </c>
      <c r="C4189" s="162" t="s">
        <v>9863</v>
      </c>
      <c r="D4189" s="162" t="s">
        <v>9804</v>
      </c>
      <c r="E4189" s="162" t="s">
        <v>9811</v>
      </c>
      <c r="F4189" s="162">
        <v>550</v>
      </c>
      <c r="G4189" s="162">
        <v>1</v>
      </c>
    </row>
    <row r="4190" spans="2:7" ht="28.8">
      <c r="B4190" s="162" t="s">
        <v>693</v>
      </c>
      <c r="C4190" s="162" t="s">
        <v>9864</v>
      </c>
      <c r="D4190" s="162" t="s">
        <v>9804</v>
      </c>
      <c r="E4190" s="162" t="s">
        <v>9811</v>
      </c>
      <c r="F4190" s="162">
        <v>370</v>
      </c>
      <c r="G4190" s="162">
        <v>1</v>
      </c>
    </row>
    <row r="4191" spans="2:7" ht="43.2">
      <c r="B4191" s="162" t="s">
        <v>693</v>
      </c>
      <c r="C4191" s="162" t="s">
        <v>9865</v>
      </c>
      <c r="D4191" s="162" t="s">
        <v>9804</v>
      </c>
      <c r="E4191" s="162" t="s">
        <v>9811</v>
      </c>
      <c r="F4191" s="162">
        <v>400</v>
      </c>
      <c r="G4191" s="162">
        <v>1</v>
      </c>
    </row>
    <row r="4192" spans="2:7" ht="43.2">
      <c r="B4192" s="162" t="s">
        <v>693</v>
      </c>
      <c r="C4192" s="162" t="s">
        <v>9866</v>
      </c>
      <c r="D4192" s="162" t="s">
        <v>9804</v>
      </c>
      <c r="E4192" s="162" t="s">
        <v>9811</v>
      </c>
      <c r="F4192" s="162">
        <v>640</v>
      </c>
      <c r="G4192" s="162">
        <v>1</v>
      </c>
    </row>
    <row r="4193" spans="2:7" ht="28.8">
      <c r="B4193" s="162" t="s">
        <v>693</v>
      </c>
      <c r="C4193" s="162" t="s">
        <v>9867</v>
      </c>
      <c r="D4193" s="162" t="s">
        <v>9804</v>
      </c>
      <c r="E4193" s="162" t="s">
        <v>9811</v>
      </c>
      <c r="F4193" s="162">
        <v>410</v>
      </c>
      <c r="G4193" s="162">
        <v>1</v>
      </c>
    </row>
    <row r="4194" spans="2:7" ht="28.8">
      <c r="B4194" s="162" t="s">
        <v>693</v>
      </c>
      <c r="C4194" s="162" t="s">
        <v>9868</v>
      </c>
      <c r="D4194" s="162" t="s">
        <v>9804</v>
      </c>
      <c r="E4194" s="162" t="s">
        <v>9811</v>
      </c>
      <c r="F4194" s="162">
        <v>400</v>
      </c>
      <c r="G4194" s="162">
        <v>1</v>
      </c>
    </row>
    <row r="4195" spans="2:7" ht="28.8">
      <c r="B4195" s="162" t="s">
        <v>693</v>
      </c>
      <c r="C4195" s="162" t="s">
        <v>9869</v>
      </c>
      <c r="D4195" s="162" t="s">
        <v>9804</v>
      </c>
      <c r="E4195" s="162" t="s">
        <v>9811</v>
      </c>
      <c r="F4195" s="162">
        <v>380</v>
      </c>
      <c r="G4195" s="162">
        <v>1</v>
      </c>
    </row>
    <row r="4196" spans="2:7" ht="28.8">
      <c r="B4196" s="162" t="s">
        <v>693</v>
      </c>
      <c r="C4196" s="162" t="s">
        <v>9870</v>
      </c>
      <c r="D4196" s="162" t="s">
        <v>9804</v>
      </c>
      <c r="E4196" s="162" t="s">
        <v>9811</v>
      </c>
      <c r="F4196" s="162">
        <v>460</v>
      </c>
      <c r="G4196" s="162">
        <v>1</v>
      </c>
    </row>
    <row r="4197" spans="2:7" ht="28.8">
      <c r="B4197" s="162" t="s">
        <v>693</v>
      </c>
      <c r="C4197" s="162" t="s">
        <v>9871</v>
      </c>
      <c r="D4197" s="162" t="s">
        <v>9804</v>
      </c>
      <c r="E4197" s="162" t="s">
        <v>9811</v>
      </c>
      <c r="F4197" s="162">
        <v>460</v>
      </c>
      <c r="G4197" s="162">
        <v>1</v>
      </c>
    </row>
    <row r="4198" spans="2:7" ht="28.8">
      <c r="B4198" s="162" t="s">
        <v>693</v>
      </c>
      <c r="C4198" s="162" t="s">
        <v>9872</v>
      </c>
      <c r="D4198" s="162" t="s">
        <v>9804</v>
      </c>
      <c r="E4198" s="162" t="s">
        <v>9811</v>
      </c>
      <c r="F4198" s="162">
        <v>360</v>
      </c>
      <c r="G4198" s="162">
        <v>1</v>
      </c>
    </row>
    <row r="4199" spans="2:7" ht="28.8">
      <c r="B4199" s="162" t="s">
        <v>693</v>
      </c>
      <c r="C4199" s="162" t="s">
        <v>9873</v>
      </c>
      <c r="D4199" s="162" t="s">
        <v>9804</v>
      </c>
      <c r="E4199" s="162" t="s">
        <v>9811</v>
      </c>
      <c r="F4199" s="162">
        <v>380</v>
      </c>
      <c r="G4199" s="162">
        <v>1</v>
      </c>
    </row>
    <row r="4200" spans="2:7" ht="28.8">
      <c r="B4200" s="162" t="s">
        <v>693</v>
      </c>
      <c r="C4200" s="162" t="s">
        <v>9874</v>
      </c>
      <c r="D4200" s="162" t="s">
        <v>9804</v>
      </c>
      <c r="E4200" s="162" t="s">
        <v>9811</v>
      </c>
      <c r="F4200" s="162">
        <v>300</v>
      </c>
      <c r="G4200" s="162">
        <v>1</v>
      </c>
    </row>
    <row r="4201" spans="2:7" ht="28.8">
      <c r="B4201" s="162" t="s">
        <v>693</v>
      </c>
      <c r="C4201" s="162" t="s">
        <v>9875</v>
      </c>
      <c r="D4201" s="162" t="s">
        <v>9804</v>
      </c>
      <c r="E4201" s="162" t="s">
        <v>9811</v>
      </c>
      <c r="F4201" s="162">
        <v>360</v>
      </c>
      <c r="G4201" s="162">
        <v>1</v>
      </c>
    </row>
    <row r="4202" spans="2:7" ht="28.8">
      <c r="B4202" s="162" t="s">
        <v>693</v>
      </c>
      <c r="C4202" s="162" t="s">
        <v>9876</v>
      </c>
      <c r="D4202" s="162" t="s">
        <v>9804</v>
      </c>
      <c r="E4202" s="162" t="s">
        <v>9811</v>
      </c>
      <c r="F4202" s="162">
        <v>440</v>
      </c>
      <c r="G4202" s="162">
        <v>1</v>
      </c>
    </row>
    <row r="4203" spans="2:7" ht="43.2">
      <c r="B4203" s="162" t="s">
        <v>693</v>
      </c>
      <c r="C4203" s="162" t="s">
        <v>9877</v>
      </c>
      <c r="D4203" s="162" t="s">
        <v>9804</v>
      </c>
      <c r="E4203" s="162" t="s">
        <v>9811</v>
      </c>
      <c r="F4203" s="162">
        <v>260</v>
      </c>
      <c r="G4203" s="162">
        <v>1</v>
      </c>
    </row>
    <row r="4204" spans="2:7" ht="28.8">
      <c r="B4204" s="162" t="s">
        <v>693</v>
      </c>
      <c r="C4204" s="162" t="s">
        <v>9878</v>
      </c>
      <c r="D4204" s="162" t="s">
        <v>9804</v>
      </c>
      <c r="E4204" s="162" t="s">
        <v>9811</v>
      </c>
      <c r="F4204" s="162">
        <v>210</v>
      </c>
      <c r="G4204" s="162">
        <v>1</v>
      </c>
    </row>
    <row r="4205" spans="2:7" ht="28.8">
      <c r="B4205" s="162" t="s">
        <v>693</v>
      </c>
      <c r="C4205" s="162" t="s">
        <v>9879</v>
      </c>
      <c r="D4205" s="162" t="s">
        <v>9804</v>
      </c>
      <c r="E4205" s="162" t="s">
        <v>9811</v>
      </c>
      <c r="F4205" s="162">
        <v>240</v>
      </c>
      <c r="G4205" s="162">
        <v>1</v>
      </c>
    </row>
    <row r="4206" spans="2:7" ht="28.8">
      <c r="B4206" s="162" t="s">
        <v>693</v>
      </c>
      <c r="C4206" s="162" t="s">
        <v>9880</v>
      </c>
      <c r="D4206" s="162" t="s">
        <v>9804</v>
      </c>
      <c r="E4206" s="162" t="s">
        <v>9811</v>
      </c>
      <c r="F4206" s="162">
        <v>960</v>
      </c>
      <c r="G4206" s="162">
        <v>1</v>
      </c>
    </row>
    <row r="4207" spans="2:7" ht="43.2">
      <c r="B4207" s="162" t="s">
        <v>693</v>
      </c>
      <c r="C4207" s="162" t="s">
        <v>9881</v>
      </c>
      <c r="D4207" s="162" t="s">
        <v>9804</v>
      </c>
      <c r="E4207" s="162" t="s">
        <v>9815</v>
      </c>
      <c r="F4207" s="162">
        <v>260</v>
      </c>
      <c r="G4207" s="162">
        <v>1</v>
      </c>
    </row>
    <row r="4208" spans="2:7" ht="28.8">
      <c r="B4208" s="162" t="s">
        <v>693</v>
      </c>
      <c r="C4208" s="162" t="s">
        <v>9882</v>
      </c>
      <c r="D4208" s="162" t="s">
        <v>9804</v>
      </c>
      <c r="E4208" s="162" t="s">
        <v>9815</v>
      </c>
      <c r="F4208" s="162">
        <v>420</v>
      </c>
      <c r="G4208" s="162">
        <v>1</v>
      </c>
    </row>
    <row r="4209" spans="2:7" ht="43.2">
      <c r="B4209" s="162" t="s">
        <v>693</v>
      </c>
      <c r="C4209" s="162" t="s">
        <v>9883</v>
      </c>
      <c r="D4209" s="162" t="s">
        <v>9804</v>
      </c>
      <c r="E4209" s="162" t="s">
        <v>9815</v>
      </c>
      <c r="F4209" s="162">
        <v>300</v>
      </c>
      <c r="G4209" s="162">
        <v>1</v>
      </c>
    </row>
    <row r="4210" spans="2:7" ht="28.8">
      <c r="B4210" s="162" t="s">
        <v>693</v>
      </c>
      <c r="C4210" s="162" t="s">
        <v>9884</v>
      </c>
      <c r="D4210" s="162" t="s">
        <v>9804</v>
      </c>
      <c r="E4210" s="162" t="s">
        <v>9815</v>
      </c>
      <c r="F4210" s="162">
        <v>480</v>
      </c>
      <c r="G4210" s="162">
        <v>1</v>
      </c>
    </row>
    <row r="4211" spans="2:7" ht="43.2">
      <c r="B4211" s="162" t="s">
        <v>693</v>
      </c>
      <c r="C4211" s="162" t="s">
        <v>9885</v>
      </c>
      <c r="D4211" s="162" t="s">
        <v>9804</v>
      </c>
      <c r="E4211" s="162" t="s">
        <v>9815</v>
      </c>
      <c r="F4211" s="162">
        <v>400</v>
      </c>
      <c r="G4211" s="162">
        <v>1</v>
      </c>
    </row>
    <row r="4212" spans="2:7" ht="28.8">
      <c r="B4212" s="162" t="s">
        <v>693</v>
      </c>
      <c r="C4212" s="162" t="s">
        <v>9886</v>
      </c>
      <c r="D4212" s="162" t="s">
        <v>9804</v>
      </c>
      <c r="E4212" s="162" t="s">
        <v>9815</v>
      </c>
      <c r="F4212" s="162">
        <v>660</v>
      </c>
      <c r="G4212" s="162">
        <v>1</v>
      </c>
    </row>
    <row r="4213" spans="2:7" ht="43.2">
      <c r="B4213" s="162" t="s">
        <v>693</v>
      </c>
      <c r="C4213" s="162" t="s">
        <v>9887</v>
      </c>
      <c r="D4213" s="162" t="s">
        <v>9804</v>
      </c>
      <c r="E4213" s="162" t="s">
        <v>9815</v>
      </c>
      <c r="F4213" s="162">
        <v>440</v>
      </c>
      <c r="G4213" s="162">
        <v>1</v>
      </c>
    </row>
    <row r="4214" spans="2:7" ht="28.8">
      <c r="B4214" s="162" t="s">
        <v>693</v>
      </c>
      <c r="C4214" s="162" t="s">
        <v>9888</v>
      </c>
      <c r="D4214" s="162" t="s">
        <v>9804</v>
      </c>
      <c r="E4214" s="162" t="s">
        <v>9815</v>
      </c>
      <c r="F4214" s="162">
        <v>760</v>
      </c>
      <c r="G4214" s="162">
        <v>1</v>
      </c>
    </row>
    <row r="4215" spans="2:7" ht="43.2">
      <c r="B4215" s="162" t="s">
        <v>693</v>
      </c>
      <c r="C4215" s="162" t="s">
        <v>9889</v>
      </c>
      <c r="D4215" s="162" t="s">
        <v>9804</v>
      </c>
      <c r="E4215" s="162" t="s">
        <v>9815</v>
      </c>
      <c r="F4215" s="162">
        <v>390</v>
      </c>
      <c r="G4215" s="162">
        <v>1</v>
      </c>
    </row>
    <row r="4216" spans="2:7" ht="28.8">
      <c r="B4216" s="162" t="s">
        <v>693</v>
      </c>
      <c r="C4216" s="162" t="s">
        <v>9890</v>
      </c>
      <c r="D4216" s="162" t="s">
        <v>9804</v>
      </c>
      <c r="E4216" s="162" t="s">
        <v>9815</v>
      </c>
      <c r="F4216" s="162">
        <v>900</v>
      </c>
      <c r="G4216" s="162">
        <v>1</v>
      </c>
    </row>
    <row r="4217" spans="2:7" ht="43.2">
      <c r="B4217" s="162" t="s">
        <v>693</v>
      </c>
      <c r="C4217" s="162" t="s">
        <v>9891</v>
      </c>
      <c r="D4217" s="162" t="s">
        <v>9804</v>
      </c>
      <c r="E4217" s="162" t="s">
        <v>9815</v>
      </c>
      <c r="F4217" s="162">
        <v>430</v>
      </c>
      <c r="G4217" s="162">
        <v>1</v>
      </c>
    </row>
    <row r="4218" spans="2:7" ht="28.8">
      <c r="B4218" s="162" t="s">
        <v>693</v>
      </c>
      <c r="C4218" s="162" t="s">
        <v>9892</v>
      </c>
      <c r="D4218" s="162" t="s">
        <v>9804</v>
      </c>
      <c r="E4218" s="162" t="s">
        <v>9815</v>
      </c>
      <c r="F4218" s="162">
        <v>1100</v>
      </c>
      <c r="G4218" s="162">
        <v>1</v>
      </c>
    </row>
    <row r="4219" spans="2:7">
      <c r="B4219" s="162" t="s">
        <v>694</v>
      </c>
      <c r="C4219" s="162" t="s">
        <v>9893</v>
      </c>
      <c r="D4219" s="162" t="s">
        <v>9894</v>
      </c>
      <c r="F4219" s="162">
        <v>14995</v>
      </c>
      <c r="G4219" s="162">
        <v>1</v>
      </c>
    </row>
    <row r="4220" spans="2:7">
      <c r="B4220" s="162" t="s">
        <v>694</v>
      </c>
      <c r="C4220" s="162" t="s">
        <v>9895</v>
      </c>
      <c r="D4220" s="162" t="s">
        <v>9896</v>
      </c>
      <c r="F4220" s="162">
        <v>11400</v>
      </c>
      <c r="G4220" s="162">
        <v>1</v>
      </c>
    </row>
    <row r="4221" spans="2:7" ht="28.8">
      <c r="B4221" s="162" t="s">
        <v>694</v>
      </c>
      <c r="C4221" s="162" t="s">
        <v>9897</v>
      </c>
      <c r="D4221" s="162" t="s">
        <v>9898</v>
      </c>
      <c r="F4221" s="162">
        <v>8350</v>
      </c>
      <c r="G4221" s="162">
        <v>1</v>
      </c>
    </row>
    <row r="4222" spans="2:7">
      <c r="B4222" s="162" t="s">
        <v>694</v>
      </c>
      <c r="C4222" s="162" t="s">
        <v>9899</v>
      </c>
      <c r="D4222" s="162" t="s">
        <v>9900</v>
      </c>
      <c r="F4222" s="162">
        <v>6145</v>
      </c>
      <c r="G4222" s="162">
        <v>1</v>
      </c>
    </row>
    <row r="4223" spans="2:7">
      <c r="B4223" s="162" t="s">
        <v>694</v>
      </c>
      <c r="C4223" s="162" t="s">
        <v>9901</v>
      </c>
      <c r="D4223" s="162" t="s">
        <v>9902</v>
      </c>
      <c r="F4223" s="162">
        <v>3835</v>
      </c>
      <c r="G4223" s="162">
        <v>1</v>
      </c>
    </row>
    <row r="4224" spans="2:7">
      <c r="B4224" s="162" t="s">
        <v>694</v>
      </c>
      <c r="C4224" s="162" t="s">
        <v>9903</v>
      </c>
      <c r="D4224" s="162" t="s">
        <v>9904</v>
      </c>
      <c r="F4224" s="162">
        <v>3305</v>
      </c>
      <c r="G4224" s="162">
        <v>1</v>
      </c>
    </row>
    <row r="4225" spans="1:7" ht="28.8">
      <c r="A4225" s="162" t="s">
        <v>146</v>
      </c>
      <c r="B4225" s="162" t="s">
        <v>694</v>
      </c>
      <c r="C4225" s="162" t="s">
        <v>9905</v>
      </c>
      <c r="D4225" s="162" t="s">
        <v>9906</v>
      </c>
      <c r="F4225" s="162">
        <v>1895</v>
      </c>
      <c r="G4225" s="162">
        <v>1</v>
      </c>
    </row>
    <row r="4226" spans="1:7" ht="28.8">
      <c r="B4226" s="162" t="s">
        <v>694</v>
      </c>
      <c r="C4226" s="162" t="s">
        <v>9907</v>
      </c>
      <c r="D4226" s="162" t="s">
        <v>9908</v>
      </c>
      <c r="F4226" s="162">
        <v>1200</v>
      </c>
      <c r="G4226" s="162">
        <v>1</v>
      </c>
    </row>
    <row r="4227" spans="1:7" ht="28.8">
      <c r="B4227" s="162" t="s">
        <v>694</v>
      </c>
      <c r="C4227" s="162" t="s">
        <v>9909</v>
      </c>
      <c r="D4227" s="162" t="s">
        <v>9910</v>
      </c>
      <c r="F4227" s="162">
        <v>1495</v>
      </c>
      <c r="G4227" s="162">
        <v>1</v>
      </c>
    </row>
    <row r="4228" spans="1:7">
      <c r="B4228" s="162" t="s">
        <v>694</v>
      </c>
      <c r="C4228" s="162" t="s">
        <v>9911</v>
      </c>
      <c r="D4228" s="162" t="s">
        <v>9912</v>
      </c>
      <c r="F4228" s="162">
        <v>4935</v>
      </c>
      <c r="G4228" s="162">
        <v>1</v>
      </c>
    </row>
    <row r="4229" spans="1:7">
      <c r="B4229" s="162" t="s">
        <v>694</v>
      </c>
      <c r="C4229" s="162" t="s">
        <v>9913</v>
      </c>
      <c r="D4229" s="162" t="s">
        <v>9914</v>
      </c>
      <c r="F4229" s="162">
        <v>115</v>
      </c>
      <c r="G4229" s="162">
        <v>1</v>
      </c>
    </row>
    <row r="4230" spans="1:7" ht="28.8">
      <c r="B4230" s="162" t="s">
        <v>694</v>
      </c>
      <c r="C4230" s="162" t="s">
        <v>9915</v>
      </c>
      <c r="D4230" s="162" t="s">
        <v>9916</v>
      </c>
      <c r="F4230" s="162">
        <v>1575</v>
      </c>
      <c r="G4230" s="162">
        <v>1</v>
      </c>
    </row>
    <row r="4231" spans="1:7" ht="43.2">
      <c r="B4231" s="162" t="s">
        <v>694</v>
      </c>
      <c r="C4231" s="162" t="s">
        <v>9917</v>
      </c>
      <c r="D4231" s="162" t="s">
        <v>9918</v>
      </c>
      <c r="F4231" s="162">
        <v>2095</v>
      </c>
      <c r="G4231" s="162">
        <v>1</v>
      </c>
    </row>
    <row r="4232" spans="1:7" ht="28.8">
      <c r="B4232" s="162" t="s">
        <v>694</v>
      </c>
      <c r="C4232" s="162" t="s">
        <v>9919</v>
      </c>
      <c r="D4232" s="162" t="s">
        <v>9920</v>
      </c>
      <c r="F4232" s="162">
        <v>3825</v>
      </c>
      <c r="G4232" s="162">
        <v>1</v>
      </c>
    </row>
    <row r="4233" spans="1:7" ht="28.8">
      <c r="B4233" s="162" t="s">
        <v>694</v>
      </c>
      <c r="C4233" s="162" t="s">
        <v>9921</v>
      </c>
      <c r="D4233" s="162" t="s">
        <v>9922</v>
      </c>
      <c r="F4233" s="162">
        <v>4350</v>
      </c>
      <c r="G4233" s="162">
        <v>1</v>
      </c>
    </row>
    <row r="4234" spans="1:7" ht="28.8">
      <c r="B4234" s="162" t="s">
        <v>694</v>
      </c>
      <c r="C4234" s="162" t="s">
        <v>9923</v>
      </c>
      <c r="D4234" s="162" t="s">
        <v>9924</v>
      </c>
      <c r="F4234" s="162">
        <v>50999</v>
      </c>
      <c r="G4234" s="162">
        <v>1</v>
      </c>
    </row>
    <row r="4235" spans="1:7" ht="28.8">
      <c r="B4235" s="162" t="s">
        <v>694</v>
      </c>
      <c r="C4235" s="162" t="s">
        <v>9925</v>
      </c>
      <c r="D4235" s="162" t="s">
        <v>9926</v>
      </c>
      <c r="F4235" s="162">
        <v>35999</v>
      </c>
      <c r="G4235" s="162">
        <v>1</v>
      </c>
    </row>
    <row r="4236" spans="1:7" ht="28.8">
      <c r="B4236" s="162" t="s">
        <v>694</v>
      </c>
      <c r="C4236" s="162" t="s">
        <v>9927</v>
      </c>
      <c r="D4236" s="162" t="s">
        <v>9928</v>
      </c>
      <c r="F4236" s="162">
        <v>26999</v>
      </c>
      <c r="G4236" s="162">
        <v>1</v>
      </c>
    </row>
    <row r="4237" spans="1:7" ht="28.8">
      <c r="B4237" s="162" t="s">
        <v>694</v>
      </c>
      <c r="C4237" s="162" t="s">
        <v>9929</v>
      </c>
      <c r="D4237" s="162" t="s">
        <v>9930</v>
      </c>
      <c r="F4237" s="162">
        <v>19999</v>
      </c>
      <c r="G4237" s="162">
        <v>1</v>
      </c>
    </row>
    <row r="4238" spans="1:7" ht="28.8">
      <c r="B4238" s="162" t="s">
        <v>694</v>
      </c>
      <c r="C4238" s="162" t="s">
        <v>9931</v>
      </c>
      <c r="D4238" s="162" t="s">
        <v>9932</v>
      </c>
      <c r="F4238" s="162">
        <v>40999</v>
      </c>
      <c r="G4238" s="162">
        <v>1</v>
      </c>
    </row>
    <row r="4239" spans="1:7" ht="28.8">
      <c r="B4239" s="162" t="s">
        <v>694</v>
      </c>
      <c r="C4239" s="162" t="s">
        <v>9933</v>
      </c>
      <c r="D4239" s="162" t="s">
        <v>9934</v>
      </c>
      <c r="F4239" s="162">
        <v>35999</v>
      </c>
      <c r="G4239" s="162">
        <v>1</v>
      </c>
    </row>
    <row r="4240" spans="1:7" ht="28.8">
      <c r="B4240" s="162" t="s">
        <v>694</v>
      </c>
      <c r="C4240" s="162" t="s">
        <v>9935</v>
      </c>
      <c r="D4240" s="162" t="s">
        <v>9936</v>
      </c>
      <c r="F4240" s="162">
        <v>28999</v>
      </c>
      <c r="G4240" s="162">
        <v>1</v>
      </c>
    </row>
    <row r="4241" spans="2:7" ht="28.8">
      <c r="B4241" s="162" t="s">
        <v>694</v>
      </c>
      <c r="C4241" s="162" t="s">
        <v>9937</v>
      </c>
      <c r="D4241" s="162" t="s">
        <v>9938</v>
      </c>
      <c r="F4241" s="162">
        <v>8889</v>
      </c>
      <c r="G4241" s="162">
        <v>1</v>
      </c>
    </row>
    <row r="4242" spans="2:7" ht="28.8">
      <c r="B4242" s="162" t="s">
        <v>694</v>
      </c>
      <c r="C4242" s="162" t="s">
        <v>9939</v>
      </c>
      <c r="D4242" s="162" t="s">
        <v>9940</v>
      </c>
      <c r="F4242" s="162">
        <v>5649</v>
      </c>
      <c r="G4242" s="162">
        <v>1</v>
      </c>
    </row>
    <row r="4243" spans="2:7" ht="28.8">
      <c r="B4243" s="162" t="s">
        <v>694</v>
      </c>
      <c r="C4243" s="162" t="s">
        <v>9941</v>
      </c>
      <c r="D4243" s="162" t="s">
        <v>9942</v>
      </c>
      <c r="F4243" s="162">
        <v>7699</v>
      </c>
      <c r="G4243" s="162">
        <v>1</v>
      </c>
    </row>
    <row r="4244" spans="2:7" ht="28.8">
      <c r="B4244" s="162" t="s">
        <v>694</v>
      </c>
      <c r="C4244" s="162" t="s">
        <v>9943</v>
      </c>
      <c r="D4244" s="162" t="s">
        <v>9944</v>
      </c>
      <c r="F4244" s="162">
        <v>4909</v>
      </c>
      <c r="G4244" s="162">
        <v>1</v>
      </c>
    </row>
    <row r="4245" spans="2:7" ht="28.8">
      <c r="B4245" s="162" t="s">
        <v>694</v>
      </c>
      <c r="C4245" s="162" t="s">
        <v>9945</v>
      </c>
      <c r="D4245" s="162" t="s">
        <v>9946</v>
      </c>
      <c r="F4245" s="162">
        <v>13149</v>
      </c>
      <c r="G4245" s="162">
        <v>1</v>
      </c>
    </row>
    <row r="4246" spans="2:7" ht="28.8">
      <c r="B4246" s="162" t="s">
        <v>694</v>
      </c>
      <c r="C4246" s="162" t="s">
        <v>9947</v>
      </c>
      <c r="D4246" s="162" t="s">
        <v>9948</v>
      </c>
      <c r="F4246" s="162">
        <v>7879</v>
      </c>
      <c r="G4246" s="162">
        <v>1</v>
      </c>
    </row>
    <row r="4247" spans="2:7" ht="28.8">
      <c r="B4247" s="162" t="s">
        <v>694</v>
      </c>
      <c r="C4247" s="162" t="s">
        <v>9949</v>
      </c>
      <c r="D4247" s="162" t="s">
        <v>9950</v>
      </c>
      <c r="F4247" s="162">
        <v>5439</v>
      </c>
      <c r="G4247" s="162">
        <v>1</v>
      </c>
    </row>
    <row r="4248" spans="2:7" ht="28.8">
      <c r="B4248" s="162" t="s">
        <v>694</v>
      </c>
      <c r="C4248" s="162" t="s">
        <v>9951</v>
      </c>
      <c r="D4248" s="162" t="s">
        <v>9952</v>
      </c>
      <c r="F4248" s="162">
        <v>2699</v>
      </c>
      <c r="G4248" s="162">
        <v>1</v>
      </c>
    </row>
    <row r="4249" spans="2:7" ht="28.8">
      <c r="B4249" s="162" t="s">
        <v>9953</v>
      </c>
      <c r="C4249" s="162" t="s">
        <v>9954</v>
      </c>
      <c r="D4249" s="162" t="s">
        <v>9955</v>
      </c>
      <c r="E4249" s="162" t="s">
        <v>9956</v>
      </c>
      <c r="F4249" s="162">
        <v>765</v>
      </c>
      <c r="G4249" s="162">
        <v>1</v>
      </c>
    </row>
    <row r="4250" spans="2:7" ht="28.8">
      <c r="B4250" s="162" t="s">
        <v>9953</v>
      </c>
      <c r="C4250" s="162" t="s">
        <v>9957</v>
      </c>
      <c r="D4250" s="162" t="s">
        <v>9955</v>
      </c>
      <c r="E4250" s="162" t="s">
        <v>9956</v>
      </c>
      <c r="F4250" s="162">
        <v>1098</v>
      </c>
      <c r="G4250" s="162">
        <v>1</v>
      </c>
    </row>
    <row r="4251" spans="2:7" ht="28.8">
      <c r="B4251" s="162" t="s">
        <v>9953</v>
      </c>
      <c r="C4251" s="162" t="s">
        <v>9958</v>
      </c>
      <c r="D4251" s="162" t="s">
        <v>9955</v>
      </c>
      <c r="E4251" s="162" t="s">
        <v>9956</v>
      </c>
      <c r="F4251" s="162">
        <v>1132</v>
      </c>
      <c r="G4251" s="162">
        <v>1</v>
      </c>
    </row>
    <row r="4252" spans="2:7" ht="28.8">
      <c r="B4252" s="162" t="s">
        <v>9953</v>
      </c>
      <c r="C4252" s="162" t="s">
        <v>9959</v>
      </c>
      <c r="D4252" s="162" t="s">
        <v>9955</v>
      </c>
      <c r="E4252" s="162" t="s">
        <v>9956</v>
      </c>
      <c r="F4252" s="162">
        <v>1265</v>
      </c>
      <c r="G4252" s="162">
        <v>1</v>
      </c>
    </row>
    <row r="4253" spans="2:7" ht="28.8">
      <c r="B4253" s="162" t="s">
        <v>9953</v>
      </c>
      <c r="C4253" s="162" t="s">
        <v>9960</v>
      </c>
      <c r="D4253" s="162" t="s">
        <v>9955</v>
      </c>
      <c r="E4253" s="162" t="s">
        <v>9956</v>
      </c>
      <c r="F4253" s="162">
        <v>1532</v>
      </c>
      <c r="G4253" s="162">
        <v>1</v>
      </c>
    </row>
    <row r="4254" spans="2:7" ht="28.8">
      <c r="B4254" s="162" t="s">
        <v>9953</v>
      </c>
      <c r="C4254" s="162" t="s">
        <v>9961</v>
      </c>
      <c r="D4254" s="162" t="s">
        <v>9955</v>
      </c>
      <c r="E4254" s="162" t="s">
        <v>9956</v>
      </c>
      <c r="F4254" s="162">
        <v>1548</v>
      </c>
      <c r="G4254" s="162">
        <v>1</v>
      </c>
    </row>
    <row r="4255" spans="2:7" ht="28.8">
      <c r="B4255" s="162" t="s">
        <v>9953</v>
      </c>
      <c r="C4255" s="162" t="s">
        <v>9962</v>
      </c>
      <c r="D4255" s="162" t="s">
        <v>9955</v>
      </c>
      <c r="E4255" s="162" t="s">
        <v>9956</v>
      </c>
      <c r="F4255" s="162">
        <v>1998</v>
      </c>
      <c r="G4255" s="162">
        <v>1</v>
      </c>
    </row>
    <row r="4256" spans="2:7" ht="28.8">
      <c r="B4256" s="162" t="s">
        <v>9953</v>
      </c>
      <c r="C4256" s="162" t="s">
        <v>9963</v>
      </c>
      <c r="D4256" s="162" t="s">
        <v>9964</v>
      </c>
      <c r="E4256" s="162" t="s">
        <v>9965</v>
      </c>
      <c r="F4256" s="162">
        <v>792</v>
      </c>
      <c r="G4256" s="162">
        <v>1</v>
      </c>
    </row>
    <row r="4257" spans="2:7" ht="28.8">
      <c r="B4257" s="162" t="s">
        <v>9953</v>
      </c>
      <c r="C4257" s="162" t="s">
        <v>9966</v>
      </c>
      <c r="D4257" s="162" t="s">
        <v>9967</v>
      </c>
      <c r="E4257" s="162" t="s">
        <v>9965</v>
      </c>
      <c r="F4257" s="162">
        <v>1148</v>
      </c>
      <c r="G4257" s="162">
        <v>1</v>
      </c>
    </row>
    <row r="4258" spans="2:7" ht="28.8">
      <c r="B4258" s="162" t="s">
        <v>9953</v>
      </c>
      <c r="C4258" s="162" t="s">
        <v>9968</v>
      </c>
      <c r="D4258" s="162" t="s">
        <v>9967</v>
      </c>
      <c r="E4258" s="162" t="s">
        <v>9965</v>
      </c>
      <c r="F4258" s="162">
        <v>1448</v>
      </c>
      <c r="G4258" s="162">
        <v>1</v>
      </c>
    </row>
    <row r="4259" spans="2:7" ht="28.8">
      <c r="B4259" s="162" t="s">
        <v>9953</v>
      </c>
      <c r="C4259" s="162" t="s">
        <v>9969</v>
      </c>
      <c r="D4259" s="162" t="s">
        <v>9967</v>
      </c>
      <c r="E4259" s="162" t="s">
        <v>9965</v>
      </c>
      <c r="F4259" s="162">
        <v>1548</v>
      </c>
      <c r="G4259" s="162">
        <v>1</v>
      </c>
    </row>
    <row r="4260" spans="2:7" ht="28.8">
      <c r="B4260" s="162" t="s">
        <v>9953</v>
      </c>
      <c r="C4260" s="162" t="s">
        <v>9970</v>
      </c>
      <c r="D4260" s="162" t="s">
        <v>9967</v>
      </c>
      <c r="E4260" s="162" t="s">
        <v>9965</v>
      </c>
      <c r="F4260" s="162">
        <v>1998</v>
      </c>
      <c r="G4260" s="162">
        <v>1</v>
      </c>
    </row>
    <row r="4261" spans="2:7" ht="28.8">
      <c r="B4261" s="162" t="s">
        <v>9953</v>
      </c>
      <c r="C4261" s="162" t="s">
        <v>9971</v>
      </c>
      <c r="D4261" s="162" t="s">
        <v>9967</v>
      </c>
      <c r="E4261" s="162" t="s">
        <v>9965</v>
      </c>
      <c r="F4261" s="162">
        <v>3332</v>
      </c>
      <c r="G4261" s="162">
        <v>1</v>
      </c>
    </row>
    <row r="4262" spans="2:7" ht="28.8">
      <c r="B4262" s="162" t="s">
        <v>9953</v>
      </c>
      <c r="C4262" s="162" t="s">
        <v>9972</v>
      </c>
      <c r="D4262" s="162" t="s">
        <v>9967</v>
      </c>
      <c r="E4262" s="162" t="s">
        <v>9965</v>
      </c>
      <c r="F4262" s="162">
        <v>5332</v>
      </c>
      <c r="G4262" s="162">
        <v>1</v>
      </c>
    </row>
    <row r="4263" spans="2:7" ht="28.8">
      <c r="B4263" s="162" t="s">
        <v>9953</v>
      </c>
      <c r="C4263" s="162" t="s">
        <v>9973</v>
      </c>
      <c r="D4263" s="162" t="s">
        <v>9974</v>
      </c>
      <c r="E4263" s="162" t="s">
        <v>9975</v>
      </c>
      <c r="F4263" s="162">
        <v>1032</v>
      </c>
      <c r="G4263" s="162">
        <v>1</v>
      </c>
    </row>
    <row r="4264" spans="2:7" ht="28.8">
      <c r="B4264" s="162" t="s">
        <v>9953</v>
      </c>
      <c r="C4264" s="162" t="s">
        <v>9976</v>
      </c>
      <c r="D4264" s="162" t="s">
        <v>9977</v>
      </c>
      <c r="E4264" s="162" t="s">
        <v>9975</v>
      </c>
      <c r="F4264" s="162">
        <v>1332</v>
      </c>
      <c r="G4264" s="162">
        <v>1</v>
      </c>
    </row>
    <row r="4265" spans="2:7" ht="28.8">
      <c r="B4265" s="162" t="s">
        <v>9953</v>
      </c>
      <c r="C4265" s="162" t="s">
        <v>9978</v>
      </c>
      <c r="D4265" s="162" t="s">
        <v>9977</v>
      </c>
      <c r="E4265" s="162" t="s">
        <v>9975</v>
      </c>
      <c r="F4265" s="162">
        <v>1615</v>
      </c>
      <c r="G4265" s="162">
        <v>1</v>
      </c>
    </row>
    <row r="4266" spans="2:7" ht="28.8">
      <c r="B4266" s="162" t="s">
        <v>9953</v>
      </c>
      <c r="C4266" s="162" t="s">
        <v>9979</v>
      </c>
      <c r="D4266" s="162" t="s">
        <v>9977</v>
      </c>
      <c r="E4266" s="162" t="s">
        <v>9975</v>
      </c>
      <c r="F4266" s="162">
        <v>1798</v>
      </c>
      <c r="G4266" s="162">
        <v>1</v>
      </c>
    </row>
    <row r="4267" spans="2:7" ht="28.8">
      <c r="B4267" s="162" t="s">
        <v>9953</v>
      </c>
      <c r="C4267" s="162" t="s">
        <v>9980</v>
      </c>
      <c r="D4267" s="162" t="s">
        <v>9977</v>
      </c>
      <c r="E4267" s="162" t="s">
        <v>9975</v>
      </c>
      <c r="F4267" s="162">
        <v>2332</v>
      </c>
      <c r="G4267" s="162">
        <v>1</v>
      </c>
    </row>
    <row r="4268" spans="2:7" ht="28.8">
      <c r="B4268" s="162" t="s">
        <v>9953</v>
      </c>
      <c r="C4268" s="162" t="s">
        <v>9981</v>
      </c>
      <c r="D4268" s="162" t="s">
        <v>9977</v>
      </c>
      <c r="E4268" s="162" t="s">
        <v>9975</v>
      </c>
      <c r="F4268" s="162">
        <v>3548</v>
      </c>
      <c r="G4268" s="162">
        <v>1</v>
      </c>
    </row>
    <row r="4269" spans="2:7" ht="28.8">
      <c r="B4269" s="162" t="s">
        <v>9953</v>
      </c>
      <c r="C4269" s="162" t="s">
        <v>9982</v>
      </c>
      <c r="D4269" s="162" t="s">
        <v>9977</v>
      </c>
      <c r="E4269" s="162" t="s">
        <v>9975</v>
      </c>
      <c r="F4269" s="162">
        <v>5832</v>
      </c>
      <c r="G4269" s="162">
        <v>1</v>
      </c>
    </row>
    <row r="4270" spans="2:7" ht="28.8">
      <c r="B4270" s="162" t="s">
        <v>9953</v>
      </c>
      <c r="C4270" s="162" t="s">
        <v>9983</v>
      </c>
      <c r="D4270" s="162" t="s">
        <v>9977</v>
      </c>
      <c r="E4270" s="162" t="s">
        <v>9975</v>
      </c>
      <c r="F4270" s="162">
        <v>14665</v>
      </c>
      <c r="G4270" s="162">
        <v>1</v>
      </c>
    </row>
    <row r="4271" spans="2:7">
      <c r="B4271" s="162" t="s">
        <v>9953</v>
      </c>
      <c r="C4271" s="162" t="s">
        <v>9984</v>
      </c>
      <c r="D4271" s="162" t="s">
        <v>9985</v>
      </c>
      <c r="E4271" s="162" t="s">
        <v>9975</v>
      </c>
      <c r="F4271" s="162">
        <v>1315</v>
      </c>
      <c r="G4271" s="162">
        <v>1</v>
      </c>
    </row>
    <row r="4272" spans="2:7">
      <c r="B4272" s="162" t="s">
        <v>9953</v>
      </c>
      <c r="C4272" s="162" t="s">
        <v>9986</v>
      </c>
      <c r="D4272" s="162" t="s">
        <v>9985</v>
      </c>
      <c r="E4272" s="162" t="s">
        <v>9975</v>
      </c>
      <c r="F4272" s="162">
        <v>1498</v>
      </c>
      <c r="G4272" s="162">
        <v>1</v>
      </c>
    </row>
    <row r="4273" spans="2:7" ht="43.2">
      <c r="B4273" s="162" t="s">
        <v>9953</v>
      </c>
      <c r="C4273" s="162" t="s">
        <v>9987</v>
      </c>
      <c r="D4273" s="162" t="s">
        <v>9988</v>
      </c>
      <c r="E4273" s="162" t="s">
        <v>9989</v>
      </c>
      <c r="F4273" s="162">
        <v>2998</v>
      </c>
      <c r="G4273" s="162">
        <v>1</v>
      </c>
    </row>
    <row r="4274" spans="2:7" ht="43.2">
      <c r="B4274" s="162" t="s">
        <v>9953</v>
      </c>
      <c r="C4274" s="162" t="s">
        <v>9990</v>
      </c>
      <c r="D4274" s="162" t="s">
        <v>9988</v>
      </c>
      <c r="E4274" s="162" t="s">
        <v>9989</v>
      </c>
      <c r="F4274" s="162">
        <v>4332</v>
      </c>
      <c r="G4274" s="162">
        <v>1</v>
      </c>
    </row>
    <row r="4275" spans="2:7" ht="43.2">
      <c r="B4275" s="162" t="s">
        <v>9953</v>
      </c>
      <c r="C4275" s="162" t="s">
        <v>9991</v>
      </c>
      <c r="D4275" s="162" t="s">
        <v>9988</v>
      </c>
      <c r="E4275" s="162" t="s">
        <v>9989</v>
      </c>
      <c r="F4275" s="162">
        <v>7500</v>
      </c>
      <c r="G4275" s="162">
        <v>1</v>
      </c>
    </row>
    <row r="4276" spans="2:7" ht="43.2">
      <c r="B4276" s="162" t="s">
        <v>9953</v>
      </c>
      <c r="C4276" s="162" t="s">
        <v>9992</v>
      </c>
      <c r="D4276" s="162" t="s">
        <v>9988</v>
      </c>
      <c r="E4276" s="162" t="s">
        <v>9989</v>
      </c>
      <c r="F4276" s="162">
        <v>9167</v>
      </c>
      <c r="G4276" s="162">
        <v>1</v>
      </c>
    </row>
    <row r="4277" spans="2:7" ht="43.2">
      <c r="B4277" s="162" t="s">
        <v>9953</v>
      </c>
      <c r="C4277" s="162" t="s">
        <v>9990</v>
      </c>
      <c r="D4277" s="162" t="s">
        <v>9988</v>
      </c>
      <c r="E4277" s="162" t="s">
        <v>9989</v>
      </c>
      <c r="F4277" s="162">
        <v>7732</v>
      </c>
      <c r="G4277" s="162">
        <v>1</v>
      </c>
    </row>
    <row r="4278" spans="2:7" ht="43.2">
      <c r="B4278" s="162" t="s">
        <v>9953</v>
      </c>
      <c r="C4278" s="162" t="s">
        <v>9991</v>
      </c>
      <c r="D4278" s="162" t="s">
        <v>9988</v>
      </c>
      <c r="E4278" s="162" t="s">
        <v>9989</v>
      </c>
      <c r="F4278" s="162">
        <v>11250</v>
      </c>
      <c r="G4278" s="162">
        <v>1</v>
      </c>
    </row>
    <row r="4279" spans="2:7" ht="43.2">
      <c r="B4279" s="162" t="s">
        <v>9953</v>
      </c>
      <c r="C4279" s="162" t="s">
        <v>9992</v>
      </c>
      <c r="D4279" s="162" t="s">
        <v>9988</v>
      </c>
      <c r="E4279" s="162" t="s">
        <v>9989</v>
      </c>
      <c r="F4279" s="162">
        <v>12083</v>
      </c>
      <c r="G4279" s="162">
        <v>1</v>
      </c>
    </row>
    <row r="4280" spans="2:7" ht="43.2">
      <c r="B4280" s="162" t="s">
        <v>9953</v>
      </c>
      <c r="C4280" s="162" t="s">
        <v>9993</v>
      </c>
      <c r="D4280" s="162" t="s">
        <v>9994</v>
      </c>
      <c r="E4280" s="162" t="s">
        <v>9995</v>
      </c>
      <c r="F4280" s="162">
        <v>3315</v>
      </c>
      <c r="G4280" s="162">
        <v>1</v>
      </c>
    </row>
    <row r="4281" spans="2:7" ht="43.2">
      <c r="B4281" s="162" t="s">
        <v>9953</v>
      </c>
      <c r="C4281" s="162" t="s">
        <v>9996</v>
      </c>
      <c r="D4281" s="162" t="s">
        <v>9994</v>
      </c>
      <c r="E4281" s="162" t="s">
        <v>9995</v>
      </c>
      <c r="F4281" s="162">
        <v>4082</v>
      </c>
      <c r="G4281" s="162">
        <v>1</v>
      </c>
    </row>
    <row r="4282" spans="2:7" ht="43.2">
      <c r="B4282" s="162" t="s">
        <v>9953</v>
      </c>
      <c r="C4282" s="162" t="s">
        <v>9997</v>
      </c>
      <c r="D4282" s="162" t="s">
        <v>9994</v>
      </c>
      <c r="E4282" s="162" t="s">
        <v>9995</v>
      </c>
      <c r="F4282" s="162">
        <v>5332</v>
      </c>
      <c r="G4282" s="162">
        <v>1</v>
      </c>
    </row>
    <row r="4283" spans="2:7" ht="28.8">
      <c r="B4283" s="162" t="s">
        <v>9953</v>
      </c>
      <c r="C4283" s="162" t="s">
        <v>9998</v>
      </c>
      <c r="D4283" s="162" t="s">
        <v>9999</v>
      </c>
      <c r="E4283" s="162" t="s">
        <v>10000</v>
      </c>
      <c r="F4283" s="162">
        <v>2382</v>
      </c>
      <c r="G4283" s="162">
        <v>1</v>
      </c>
    </row>
    <row r="4284" spans="2:7" ht="28.8">
      <c r="B4284" s="162" t="s">
        <v>9953</v>
      </c>
      <c r="C4284" s="162" t="s">
        <v>10001</v>
      </c>
      <c r="D4284" s="162" t="s">
        <v>9999</v>
      </c>
      <c r="E4284" s="162" t="s">
        <v>10000</v>
      </c>
      <c r="F4284" s="162">
        <v>2998</v>
      </c>
      <c r="G4284" s="162">
        <v>1</v>
      </c>
    </row>
    <row r="4285" spans="2:7" ht="28.8">
      <c r="B4285" s="162" t="s">
        <v>9953</v>
      </c>
      <c r="C4285" s="162" t="s">
        <v>10002</v>
      </c>
      <c r="D4285" s="162" t="s">
        <v>9999</v>
      </c>
      <c r="E4285" s="162" t="s">
        <v>10000</v>
      </c>
      <c r="F4285" s="162">
        <v>4065</v>
      </c>
      <c r="G4285" s="162">
        <v>1</v>
      </c>
    </row>
    <row r="4286" spans="2:7" ht="28.8">
      <c r="B4286" s="162" t="s">
        <v>9953</v>
      </c>
      <c r="C4286" s="162" t="s">
        <v>10003</v>
      </c>
      <c r="D4286" s="162" t="s">
        <v>10004</v>
      </c>
      <c r="E4286" s="162" t="s">
        <v>9995</v>
      </c>
      <c r="F4286" s="162">
        <v>615</v>
      </c>
      <c r="G4286" s="162">
        <v>1</v>
      </c>
    </row>
    <row r="4287" spans="2:7" ht="28.8">
      <c r="B4287" s="162" t="s">
        <v>9953</v>
      </c>
      <c r="C4287" s="162" t="s">
        <v>10005</v>
      </c>
      <c r="D4287" s="162" t="s">
        <v>10006</v>
      </c>
      <c r="E4287" s="162" t="s">
        <v>9995</v>
      </c>
      <c r="F4287" s="162">
        <v>1332</v>
      </c>
      <c r="G4287" s="162">
        <v>1</v>
      </c>
    </row>
    <row r="4288" spans="2:7" ht="28.8">
      <c r="B4288" s="162" t="s">
        <v>9953</v>
      </c>
      <c r="C4288" s="162" t="s">
        <v>10007</v>
      </c>
      <c r="D4288" s="162" t="s">
        <v>10006</v>
      </c>
      <c r="E4288" s="162" t="s">
        <v>9995</v>
      </c>
      <c r="F4288" s="162">
        <v>2215</v>
      </c>
      <c r="G4288" s="162">
        <v>1</v>
      </c>
    </row>
    <row r="4289" spans="2:7" ht="28.8">
      <c r="B4289" s="162" t="s">
        <v>9953</v>
      </c>
      <c r="C4289" s="162" t="s">
        <v>10008</v>
      </c>
      <c r="D4289" s="162" t="s">
        <v>10009</v>
      </c>
      <c r="E4289" s="162" t="s">
        <v>9995</v>
      </c>
      <c r="F4289" s="162">
        <v>1882</v>
      </c>
      <c r="G4289" s="162">
        <v>1</v>
      </c>
    </row>
    <row r="4290" spans="2:7" ht="28.8">
      <c r="B4290" s="162" t="s">
        <v>9953</v>
      </c>
      <c r="C4290" s="162" t="s">
        <v>10010</v>
      </c>
      <c r="D4290" s="162" t="s">
        <v>10011</v>
      </c>
      <c r="E4290" s="162" t="s">
        <v>9995</v>
      </c>
      <c r="F4290" s="162">
        <v>2498</v>
      </c>
      <c r="G4290" s="162">
        <v>1</v>
      </c>
    </row>
    <row r="4291" spans="2:7" ht="28.8">
      <c r="B4291" s="162" t="s">
        <v>9953</v>
      </c>
      <c r="C4291" s="162" t="s">
        <v>10012</v>
      </c>
      <c r="D4291" s="162" t="s">
        <v>10013</v>
      </c>
      <c r="E4291" s="162" t="s">
        <v>10014</v>
      </c>
      <c r="F4291" s="162">
        <v>2498</v>
      </c>
      <c r="G4291" s="162">
        <v>1</v>
      </c>
    </row>
    <row r="4292" spans="2:7" ht="28.8">
      <c r="B4292" s="162" t="s">
        <v>9953</v>
      </c>
      <c r="C4292" s="162" t="s">
        <v>10015</v>
      </c>
      <c r="D4292" s="162" t="s">
        <v>10016</v>
      </c>
      <c r="E4292" s="162" t="s">
        <v>10014</v>
      </c>
      <c r="F4292" s="162">
        <v>2998</v>
      </c>
      <c r="G4292" s="162">
        <v>1</v>
      </c>
    </row>
    <row r="4293" spans="2:7" ht="28.8">
      <c r="B4293" s="162" t="s">
        <v>9953</v>
      </c>
      <c r="C4293" s="162" t="s">
        <v>10017</v>
      </c>
      <c r="D4293" s="162" t="s">
        <v>10016</v>
      </c>
      <c r="E4293" s="162" t="s">
        <v>10014</v>
      </c>
      <c r="F4293" s="162">
        <v>3165</v>
      </c>
      <c r="G4293" s="162">
        <v>1</v>
      </c>
    </row>
    <row r="4294" spans="2:7" ht="28.8">
      <c r="B4294" s="162" t="s">
        <v>9953</v>
      </c>
      <c r="C4294" s="162" t="s">
        <v>10018</v>
      </c>
      <c r="D4294" s="162" t="s">
        <v>10019</v>
      </c>
      <c r="E4294" s="162" t="s">
        <v>10014</v>
      </c>
      <c r="F4294" s="162">
        <v>3332</v>
      </c>
      <c r="G4294" s="162">
        <v>1</v>
      </c>
    </row>
    <row r="4295" spans="2:7" ht="28.8">
      <c r="B4295" s="162" t="s">
        <v>9953</v>
      </c>
      <c r="C4295" s="162" t="s">
        <v>10020</v>
      </c>
      <c r="D4295" s="162" t="s">
        <v>10021</v>
      </c>
      <c r="E4295" s="162" t="s">
        <v>10014</v>
      </c>
      <c r="F4295" s="162">
        <v>4332</v>
      </c>
      <c r="G4295" s="162">
        <v>1</v>
      </c>
    </row>
    <row r="4296" spans="2:7" ht="28.8">
      <c r="B4296" s="162" t="s">
        <v>9953</v>
      </c>
      <c r="C4296" s="162" t="s">
        <v>10022</v>
      </c>
      <c r="D4296" s="162" t="s">
        <v>10023</v>
      </c>
      <c r="E4296" s="162" t="s">
        <v>10014</v>
      </c>
      <c r="F4296" s="162">
        <v>4498</v>
      </c>
      <c r="G4296" s="162">
        <v>1</v>
      </c>
    </row>
    <row r="4297" spans="2:7" ht="28.8">
      <c r="B4297" s="162" t="s">
        <v>9953</v>
      </c>
      <c r="C4297" s="162" t="s">
        <v>10024</v>
      </c>
      <c r="D4297" s="162" t="s">
        <v>10016</v>
      </c>
      <c r="E4297" s="162" t="s">
        <v>10014</v>
      </c>
      <c r="F4297" s="162">
        <v>4998</v>
      </c>
      <c r="G4297" s="162">
        <v>1</v>
      </c>
    </row>
    <row r="4298" spans="2:7" ht="28.8">
      <c r="B4298" s="162" t="s">
        <v>9953</v>
      </c>
      <c r="D4298" s="162" t="s">
        <v>10025</v>
      </c>
      <c r="E4298" s="162" t="s">
        <v>10014</v>
      </c>
      <c r="G4298" s="162">
        <v>1</v>
      </c>
    </row>
    <row r="4299" spans="2:7" ht="28.8">
      <c r="B4299" s="162" t="s">
        <v>9953</v>
      </c>
      <c r="D4299" s="162" t="s">
        <v>10026</v>
      </c>
      <c r="E4299" s="162" t="s">
        <v>10014</v>
      </c>
      <c r="G4299" s="162">
        <v>1</v>
      </c>
    </row>
    <row r="4300" spans="2:7">
      <c r="B4300" s="162" t="s">
        <v>9953</v>
      </c>
      <c r="C4300" s="162" t="s">
        <v>10027</v>
      </c>
      <c r="D4300" s="162" t="s">
        <v>10028</v>
      </c>
      <c r="E4300" s="162" t="s">
        <v>10029</v>
      </c>
      <c r="F4300" s="162">
        <v>3332</v>
      </c>
      <c r="G4300" s="162">
        <v>1</v>
      </c>
    </row>
    <row r="4301" spans="2:7">
      <c r="B4301" s="162" t="s">
        <v>9953</v>
      </c>
      <c r="C4301" s="162" t="s">
        <v>10030</v>
      </c>
      <c r="D4301" s="162" t="s">
        <v>10031</v>
      </c>
      <c r="E4301" s="162" t="s">
        <v>10029</v>
      </c>
      <c r="F4301" s="162">
        <v>9165</v>
      </c>
      <c r="G4301" s="162">
        <v>1</v>
      </c>
    </row>
    <row r="4302" spans="2:7" ht="28.8">
      <c r="B4302" s="162" t="s">
        <v>9953</v>
      </c>
      <c r="C4302" s="162" t="s">
        <v>10032</v>
      </c>
      <c r="D4302" s="162" t="s">
        <v>10033</v>
      </c>
      <c r="E4302" s="162" t="s">
        <v>10034</v>
      </c>
      <c r="F4302" s="162">
        <v>1435</v>
      </c>
      <c r="G4302" s="162">
        <v>1</v>
      </c>
    </row>
    <row r="4303" spans="2:7" ht="28.8">
      <c r="B4303" s="162" t="s">
        <v>9953</v>
      </c>
      <c r="C4303" s="162" t="s">
        <v>10035</v>
      </c>
      <c r="D4303" s="162" t="s">
        <v>10033</v>
      </c>
      <c r="E4303" s="162" t="s">
        <v>10034</v>
      </c>
      <c r="F4303" s="162">
        <v>1498</v>
      </c>
      <c r="G4303" s="162">
        <v>1</v>
      </c>
    </row>
    <row r="4304" spans="2:7" ht="28.8">
      <c r="B4304" s="162" t="s">
        <v>9953</v>
      </c>
      <c r="C4304" s="162" t="s">
        <v>10036</v>
      </c>
      <c r="D4304" s="162" t="s">
        <v>10033</v>
      </c>
      <c r="E4304" s="162" t="s">
        <v>10034</v>
      </c>
      <c r="F4304" s="162">
        <v>1665</v>
      </c>
      <c r="G4304" s="162">
        <v>1</v>
      </c>
    </row>
    <row r="4305" spans="2:7" ht="28.8">
      <c r="B4305" s="162" t="s">
        <v>9953</v>
      </c>
      <c r="C4305" s="162" t="s">
        <v>10036</v>
      </c>
      <c r="D4305" s="162" t="s">
        <v>10033</v>
      </c>
      <c r="E4305" s="162" t="s">
        <v>10034</v>
      </c>
      <c r="F4305" s="162">
        <v>1832</v>
      </c>
      <c r="G4305" s="162">
        <v>1</v>
      </c>
    </row>
    <row r="4306" spans="2:7" ht="28.8">
      <c r="B4306" s="162" t="s">
        <v>9953</v>
      </c>
      <c r="C4306" s="162" t="s">
        <v>10037</v>
      </c>
      <c r="D4306" s="162" t="s">
        <v>10033</v>
      </c>
      <c r="E4306" s="162" t="s">
        <v>10034</v>
      </c>
      <c r="F4306" s="162">
        <v>2498</v>
      </c>
      <c r="G4306" s="162">
        <v>1</v>
      </c>
    </row>
    <row r="4307" spans="2:7" ht="28.8">
      <c r="B4307" s="162" t="s">
        <v>9953</v>
      </c>
      <c r="C4307" s="162" t="s">
        <v>10038</v>
      </c>
      <c r="D4307" s="162" t="s">
        <v>10039</v>
      </c>
      <c r="E4307" s="162" t="s">
        <v>10040</v>
      </c>
      <c r="G4307" s="162">
        <v>1</v>
      </c>
    </row>
    <row r="4308" spans="2:7" ht="28.8">
      <c r="B4308" s="162" t="s">
        <v>9953</v>
      </c>
      <c r="C4308" s="162" t="s">
        <v>10041</v>
      </c>
      <c r="D4308" s="162" t="s">
        <v>10042</v>
      </c>
      <c r="E4308" s="162" t="s">
        <v>10040</v>
      </c>
      <c r="G4308" s="162">
        <v>1</v>
      </c>
    </row>
    <row r="4309" spans="2:7" ht="28.8">
      <c r="B4309" s="162" t="s">
        <v>9953</v>
      </c>
      <c r="C4309" s="162" t="s">
        <v>10043</v>
      </c>
      <c r="D4309" s="162" t="s">
        <v>10044</v>
      </c>
      <c r="E4309" s="162" t="s">
        <v>10040</v>
      </c>
      <c r="G4309" s="162">
        <v>1</v>
      </c>
    </row>
    <row r="4310" spans="2:7" ht="43.2">
      <c r="B4310" s="162" t="s">
        <v>9953</v>
      </c>
      <c r="C4310" s="162" t="s">
        <v>10045</v>
      </c>
      <c r="D4310" s="162" t="s">
        <v>10046</v>
      </c>
      <c r="E4310" s="162" t="s">
        <v>10040</v>
      </c>
      <c r="G4310" s="162">
        <v>1</v>
      </c>
    </row>
    <row r="4311" spans="2:7">
      <c r="B4311" s="162" t="s">
        <v>9953</v>
      </c>
      <c r="D4311" s="162" t="s">
        <v>10047</v>
      </c>
      <c r="G4311" s="162">
        <v>1</v>
      </c>
    </row>
    <row r="4312" spans="2:7" ht="28.8">
      <c r="B4312" s="162" t="s">
        <v>9953</v>
      </c>
      <c r="D4312" s="162" t="s">
        <v>10048</v>
      </c>
      <c r="G4312" s="162">
        <v>1</v>
      </c>
    </row>
    <row r="4313" spans="2:7">
      <c r="B4313" s="162" t="s">
        <v>9953</v>
      </c>
      <c r="D4313" s="162" t="s">
        <v>10049</v>
      </c>
      <c r="G4313" s="162">
        <v>1</v>
      </c>
    </row>
    <row r="4314" spans="2:7" ht="57.6">
      <c r="B4314" s="162" t="s">
        <v>695</v>
      </c>
      <c r="C4314" s="162" t="s">
        <v>1748</v>
      </c>
      <c r="D4314" s="162" t="s">
        <v>1749</v>
      </c>
      <c r="F4314" s="162" t="s">
        <v>10050</v>
      </c>
      <c r="G4314" s="162">
        <v>1</v>
      </c>
    </row>
    <row r="4315" spans="2:7" ht="86.4">
      <c r="B4315" s="162" t="s">
        <v>695</v>
      </c>
      <c r="C4315" s="162" t="s">
        <v>1750</v>
      </c>
      <c r="D4315" s="162" t="s">
        <v>1751</v>
      </c>
      <c r="F4315" s="162">
        <v>949</v>
      </c>
      <c r="G4315" s="162">
        <v>1</v>
      </c>
    </row>
    <row r="4316" spans="2:7" ht="57.6">
      <c r="B4316" s="162" t="s">
        <v>695</v>
      </c>
      <c r="C4316" s="162" t="s">
        <v>1752</v>
      </c>
      <c r="D4316" s="162" t="s">
        <v>1753</v>
      </c>
      <c r="F4316" s="162">
        <v>49</v>
      </c>
      <c r="G4316" s="162">
        <v>1</v>
      </c>
    </row>
    <row r="4317" spans="2:7" ht="72">
      <c r="B4317" s="162" t="s">
        <v>695</v>
      </c>
      <c r="C4317" s="162" t="s">
        <v>1754</v>
      </c>
      <c r="D4317" s="162" t="s">
        <v>1755</v>
      </c>
      <c r="F4317" s="162">
        <v>159</v>
      </c>
      <c r="G4317" s="162">
        <v>1</v>
      </c>
    </row>
    <row r="4318" spans="2:7" ht="86.4">
      <c r="B4318" s="162" t="s">
        <v>695</v>
      </c>
      <c r="C4318" s="162" t="s">
        <v>10051</v>
      </c>
      <c r="D4318" s="162" t="s">
        <v>10052</v>
      </c>
      <c r="F4318" s="162">
        <v>799.95</v>
      </c>
      <c r="G4318" s="162">
        <v>1</v>
      </c>
    </row>
    <row r="4319" spans="2:7" ht="100.8">
      <c r="B4319" s="162" t="s">
        <v>695</v>
      </c>
      <c r="C4319" s="162" t="s">
        <v>10053</v>
      </c>
      <c r="D4319" s="162" t="s">
        <v>10054</v>
      </c>
      <c r="F4319" s="162">
        <v>7499.95</v>
      </c>
      <c r="G4319" s="162">
        <v>1</v>
      </c>
    </row>
    <row r="4320" spans="2:7" ht="100.8">
      <c r="B4320" s="162" t="s">
        <v>695</v>
      </c>
      <c r="C4320" s="162" t="s">
        <v>10055</v>
      </c>
      <c r="D4320" s="162" t="s">
        <v>10056</v>
      </c>
      <c r="F4320" s="162">
        <v>2506.9499999999998</v>
      </c>
      <c r="G4320" s="162">
        <v>1</v>
      </c>
    </row>
    <row r="4321" spans="2:7" ht="100.8">
      <c r="B4321" s="162" t="s">
        <v>695</v>
      </c>
      <c r="C4321" s="162" t="s">
        <v>10057</v>
      </c>
      <c r="D4321" s="162" t="s">
        <v>10058</v>
      </c>
      <c r="F4321" s="162">
        <v>3988.95</v>
      </c>
      <c r="G4321" s="162">
        <v>1</v>
      </c>
    </row>
    <row r="4322" spans="2:7" ht="115.2">
      <c r="B4322" s="162" t="s">
        <v>695</v>
      </c>
      <c r="C4322" s="162" t="s">
        <v>10059</v>
      </c>
      <c r="D4322" s="162" t="s">
        <v>10060</v>
      </c>
      <c r="F4322" s="162">
        <v>3989.95</v>
      </c>
      <c r="G4322" s="162">
        <v>1</v>
      </c>
    </row>
    <row r="4323" spans="2:7" ht="100.8">
      <c r="B4323" s="162" t="s">
        <v>695</v>
      </c>
      <c r="C4323" s="162" t="s">
        <v>10061</v>
      </c>
      <c r="D4323" s="162" t="s">
        <v>10062</v>
      </c>
      <c r="F4323" s="162">
        <v>9499.9500000000007</v>
      </c>
      <c r="G4323" s="162">
        <v>1</v>
      </c>
    </row>
    <row r="4324" spans="2:7" ht="57.6">
      <c r="B4324" s="162" t="s">
        <v>695</v>
      </c>
      <c r="C4324" s="162" t="s">
        <v>10063</v>
      </c>
      <c r="D4324" s="162" t="s">
        <v>10064</v>
      </c>
      <c r="F4324" s="162">
        <v>748.95</v>
      </c>
      <c r="G4324" s="162">
        <v>1</v>
      </c>
    </row>
    <row r="4325" spans="2:7" ht="100.8">
      <c r="B4325" s="162" t="s">
        <v>695</v>
      </c>
      <c r="C4325" s="162" t="s">
        <v>10065</v>
      </c>
      <c r="D4325" s="162" t="s">
        <v>10066</v>
      </c>
      <c r="F4325" s="162">
        <v>1099.95</v>
      </c>
      <c r="G4325" s="162">
        <v>1</v>
      </c>
    </row>
    <row r="4326" spans="2:7">
      <c r="B4326" s="162" t="s">
        <v>695</v>
      </c>
      <c r="C4326" s="162" t="s">
        <v>10067</v>
      </c>
      <c r="D4326" s="162" t="s">
        <v>10068</v>
      </c>
      <c r="G4326" s="162">
        <v>1</v>
      </c>
    </row>
    <row r="4327" spans="2:7" ht="100.8">
      <c r="B4327" s="162" t="s">
        <v>695</v>
      </c>
      <c r="C4327" s="162" t="s">
        <v>10069</v>
      </c>
      <c r="D4327" s="162" t="s">
        <v>10070</v>
      </c>
      <c r="F4327" s="162">
        <v>1099.95</v>
      </c>
      <c r="G4327" s="162">
        <v>1</v>
      </c>
    </row>
    <row r="4328" spans="2:7" ht="43.2">
      <c r="B4328" s="162" t="s">
        <v>10071</v>
      </c>
      <c r="C4328" s="162" t="s">
        <v>10072</v>
      </c>
      <c r="D4328" s="162" t="s">
        <v>10073</v>
      </c>
      <c r="E4328" s="162" t="s">
        <v>10074</v>
      </c>
      <c r="F4328" s="162">
        <v>20639</v>
      </c>
      <c r="G4328" s="162">
        <v>1</v>
      </c>
    </row>
    <row r="4329" spans="2:7" ht="43.2">
      <c r="B4329" s="162" t="s">
        <v>10071</v>
      </c>
      <c r="C4329" s="162" t="s">
        <v>10075</v>
      </c>
      <c r="D4329" s="162" t="s">
        <v>10076</v>
      </c>
      <c r="E4329" s="162" t="s">
        <v>10077</v>
      </c>
      <c r="F4329" s="162">
        <v>9243</v>
      </c>
      <c r="G4329" s="162">
        <v>1</v>
      </c>
    </row>
    <row r="4330" spans="2:7" ht="43.2">
      <c r="B4330" s="162" t="s">
        <v>10071</v>
      </c>
      <c r="C4330" s="162" t="s">
        <v>10078</v>
      </c>
      <c r="D4330" s="162" t="s">
        <v>10079</v>
      </c>
      <c r="E4330" s="162" t="s">
        <v>10080</v>
      </c>
      <c r="F4330" s="162">
        <v>7544</v>
      </c>
      <c r="G4330" s="162">
        <v>1</v>
      </c>
    </row>
    <row r="4331" spans="2:7" ht="43.2">
      <c r="B4331" s="162" t="s">
        <v>10071</v>
      </c>
      <c r="C4331" s="162" t="s">
        <v>10081</v>
      </c>
      <c r="D4331" s="162" t="s">
        <v>10082</v>
      </c>
      <c r="E4331" s="162" t="s">
        <v>10083</v>
      </c>
      <c r="F4331" s="162">
        <v>4886</v>
      </c>
      <c r="G4331" s="162">
        <v>1</v>
      </c>
    </row>
    <row r="4332" spans="2:7" ht="43.2">
      <c r="B4332" s="162" t="s">
        <v>10071</v>
      </c>
      <c r="C4332" s="162" t="s">
        <v>10084</v>
      </c>
      <c r="D4332" s="162" t="s">
        <v>10085</v>
      </c>
      <c r="E4332" s="162" t="s">
        <v>10086</v>
      </c>
      <c r="F4332" s="162">
        <v>3689</v>
      </c>
      <c r="G4332" s="162">
        <v>1</v>
      </c>
    </row>
    <row r="4333" spans="2:7" ht="43.2">
      <c r="B4333" s="162" t="s">
        <v>10071</v>
      </c>
      <c r="C4333" s="162" t="s">
        <v>10087</v>
      </c>
      <c r="D4333" s="162" t="s">
        <v>10088</v>
      </c>
      <c r="E4333" s="162" t="s">
        <v>10089</v>
      </c>
      <c r="F4333" s="162">
        <v>3258</v>
      </c>
      <c r="G4333" s="162">
        <v>1</v>
      </c>
    </row>
    <row r="4334" spans="2:7" ht="43.2">
      <c r="B4334" s="162" t="s">
        <v>10071</v>
      </c>
      <c r="C4334" s="162" t="s">
        <v>10090</v>
      </c>
      <c r="D4334" s="162" t="s">
        <v>10091</v>
      </c>
      <c r="E4334" s="162" t="s">
        <v>10092</v>
      </c>
      <c r="F4334" s="162">
        <v>3258</v>
      </c>
      <c r="G4334" s="162">
        <v>1</v>
      </c>
    </row>
    <row r="4335" spans="2:7" ht="43.2">
      <c r="B4335" s="162" t="s">
        <v>10071</v>
      </c>
      <c r="C4335" s="162" t="s">
        <v>10093</v>
      </c>
      <c r="D4335" s="162" t="s">
        <v>10094</v>
      </c>
      <c r="E4335" s="162" t="s">
        <v>10095</v>
      </c>
      <c r="F4335" s="162">
        <v>21386</v>
      </c>
      <c r="G4335" s="162">
        <v>1</v>
      </c>
    </row>
    <row r="4336" spans="2:7" ht="72">
      <c r="B4336" s="162" t="s">
        <v>696</v>
      </c>
      <c r="C4336" s="162" t="s">
        <v>10096</v>
      </c>
      <c r="D4336" s="162" t="s">
        <v>10097</v>
      </c>
      <c r="F4336" s="162">
        <v>2190</v>
      </c>
      <c r="G4336" s="162">
        <v>1</v>
      </c>
    </row>
    <row r="4337" spans="2:7" ht="100.8">
      <c r="B4337" s="162" t="s">
        <v>696</v>
      </c>
      <c r="C4337" s="162" t="s">
        <v>10098</v>
      </c>
      <c r="D4337" s="162" t="s">
        <v>10099</v>
      </c>
      <c r="F4337" s="162">
        <v>4210</v>
      </c>
      <c r="G4337" s="162">
        <v>1</v>
      </c>
    </row>
    <row r="4338" spans="2:7" ht="129.6">
      <c r="B4338" s="162" t="s">
        <v>696</v>
      </c>
      <c r="C4338" s="162" t="s">
        <v>10100</v>
      </c>
      <c r="D4338" s="162" t="s">
        <v>10101</v>
      </c>
      <c r="F4338" s="162">
        <v>45000</v>
      </c>
      <c r="G4338" s="162">
        <v>1</v>
      </c>
    </row>
    <row r="4339" spans="2:7" ht="129.6">
      <c r="B4339" s="162" t="s">
        <v>696</v>
      </c>
      <c r="C4339" s="162" t="s">
        <v>10102</v>
      </c>
      <c r="D4339" s="162" t="s">
        <v>10103</v>
      </c>
      <c r="F4339" s="162">
        <v>10440</v>
      </c>
      <c r="G4339" s="162">
        <v>1</v>
      </c>
    </row>
    <row r="4340" spans="2:7" ht="86.4">
      <c r="B4340" s="162" t="s">
        <v>696</v>
      </c>
      <c r="C4340" s="162" t="s">
        <v>10104</v>
      </c>
      <c r="D4340" s="162" t="s">
        <v>10105</v>
      </c>
      <c r="F4340" s="162">
        <v>2930</v>
      </c>
      <c r="G4340" s="162">
        <v>1</v>
      </c>
    </row>
    <row r="4341" spans="2:7" ht="43.2">
      <c r="B4341" s="162" t="s">
        <v>696</v>
      </c>
      <c r="C4341" s="162" t="s">
        <v>10106</v>
      </c>
      <c r="D4341" s="162" t="s">
        <v>10107</v>
      </c>
      <c r="F4341" s="162">
        <v>795</v>
      </c>
      <c r="G4341" s="162">
        <v>1</v>
      </c>
    </row>
    <row r="4342" spans="2:7" ht="43.2">
      <c r="B4342" s="162" t="s">
        <v>696</v>
      </c>
      <c r="C4342" s="162" t="s">
        <v>10108</v>
      </c>
      <c r="D4342" s="162" t="s">
        <v>10109</v>
      </c>
      <c r="F4342" s="162">
        <v>1170</v>
      </c>
      <c r="G4342" s="162">
        <v>1</v>
      </c>
    </row>
    <row r="4343" spans="2:7" ht="28.8">
      <c r="B4343" s="162" t="s">
        <v>696</v>
      </c>
      <c r="C4343" s="162" t="s">
        <v>10110</v>
      </c>
      <c r="D4343" s="162" t="s">
        <v>10111</v>
      </c>
      <c r="F4343" s="162">
        <v>375</v>
      </c>
      <c r="G4343" s="162">
        <v>1</v>
      </c>
    </row>
    <row r="4344" spans="2:7" ht="72">
      <c r="B4344" s="162" t="s">
        <v>696</v>
      </c>
      <c r="C4344" s="162" t="s">
        <v>10112</v>
      </c>
      <c r="D4344" s="162" t="s">
        <v>10113</v>
      </c>
      <c r="F4344" s="162">
        <v>560</v>
      </c>
      <c r="G4344" s="162">
        <v>1</v>
      </c>
    </row>
    <row r="4345" spans="2:7" ht="72">
      <c r="B4345" s="162" t="s">
        <v>696</v>
      </c>
      <c r="C4345" s="162" t="s">
        <v>10114</v>
      </c>
      <c r="D4345" s="162" t="s">
        <v>10115</v>
      </c>
      <c r="F4345" s="162">
        <v>685</v>
      </c>
      <c r="G4345" s="162">
        <v>1</v>
      </c>
    </row>
    <row r="4346" spans="2:7" ht="72">
      <c r="B4346" s="162" t="s">
        <v>696</v>
      </c>
      <c r="C4346" s="162" t="s">
        <v>10116</v>
      </c>
      <c r="D4346" s="162" t="s">
        <v>10117</v>
      </c>
      <c r="F4346" s="162">
        <v>730</v>
      </c>
      <c r="G4346" s="162">
        <v>1</v>
      </c>
    </row>
    <row r="4347" spans="2:7" ht="28.8">
      <c r="B4347" s="162" t="s">
        <v>696</v>
      </c>
      <c r="C4347" s="162" t="s">
        <v>10118</v>
      </c>
      <c r="D4347" s="162" t="s">
        <v>10119</v>
      </c>
      <c r="F4347" s="162">
        <v>185</v>
      </c>
      <c r="G4347" s="162">
        <v>1</v>
      </c>
    </row>
    <row r="4348" spans="2:7" ht="43.2">
      <c r="B4348" s="162" t="s">
        <v>696</v>
      </c>
      <c r="C4348" s="162" t="s">
        <v>10120</v>
      </c>
      <c r="D4348" s="162" t="s">
        <v>10121</v>
      </c>
      <c r="F4348" s="162">
        <v>185</v>
      </c>
      <c r="G4348" s="162">
        <v>1</v>
      </c>
    </row>
    <row r="4349" spans="2:7" ht="57.6">
      <c r="B4349" s="162" t="s">
        <v>696</v>
      </c>
      <c r="C4349" s="162" t="s">
        <v>10122</v>
      </c>
      <c r="D4349" s="162" t="s">
        <v>10123</v>
      </c>
      <c r="F4349" s="162">
        <v>2500</v>
      </c>
      <c r="G4349" s="162">
        <v>1</v>
      </c>
    </row>
    <row r="4350" spans="2:7" ht="72">
      <c r="B4350" s="162" t="s">
        <v>696</v>
      </c>
      <c r="C4350" s="162" t="s">
        <v>10124</v>
      </c>
      <c r="D4350" s="162" t="s">
        <v>10125</v>
      </c>
      <c r="F4350" s="162">
        <v>3665</v>
      </c>
      <c r="G4350" s="162">
        <v>1</v>
      </c>
    </row>
    <row r="4351" spans="2:7" ht="72">
      <c r="B4351" s="162" t="s">
        <v>696</v>
      </c>
      <c r="C4351" s="162" t="s">
        <v>1758</v>
      </c>
      <c r="D4351" s="162" t="s">
        <v>10126</v>
      </c>
      <c r="F4351" s="162">
        <v>705</v>
      </c>
      <c r="G4351" s="162">
        <v>1</v>
      </c>
    </row>
    <row r="4352" spans="2:7" ht="72">
      <c r="B4352" s="162" t="s">
        <v>696</v>
      </c>
      <c r="C4352" s="162" t="s">
        <v>10127</v>
      </c>
      <c r="D4352" s="162" t="s">
        <v>10128</v>
      </c>
      <c r="F4352" s="162">
        <v>825</v>
      </c>
      <c r="G4352" s="162">
        <v>1</v>
      </c>
    </row>
    <row r="4353" spans="2:7" ht="72">
      <c r="B4353" s="162" t="s">
        <v>696</v>
      </c>
      <c r="C4353" s="162" t="s">
        <v>10129</v>
      </c>
      <c r="D4353" s="162" t="s">
        <v>10130</v>
      </c>
      <c r="F4353" s="162">
        <v>1005</v>
      </c>
      <c r="G4353" s="162">
        <v>1</v>
      </c>
    </row>
    <row r="4354" spans="2:7" ht="72">
      <c r="B4354" s="162" t="s">
        <v>696</v>
      </c>
      <c r="C4354" s="162" t="s">
        <v>10131</v>
      </c>
      <c r="D4354" s="162" t="s">
        <v>10132</v>
      </c>
      <c r="F4354" s="162">
        <v>1155</v>
      </c>
      <c r="G4354" s="162">
        <v>1</v>
      </c>
    </row>
    <row r="4355" spans="2:7" ht="43.2">
      <c r="B4355" s="162" t="s">
        <v>696</v>
      </c>
      <c r="C4355" s="162" t="s">
        <v>10133</v>
      </c>
      <c r="D4355" s="162" t="s">
        <v>10134</v>
      </c>
      <c r="F4355" s="162">
        <v>1420</v>
      </c>
      <c r="G4355" s="162">
        <v>1</v>
      </c>
    </row>
    <row r="4356" spans="2:7" ht="43.2">
      <c r="B4356" s="162" t="s">
        <v>696</v>
      </c>
      <c r="C4356" s="162" t="s">
        <v>10135</v>
      </c>
      <c r="D4356" s="162" t="s">
        <v>10136</v>
      </c>
      <c r="F4356" s="162">
        <v>1670</v>
      </c>
      <c r="G4356" s="162">
        <v>1</v>
      </c>
    </row>
    <row r="4357" spans="2:7" ht="57.6">
      <c r="B4357" s="162" t="s">
        <v>696</v>
      </c>
      <c r="C4357" s="162" t="s">
        <v>10137</v>
      </c>
      <c r="D4357" s="162" t="s">
        <v>10138</v>
      </c>
      <c r="F4357" s="162">
        <v>1135</v>
      </c>
      <c r="G4357" s="162">
        <v>1</v>
      </c>
    </row>
    <row r="4358" spans="2:7" ht="57.6">
      <c r="B4358" s="162" t="s">
        <v>696</v>
      </c>
      <c r="C4358" s="162" t="s">
        <v>10139</v>
      </c>
      <c r="D4358" s="162" t="s">
        <v>10140</v>
      </c>
      <c r="F4358" s="162">
        <v>1910</v>
      </c>
      <c r="G4358" s="162">
        <v>1</v>
      </c>
    </row>
    <row r="4359" spans="2:7" ht="57.6">
      <c r="B4359" s="162" t="s">
        <v>696</v>
      </c>
      <c r="C4359" s="162" t="s">
        <v>1757</v>
      </c>
      <c r="D4359" s="162" t="s">
        <v>10141</v>
      </c>
      <c r="F4359" s="162">
        <v>3060</v>
      </c>
      <c r="G4359" s="162">
        <v>1</v>
      </c>
    </row>
    <row r="4360" spans="2:7" ht="57.6">
      <c r="B4360" s="162" t="s">
        <v>696</v>
      </c>
      <c r="C4360" s="162" t="s">
        <v>10142</v>
      </c>
      <c r="D4360" s="162" t="s">
        <v>10143</v>
      </c>
      <c r="F4360" s="162">
        <v>2960</v>
      </c>
      <c r="G4360" s="162">
        <v>1</v>
      </c>
    </row>
    <row r="4361" spans="2:7" ht="43.2">
      <c r="B4361" s="162" t="s">
        <v>696</v>
      </c>
      <c r="C4361" s="162" t="s">
        <v>10144</v>
      </c>
      <c r="D4361" s="162" t="s">
        <v>10145</v>
      </c>
      <c r="F4361" s="162">
        <v>3895</v>
      </c>
      <c r="G4361" s="162">
        <v>1</v>
      </c>
    </row>
    <row r="4362" spans="2:7" ht="43.2">
      <c r="B4362" s="162" t="s">
        <v>696</v>
      </c>
      <c r="C4362" s="162" t="s">
        <v>10146</v>
      </c>
      <c r="D4362" s="162" t="s">
        <v>10147</v>
      </c>
      <c r="F4362" s="162">
        <v>5000</v>
      </c>
      <c r="G4362" s="162">
        <v>1</v>
      </c>
    </row>
    <row r="4363" spans="2:7" ht="57.6">
      <c r="B4363" s="162" t="s">
        <v>696</v>
      </c>
      <c r="C4363" s="162" t="s">
        <v>10148</v>
      </c>
      <c r="D4363" s="162" t="s">
        <v>10149</v>
      </c>
      <c r="F4363" s="162">
        <v>5820</v>
      </c>
      <c r="G4363" s="162">
        <v>1</v>
      </c>
    </row>
    <row r="4364" spans="2:7" ht="57.6">
      <c r="B4364" s="162" t="s">
        <v>696</v>
      </c>
      <c r="C4364" s="162" t="s">
        <v>10150</v>
      </c>
      <c r="D4364" s="162" t="s">
        <v>10151</v>
      </c>
      <c r="F4364" s="162">
        <v>7245</v>
      </c>
      <c r="G4364" s="162">
        <v>1</v>
      </c>
    </row>
    <row r="4365" spans="2:7" ht="72">
      <c r="B4365" s="162" t="s">
        <v>696</v>
      </c>
      <c r="C4365" s="162" t="s">
        <v>10112</v>
      </c>
      <c r="D4365" s="162" t="s">
        <v>10113</v>
      </c>
      <c r="F4365" s="162">
        <v>560</v>
      </c>
      <c r="G4365" s="162">
        <v>1</v>
      </c>
    </row>
    <row r="4366" spans="2:7" ht="72">
      <c r="B4366" s="162" t="s">
        <v>696</v>
      </c>
      <c r="C4366" s="162" t="s">
        <v>10114</v>
      </c>
      <c r="D4366" s="162" t="s">
        <v>10115</v>
      </c>
      <c r="F4366" s="162">
        <v>685</v>
      </c>
      <c r="G4366" s="162">
        <v>1</v>
      </c>
    </row>
    <row r="4367" spans="2:7" ht="72">
      <c r="B4367" s="162" t="s">
        <v>696</v>
      </c>
      <c r="C4367" s="162" t="s">
        <v>10116</v>
      </c>
      <c r="D4367" s="162" t="s">
        <v>10117</v>
      </c>
      <c r="F4367" s="162">
        <v>730</v>
      </c>
      <c r="G4367" s="162">
        <v>1</v>
      </c>
    </row>
    <row r="4368" spans="2:7" ht="28.8">
      <c r="B4368" s="162" t="s">
        <v>696</v>
      </c>
      <c r="C4368" s="162" t="s">
        <v>10118</v>
      </c>
      <c r="D4368" s="162" t="s">
        <v>10119</v>
      </c>
      <c r="F4368" s="162">
        <v>185</v>
      </c>
      <c r="G4368" s="162">
        <v>1</v>
      </c>
    </row>
    <row r="4369" spans="2:7" ht="43.2">
      <c r="B4369" s="162" t="s">
        <v>696</v>
      </c>
      <c r="C4369" s="162" t="s">
        <v>10120</v>
      </c>
      <c r="D4369" s="162" t="s">
        <v>10121</v>
      </c>
      <c r="F4369" s="162">
        <v>185</v>
      </c>
      <c r="G4369" s="162">
        <v>1</v>
      </c>
    </row>
    <row r="4370" spans="2:7" ht="57.6">
      <c r="B4370" s="162" t="s">
        <v>696</v>
      </c>
      <c r="C4370" s="162" t="s">
        <v>10122</v>
      </c>
      <c r="D4370" s="162" t="s">
        <v>10123</v>
      </c>
      <c r="F4370" s="162">
        <v>2500</v>
      </c>
      <c r="G4370" s="162">
        <v>1</v>
      </c>
    </row>
    <row r="4371" spans="2:7" ht="72">
      <c r="B4371" s="162" t="s">
        <v>696</v>
      </c>
      <c r="C4371" s="162" t="s">
        <v>10124</v>
      </c>
      <c r="D4371" s="162" t="s">
        <v>10125</v>
      </c>
      <c r="F4371" s="162">
        <v>3665</v>
      </c>
      <c r="G4371" s="162">
        <v>1</v>
      </c>
    </row>
    <row r="4372" spans="2:7" ht="57.6">
      <c r="B4372" s="162" t="s">
        <v>696</v>
      </c>
      <c r="C4372" s="162" t="s">
        <v>10152</v>
      </c>
      <c r="D4372" s="162" t="s">
        <v>10153</v>
      </c>
      <c r="F4372" s="162">
        <v>1160</v>
      </c>
      <c r="G4372" s="162">
        <v>1</v>
      </c>
    </row>
    <row r="4373" spans="2:7" ht="72">
      <c r="B4373" s="162" t="s">
        <v>696</v>
      </c>
      <c r="C4373" s="162" t="s">
        <v>1758</v>
      </c>
      <c r="D4373" s="162" t="s">
        <v>10126</v>
      </c>
      <c r="F4373" s="162">
        <v>705</v>
      </c>
      <c r="G4373" s="162">
        <v>1</v>
      </c>
    </row>
    <row r="4374" spans="2:7" ht="72">
      <c r="B4374" s="162" t="s">
        <v>696</v>
      </c>
      <c r="C4374" s="162" t="s">
        <v>10127</v>
      </c>
      <c r="D4374" s="162" t="s">
        <v>10128</v>
      </c>
      <c r="F4374" s="162">
        <v>825</v>
      </c>
      <c r="G4374" s="162">
        <v>1</v>
      </c>
    </row>
    <row r="4375" spans="2:7" ht="72">
      <c r="B4375" s="162" t="s">
        <v>696</v>
      </c>
      <c r="C4375" s="162" t="s">
        <v>10129</v>
      </c>
      <c r="D4375" s="162" t="s">
        <v>10130</v>
      </c>
      <c r="F4375" s="162">
        <v>1005</v>
      </c>
      <c r="G4375" s="162">
        <v>1</v>
      </c>
    </row>
    <row r="4376" spans="2:7" ht="72">
      <c r="B4376" s="162" t="s">
        <v>696</v>
      </c>
      <c r="C4376" s="162" t="s">
        <v>10131</v>
      </c>
      <c r="D4376" s="162" t="s">
        <v>10132</v>
      </c>
      <c r="F4376" s="162">
        <v>1155</v>
      </c>
      <c r="G4376" s="162">
        <v>1</v>
      </c>
    </row>
    <row r="4377" spans="2:7" ht="43.2">
      <c r="B4377" s="162" t="s">
        <v>696</v>
      </c>
      <c r="C4377" s="162" t="s">
        <v>10133</v>
      </c>
      <c r="D4377" s="162" t="s">
        <v>10134</v>
      </c>
      <c r="F4377" s="162">
        <v>1420</v>
      </c>
      <c r="G4377" s="162">
        <v>1</v>
      </c>
    </row>
    <row r="4378" spans="2:7" ht="43.2">
      <c r="B4378" s="162" t="s">
        <v>696</v>
      </c>
      <c r="C4378" s="162" t="s">
        <v>10135</v>
      </c>
      <c r="D4378" s="162" t="s">
        <v>10136</v>
      </c>
      <c r="F4378" s="162">
        <v>1670</v>
      </c>
      <c r="G4378" s="162">
        <v>1</v>
      </c>
    </row>
    <row r="4379" spans="2:7" ht="57.6">
      <c r="B4379" s="162" t="s">
        <v>696</v>
      </c>
      <c r="C4379" s="162" t="s">
        <v>10137</v>
      </c>
      <c r="D4379" s="162" t="s">
        <v>10138</v>
      </c>
      <c r="F4379" s="162">
        <v>1135</v>
      </c>
      <c r="G4379" s="162">
        <v>1</v>
      </c>
    </row>
    <row r="4380" spans="2:7" ht="57.6">
      <c r="B4380" s="162" t="s">
        <v>696</v>
      </c>
      <c r="C4380" s="162" t="s">
        <v>10139</v>
      </c>
      <c r="D4380" s="162" t="s">
        <v>10140</v>
      </c>
      <c r="F4380" s="162">
        <v>1910</v>
      </c>
      <c r="G4380" s="162">
        <v>1</v>
      </c>
    </row>
    <row r="4381" spans="2:7" ht="57.6">
      <c r="B4381" s="162" t="s">
        <v>696</v>
      </c>
      <c r="C4381" s="162" t="s">
        <v>1757</v>
      </c>
      <c r="D4381" s="162" t="s">
        <v>10141</v>
      </c>
      <c r="F4381" s="162">
        <v>3060</v>
      </c>
      <c r="G4381" s="162">
        <v>1</v>
      </c>
    </row>
    <row r="4382" spans="2:7" ht="57.6">
      <c r="B4382" s="162" t="s">
        <v>696</v>
      </c>
      <c r="C4382" s="162" t="s">
        <v>10142</v>
      </c>
      <c r="D4382" s="162" t="s">
        <v>10143</v>
      </c>
      <c r="F4382" s="162">
        <v>2960</v>
      </c>
      <c r="G4382" s="162">
        <v>1</v>
      </c>
    </row>
    <row r="4383" spans="2:7" ht="43.2">
      <c r="B4383" s="162" t="s">
        <v>696</v>
      </c>
      <c r="C4383" s="162" t="s">
        <v>10144</v>
      </c>
      <c r="D4383" s="162" t="s">
        <v>10145</v>
      </c>
      <c r="F4383" s="162">
        <v>3895</v>
      </c>
      <c r="G4383" s="162">
        <v>1</v>
      </c>
    </row>
    <row r="4384" spans="2:7" ht="43.2">
      <c r="B4384" s="162" t="s">
        <v>696</v>
      </c>
      <c r="C4384" s="162" t="s">
        <v>10146</v>
      </c>
      <c r="D4384" s="162" t="s">
        <v>10147</v>
      </c>
      <c r="F4384" s="162">
        <v>5000</v>
      </c>
      <c r="G4384" s="162">
        <v>1</v>
      </c>
    </row>
    <row r="4385" spans="2:7" ht="57.6">
      <c r="B4385" s="162" t="s">
        <v>696</v>
      </c>
      <c r="C4385" s="162" t="s">
        <v>10148</v>
      </c>
      <c r="D4385" s="162" t="s">
        <v>10149</v>
      </c>
      <c r="F4385" s="162">
        <v>5820</v>
      </c>
      <c r="G4385" s="162">
        <v>1</v>
      </c>
    </row>
    <row r="4386" spans="2:7" ht="57.6">
      <c r="B4386" s="162" t="s">
        <v>696</v>
      </c>
      <c r="C4386" s="162" t="s">
        <v>10150</v>
      </c>
      <c r="D4386" s="162" t="s">
        <v>10151</v>
      </c>
      <c r="F4386" s="162">
        <v>7245</v>
      </c>
      <c r="G4386" s="162">
        <v>1</v>
      </c>
    </row>
    <row r="4387" spans="2:7" ht="72">
      <c r="B4387" s="162" t="s">
        <v>696</v>
      </c>
      <c r="C4387" s="162" t="s">
        <v>10154</v>
      </c>
      <c r="D4387" s="162" t="s">
        <v>10155</v>
      </c>
      <c r="F4387" s="162">
        <v>104</v>
      </c>
      <c r="G4387" s="162">
        <v>1</v>
      </c>
    </row>
    <row r="4388" spans="2:7" ht="86.4">
      <c r="B4388" s="162" t="s">
        <v>696</v>
      </c>
      <c r="C4388" s="162" t="s">
        <v>10156</v>
      </c>
      <c r="D4388" s="162" t="s">
        <v>10157</v>
      </c>
      <c r="F4388" s="162">
        <v>117.5</v>
      </c>
      <c r="G4388" s="162">
        <v>1</v>
      </c>
    </row>
    <row r="4389" spans="2:7" ht="72">
      <c r="B4389" s="162" t="s">
        <v>696</v>
      </c>
      <c r="C4389" s="162" t="s">
        <v>10158</v>
      </c>
      <c r="D4389" s="162" t="s">
        <v>10159</v>
      </c>
      <c r="F4389" s="162">
        <v>117.5</v>
      </c>
      <c r="G4389" s="162">
        <v>1</v>
      </c>
    </row>
    <row r="4390" spans="2:7" ht="72">
      <c r="B4390" s="162" t="s">
        <v>696</v>
      </c>
      <c r="C4390" s="162" t="s">
        <v>10160</v>
      </c>
      <c r="D4390" s="162" t="s">
        <v>10161</v>
      </c>
      <c r="F4390" s="162">
        <v>62</v>
      </c>
      <c r="G4390" s="162">
        <v>1</v>
      </c>
    </row>
    <row r="4391" spans="2:7" ht="72">
      <c r="B4391" s="162" t="s">
        <v>696</v>
      </c>
      <c r="C4391" s="162" t="s">
        <v>10162</v>
      </c>
      <c r="D4391" s="162" t="s">
        <v>10163</v>
      </c>
      <c r="F4391" s="162">
        <v>157</v>
      </c>
      <c r="G4391" s="162">
        <v>1</v>
      </c>
    </row>
    <row r="4392" spans="2:7" ht="72">
      <c r="B4392" s="162" t="s">
        <v>696</v>
      </c>
      <c r="C4392" s="162" t="s">
        <v>10164</v>
      </c>
      <c r="D4392" s="162" t="s">
        <v>10165</v>
      </c>
      <c r="F4392" s="162">
        <v>229</v>
      </c>
      <c r="G4392" s="162">
        <v>1</v>
      </c>
    </row>
    <row r="4393" spans="2:7" ht="72">
      <c r="B4393" s="162" t="s">
        <v>696</v>
      </c>
      <c r="C4393" s="162" t="s">
        <v>10166</v>
      </c>
      <c r="D4393" s="162" t="s">
        <v>10167</v>
      </c>
      <c r="F4393" s="162">
        <v>81</v>
      </c>
      <c r="G4393" s="162">
        <v>1</v>
      </c>
    </row>
    <row r="4394" spans="2:7" ht="72">
      <c r="B4394" s="162" t="s">
        <v>696</v>
      </c>
      <c r="C4394" s="162" t="s">
        <v>10168</v>
      </c>
      <c r="D4394" s="162" t="s">
        <v>10169</v>
      </c>
      <c r="F4394" s="162">
        <v>182</v>
      </c>
      <c r="G4394" s="162">
        <v>1</v>
      </c>
    </row>
    <row r="4395" spans="2:7" ht="57.6">
      <c r="B4395" s="162" t="s">
        <v>696</v>
      </c>
      <c r="C4395" s="162" t="s">
        <v>10170</v>
      </c>
      <c r="D4395" s="162" t="s">
        <v>10171</v>
      </c>
      <c r="F4395" s="162">
        <v>202</v>
      </c>
      <c r="G4395" s="162">
        <v>1</v>
      </c>
    </row>
    <row r="4396" spans="2:7" ht="57.6">
      <c r="B4396" s="162" t="s">
        <v>696</v>
      </c>
      <c r="C4396" s="162" t="s">
        <v>10172</v>
      </c>
      <c r="D4396" s="162" t="s">
        <v>10173</v>
      </c>
      <c r="F4396" s="162">
        <v>242</v>
      </c>
      <c r="G4396" s="162">
        <v>1</v>
      </c>
    </row>
    <row r="4397" spans="2:7" ht="72">
      <c r="B4397" s="162" t="s">
        <v>696</v>
      </c>
      <c r="C4397" s="162" t="s">
        <v>10174</v>
      </c>
      <c r="D4397" s="162" t="s">
        <v>10175</v>
      </c>
      <c r="F4397" s="162">
        <v>136</v>
      </c>
      <c r="G4397" s="162">
        <v>1</v>
      </c>
    </row>
    <row r="4398" spans="2:7" ht="72">
      <c r="B4398" s="162" t="s">
        <v>696</v>
      </c>
      <c r="C4398" s="162" t="s">
        <v>10176</v>
      </c>
      <c r="D4398" s="162" t="s">
        <v>10177</v>
      </c>
      <c r="F4398" s="162">
        <v>136</v>
      </c>
      <c r="G4398" s="162">
        <v>1</v>
      </c>
    </row>
    <row r="4399" spans="2:7" ht="72">
      <c r="B4399" s="162" t="s">
        <v>696</v>
      </c>
      <c r="C4399" s="162" t="s">
        <v>10178</v>
      </c>
      <c r="D4399" s="162" t="s">
        <v>10179</v>
      </c>
      <c r="F4399" s="162">
        <v>174</v>
      </c>
      <c r="G4399" s="162">
        <v>1</v>
      </c>
    </row>
    <row r="4400" spans="2:7" ht="72">
      <c r="B4400" s="162" t="s">
        <v>696</v>
      </c>
      <c r="C4400" s="162" t="s">
        <v>10180</v>
      </c>
      <c r="D4400" s="162" t="s">
        <v>10181</v>
      </c>
      <c r="F4400" s="162">
        <v>174</v>
      </c>
      <c r="G4400" s="162">
        <v>1</v>
      </c>
    </row>
    <row r="4401" spans="2:7" ht="57.6">
      <c r="B4401" s="162" t="s">
        <v>696</v>
      </c>
      <c r="C4401" s="162" t="s">
        <v>10182</v>
      </c>
      <c r="D4401" s="162" t="s">
        <v>10183</v>
      </c>
      <c r="E4401" s="162" t="s">
        <v>10184</v>
      </c>
      <c r="F4401" s="162">
        <v>675</v>
      </c>
      <c r="G4401" s="162">
        <v>1</v>
      </c>
    </row>
    <row r="4402" spans="2:7" ht="57.6">
      <c r="B4402" s="162" t="s">
        <v>696</v>
      </c>
      <c r="C4402" s="162" t="s">
        <v>10185</v>
      </c>
      <c r="D4402" s="162" t="s">
        <v>10186</v>
      </c>
      <c r="E4402" s="162" t="s">
        <v>10184</v>
      </c>
      <c r="F4402" s="162">
        <v>660</v>
      </c>
      <c r="G4402" s="162">
        <v>1</v>
      </c>
    </row>
    <row r="4403" spans="2:7" ht="57.6">
      <c r="B4403" s="162" t="s">
        <v>696</v>
      </c>
      <c r="C4403" s="162" t="s">
        <v>10187</v>
      </c>
      <c r="D4403" s="162" t="s">
        <v>10188</v>
      </c>
      <c r="E4403" s="162" t="s">
        <v>10184</v>
      </c>
      <c r="F4403" s="162">
        <v>692</v>
      </c>
      <c r="G4403" s="162">
        <v>1</v>
      </c>
    </row>
    <row r="4404" spans="2:7" ht="43.2">
      <c r="B4404" s="162" t="s">
        <v>696</v>
      </c>
      <c r="C4404" s="162" t="s">
        <v>10189</v>
      </c>
      <c r="D4404" s="162" t="s">
        <v>10190</v>
      </c>
      <c r="E4404" s="162" t="s">
        <v>10184</v>
      </c>
      <c r="F4404" s="162">
        <v>137</v>
      </c>
      <c r="G4404" s="162">
        <v>1</v>
      </c>
    </row>
    <row r="4405" spans="2:7" ht="72">
      <c r="B4405" s="162" t="s">
        <v>696</v>
      </c>
      <c r="C4405" s="162" t="s">
        <v>10191</v>
      </c>
      <c r="D4405" s="162" t="s">
        <v>10192</v>
      </c>
      <c r="E4405" s="162" t="s">
        <v>10193</v>
      </c>
      <c r="F4405" s="162">
        <v>810</v>
      </c>
      <c r="G4405" s="162">
        <v>1</v>
      </c>
    </row>
    <row r="4406" spans="2:7" ht="72">
      <c r="B4406" s="162" t="s">
        <v>696</v>
      </c>
      <c r="C4406" s="162" t="s">
        <v>10194</v>
      </c>
      <c r="D4406" s="162" t="s">
        <v>10195</v>
      </c>
      <c r="E4406" s="162" t="s">
        <v>10193</v>
      </c>
      <c r="F4406" s="162">
        <v>810</v>
      </c>
      <c r="G4406" s="162">
        <v>1</v>
      </c>
    </row>
    <row r="4407" spans="2:7" ht="72">
      <c r="B4407" s="162" t="s">
        <v>696</v>
      </c>
      <c r="C4407" s="162" t="s">
        <v>10196</v>
      </c>
      <c r="D4407" s="162" t="s">
        <v>10197</v>
      </c>
      <c r="E4407" s="162" t="s">
        <v>10193</v>
      </c>
      <c r="F4407" s="162">
        <v>135</v>
      </c>
      <c r="G4407" s="162">
        <v>1</v>
      </c>
    </row>
    <row r="4408" spans="2:7" ht="72">
      <c r="B4408" s="162" t="s">
        <v>696</v>
      </c>
      <c r="C4408" s="162" t="s">
        <v>10198</v>
      </c>
      <c r="D4408" s="162" t="s">
        <v>10199</v>
      </c>
      <c r="E4408" s="162" t="s">
        <v>10193</v>
      </c>
      <c r="F4408" s="162">
        <v>135</v>
      </c>
      <c r="G4408" s="162">
        <v>1</v>
      </c>
    </row>
    <row r="4409" spans="2:7" ht="86.4">
      <c r="B4409" s="162" t="s">
        <v>696</v>
      </c>
      <c r="C4409" s="162" t="s">
        <v>10200</v>
      </c>
      <c r="D4409" s="162" t="s">
        <v>10201</v>
      </c>
      <c r="E4409" s="162" t="s">
        <v>10193</v>
      </c>
      <c r="F4409" s="162">
        <v>574</v>
      </c>
      <c r="G4409" s="162">
        <v>1</v>
      </c>
    </row>
    <row r="4410" spans="2:7" ht="86.4">
      <c r="B4410" s="162" t="s">
        <v>696</v>
      </c>
      <c r="C4410" s="162" t="s">
        <v>10202</v>
      </c>
      <c r="D4410" s="162" t="s">
        <v>10203</v>
      </c>
      <c r="E4410" s="162" t="s">
        <v>10193</v>
      </c>
      <c r="F4410" s="162">
        <v>574</v>
      </c>
      <c r="G4410" s="162">
        <v>1</v>
      </c>
    </row>
    <row r="4411" spans="2:7" ht="72">
      <c r="B4411" s="162" t="s">
        <v>696</v>
      </c>
      <c r="C4411" s="162" t="s">
        <v>10204</v>
      </c>
      <c r="D4411" s="162" t="s">
        <v>10205</v>
      </c>
      <c r="E4411" s="162" t="s">
        <v>10193</v>
      </c>
      <c r="F4411" s="162">
        <v>292</v>
      </c>
      <c r="G4411" s="162">
        <v>1</v>
      </c>
    </row>
    <row r="4412" spans="2:7" ht="72">
      <c r="B4412" s="162" t="s">
        <v>696</v>
      </c>
      <c r="C4412" s="162" t="s">
        <v>10206</v>
      </c>
      <c r="D4412" s="162" t="s">
        <v>10207</v>
      </c>
      <c r="E4412" s="162" t="s">
        <v>10193</v>
      </c>
      <c r="F4412" s="162">
        <v>292</v>
      </c>
      <c r="G4412" s="162">
        <v>1</v>
      </c>
    </row>
    <row r="4413" spans="2:7" ht="72">
      <c r="B4413" s="162" t="s">
        <v>696</v>
      </c>
      <c r="C4413" s="162" t="s">
        <v>10208</v>
      </c>
      <c r="D4413" s="162" t="s">
        <v>10209</v>
      </c>
      <c r="E4413" s="162" t="s">
        <v>10193</v>
      </c>
      <c r="F4413" s="162">
        <v>379</v>
      </c>
      <c r="G4413" s="162">
        <v>1</v>
      </c>
    </row>
    <row r="4414" spans="2:7" ht="72">
      <c r="B4414" s="162" t="s">
        <v>696</v>
      </c>
      <c r="C4414" s="162" t="s">
        <v>10210</v>
      </c>
      <c r="D4414" s="162" t="s">
        <v>10211</v>
      </c>
      <c r="E4414" s="162" t="s">
        <v>10193</v>
      </c>
      <c r="F4414" s="162">
        <v>379</v>
      </c>
      <c r="G4414" s="162">
        <v>1</v>
      </c>
    </row>
    <row r="4415" spans="2:7" ht="72">
      <c r="B4415" s="162" t="s">
        <v>696</v>
      </c>
      <c r="C4415" s="162" t="s">
        <v>10212</v>
      </c>
      <c r="D4415" s="162" t="s">
        <v>10213</v>
      </c>
      <c r="E4415" s="162" t="s">
        <v>10214</v>
      </c>
      <c r="F4415" s="162">
        <v>110</v>
      </c>
      <c r="G4415" s="162">
        <v>1</v>
      </c>
    </row>
    <row r="4416" spans="2:7" ht="72">
      <c r="B4416" s="162" t="s">
        <v>696</v>
      </c>
      <c r="C4416" s="162" t="s">
        <v>10215</v>
      </c>
      <c r="D4416" s="162" t="s">
        <v>10216</v>
      </c>
      <c r="E4416" s="162" t="s">
        <v>10214</v>
      </c>
      <c r="F4416" s="162">
        <v>110</v>
      </c>
      <c r="G4416" s="162">
        <v>1</v>
      </c>
    </row>
    <row r="4417" spans="2:7" ht="86.4">
      <c r="B4417" s="162" t="s">
        <v>696</v>
      </c>
      <c r="C4417" s="162" t="s">
        <v>10217</v>
      </c>
      <c r="D4417" s="162" t="s">
        <v>10218</v>
      </c>
      <c r="E4417" s="162" t="s">
        <v>10214</v>
      </c>
      <c r="F4417" s="162">
        <v>520</v>
      </c>
      <c r="G4417" s="162">
        <v>1</v>
      </c>
    </row>
    <row r="4418" spans="2:7" ht="86.4">
      <c r="B4418" s="162" t="s">
        <v>696</v>
      </c>
      <c r="C4418" s="162" t="s">
        <v>10219</v>
      </c>
      <c r="D4418" s="162" t="s">
        <v>10220</v>
      </c>
      <c r="E4418" s="162" t="s">
        <v>10214</v>
      </c>
      <c r="F4418" s="162">
        <v>520</v>
      </c>
      <c r="G4418" s="162">
        <v>1</v>
      </c>
    </row>
    <row r="4419" spans="2:7" ht="86.4">
      <c r="B4419" s="162" t="s">
        <v>696</v>
      </c>
      <c r="C4419" s="162" t="s">
        <v>10221</v>
      </c>
      <c r="D4419" s="162" t="s">
        <v>10222</v>
      </c>
      <c r="E4419" s="162" t="s">
        <v>10214</v>
      </c>
      <c r="F4419" s="162">
        <v>205</v>
      </c>
      <c r="G4419" s="162">
        <v>1</v>
      </c>
    </row>
    <row r="4420" spans="2:7" ht="86.4">
      <c r="B4420" s="162" t="s">
        <v>696</v>
      </c>
      <c r="C4420" s="162" t="s">
        <v>10223</v>
      </c>
      <c r="D4420" s="162" t="s">
        <v>10224</v>
      </c>
      <c r="E4420" s="162" t="s">
        <v>10214</v>
      </c>
      <c r="F4420" s="162">
        <v>205</v>
      </c>
      <c r="G4420" s="162">
        <v>1</v>
      </c>
    </row>
    <row r="4421" spans="2:7" ht="86.4">
      <c r="B4421" s="162" t="s">
        <v>696</v>
      </c>
      <c r="C4421" s="162" t="s">
        <v>1756</v>
      </c>
      <c r="D4421" s="162" t="s">
        <v>10225</v>
      </c>
      <c r="E4421" s="162" t="s">
        <v>10214</v>
      </c>
      <c r="F4421" s="162">
        <v>218</v>
      </c>
      <c r="G4421" s="162">
        <v>1</v>
      </c>
    </row>
    <row r="4422" spans="2:7" ht="86.4">
      <c r="B4422" s="162" t="s">
        <v>696</v>
      </c>
      <c r="C4422" s="162" t="s">
        <v>10226</v>
      </c>
      <c r="D4422" s="162" t="s">
        <v>10227</v>
      </c>
      <c r="E4422" s="162" t="s">
        <v>10214</v>
      </c>
      <c r="F4422" s="162">
        <v>265</v>
      </c>
      <c r="G4422" s="162">
        <v>1</v>
      </c>
    </row>
    <row r="4423" spans="2:7" ht="86.4">
      <c r="B4423" s="162" t="s">
        <v>696</v>
      </c>
      <c r="C4423" s="162" t="s">
        <v>10228</v>
      </c>
      <c r="D4423" s="162" t="s">
        <v>10229</v>
      </c>
      <c r="E4423" s="162" t="s">
        <v>10214</v>
      </c>
      <c r="F4423" s="162">
        <v>265</v>
      </c>
      <c r="G4423" s="162">
        <v>1</v>
      </c>
    </row>
    <row r="4424" spans="2:7" ht="86.4">
      <c r="B4424" s="162" t="s">
        <v>696</v>
      </c>
      <c r="C4424" s="162" t="s">
        <v>10230</v>
      </c>
      <c r="D4424" s="162" t="s">
        <v>10231</v>
      </c>
      <c r="E4424" s="162" t="s">
        <v>10214</v>
      </c>
      <c r="F4424" s="162">
        <v>275</v>
      </c>
      <c r="G4424" s="162">
        <v>1</v>
      </c>
    </row>
    <row r="4425" spans="2:7" ht="100.8">
      <c r="B4425" s="162" t="s">
        <v>696</v>
      </c>
      <c r="C4425" s="162" t="s">
        <v>10232</v>
      </c>
      <c r="D4425" s="162" t="s">
        <v>10233</v>
      </c>
      <c r="E4425" s="162" t="s">
        <v>10214</v>
      </c>
      <c r="F4425" s="162">
        <v>558</v>
      </c>
      <c r="G4425" s="162">
        <v>1</v>
      </c>
    </row>
    <row r="4426" spans="2:7" ht="100.8">
      <c r="B4426" s="162" t="s">
        <v>696</v>
      </c>
      <c r="C4426" s="162" t="s">
        <v>10234</v>
      </c>
      <c r="D4426" s="162" t="s">
        <v>10235</v>
      </c>
      <c r="E4426" s="162" t="s">
        <v>10214</v>
      </c>
      <c r="F4426" s="162">
        <v>460</v>
      </c>
      <c r="G4426" s="162">
        <v>1</v>
      </c>
    </row>
    <row r="4427" spans="2:7" ht="72">
      <c r="B4427" s="162" t="s">
        <v>696</v>
      </c>
      <c r="C4427" s="162" t="s">
        <v>10236</v>
      </c>
      <c r="D4427" s="162" t="s">
        <v>10237</v>
      </c>
      <c r="E4427" s="162" t="s">
        <v>10214</v>
      </c>
      <c r="F4427" s="162">
        <v>415</v>
      </c>
      <c r="G4427" s="162">
        <v>1</v>
      </c>
    </row>
    <row r="4428" spans="2:7" ht="86.4">
      <c r="B4428" s="162" t="s">
        <v>696</v>
      </c>
      <c r="C4428" s="162" t="s">
        <v>10238</v>
      </c>
      <c r="D4428" s="162" t="s">
        <v>10239</v>
      </c>
      <c r="E4428" s="162" t="s">
        <v>10214</v>
      </c>
      <c r="F4428" s="162">
        <v>920</v>
      </c>
      <c r="G4428" s="162">
        <v>1</v>
      </c>
    </row>
    <row r="4429" spans="2:7" ht="86.4">
      <c r="B4429" s="162" t="s">
        <v>696</v>
      </c>
      <c r="C4429" s="162" t="s">
        <v>10240</v>
      </c>
      <c r="D4429" s="162" t="s">
        <v>10241</v>
      </c>
      <c r="E4429" s="162" t="s">
        <v>10214</v>
      </c>
      <c r="F4429" s="162">
        <v>815</v>
      </c>
      <c r="G4429" s="162">
        <v>1</v>
      </c>
    </row>
    <row r="4430" spans="2:7" ht="72">
      <c r="B4430" s="162" t="s">
        <v>696</v>
      </c>
      <c r="C4430" s="162" t="s">
        <v>10242</v>
      </c>
      <c r="D4430" s="162" t="s">
        <v>10243</v>
      </c>
      <c r="E4430" s="162" t="s">
        <v>10214</v>
      </c>
      <c r="F4430" s="162">
        <v>915</v>
      </c>
      <c r="G4430" s="162">
        <v>1</v>
      </c>
    </row>
    <row r="4431" spans="2:7" ht="28.8">
      <c r="B4431" s="162" t="s">
        <v>696</v>
      </c>
      <c r="C4431" s="162" t="s">
        <v>10244</v>
      </c>
      <c r="D4431" s="162" t="s">
        <v>10245</v>
      </c>
      <c r="E4431" s="162" t="s">
        <v>10214</v>
      </c>
      <c r="F4431" s="162">
        <v>970</v>
      </c>
      <c r="G4431" s="162">
        <v>1</v>
      </c>
    </row>
    <row r="4432" spans="2:7" ht="28.8">
      <c r="B4432" s="162" t="s">
        <v>696</v>
      </c>
      <c r="C4432" s="162" t="s">
        <v>10246</v>
      </c>
      <c r="D4432" s="162" t="s">
        <v>10247</v>
      </c>
      <c r="E4432" s="162" t="s">
        <v>10214</v>
      </c>
      <c r="F4432" s="162">
        <v>115</v>
      </c>
      <c r="G4432" s="162">
        <v>1</v>
      </c>
    </row>
    <row r="4433" spans="2:7" ht="72">
      <c r="B4433" s="162" t="s">
        <v>696</v>
      </c>
      <c r="C4433" s="162" t="s">
        <v>10248</v>
      </c>
      <c r="D4433" s="162" t="s">
        <v>10249</v>
      </c>
      <c r="E4433" s="162" t="s">
        <v>10214</v>
      </c>
      <c r="F4433" s="162">
        <v>182</v>
      </c>
      <c r="G4433" s="162">
        <v>1</v>
      </c>
    </row>
    <row r="4434" spans="2:7" ht="72">
      <c r="B4434" s="162" t="s">
        <v>696</v>
      </c>
      <c r="C4434" s="162" t="s">
        <v>10250</v>
      </c>
      <c r="D4434" s="162" t="s">
        <v>10251</v>
      </c>
      <c r="E4434" s="162" t="s">
        <v>10214</v>
      </c>
      <c r="F4434" s="162">
        <v>202</v>
      </c>
      <c r="G4434" s="162">
        <v>1</v>
      </c>
    </row>
    <row r="4435" spans="2:7" ht="72">
      <c r="B4435" s="162" t="s">
        <v>696</v>
      </c>
      <c r="C4435" s="162" t="s">
        <v>10252</v>
      </c>
      <c r="D4435" s="162" t="s">
        <v>10253</v>
      </c>
      <c r="E4435" s="162" t="s">
        <v>10214</v>
      </c>
      <c r="F4435" s="162">
        <v>242</v>
      </c>
      <c r="G4435" s="162">
        <v>1</v>
      </c>
    </row>
    <row r="4436" spans="2:7" ht="72">
      <c r="B4436" s="162" t="s">
        <v>696</v>
      </c>
      <c r="C4436" s="162" t="s">
        <v>10254</v>
      </c>
      <c r="D4436" s="162" t="s">
        <v>10255</v>
      </c>
      <c r="E4436" s="162" t="s">
        <v>10214</v>
      </c>
      <c r="F4436" s="162">
        <v>225</v>
      </c>
      <c r="G4436" s="162">
        <v>1</v>
      </c>
    </row>
    <row r="4437" spans="2:7" ht="86.4">
      <c r="B4437" s="162" t="s">
        <v>696</v>
      </c>
      <c r="C4437" s="162" t="s">
        <v>10256</v>
      </c>
      <c r="D4437" s="162" t="s">
        <v>10257</v>
      </c>
      <c r="E4437" s="162" t="s">
        <v>10214</v>
      </c>
      <c r="F4437" s="162">
        <v>360</v>
      </c>
      <c r="G4437" s="162">
        <v>1</v>
      </c>
    </row>
    <row r="4438" spans="2:7" ht="72">
      <c r="B4438" s="162" t="s">
        <v>696</v>
      </c>
      <c r="C4438" s="162" t="s">
        <v>10258</v>
      </c>
      <c r="D4438" s="162" t="s">
        <v>10259</v>
      </c>
      <c r="E4438" s="162" t="s">
        <v>10214</v>
      </c>
      <c r="F4438" s="162">
        <v>170</v>
      </c>
      <c r="G4438" s="162">
        <v>1</v>
      </c>
    </row>
    <row r="4439" spans="2:7" ht="72">
      <c r="B4439" s="162" t="s">
        <v>696</v>
      </c>
      <c r="C4439" s="162" t="s">
        <v>10260</v>
      </c>
      <c r="D4439" s="162" t="s">
        <v>10261</v>
      </c>
      <c r="E4439" s="162" t="s">
        <v>10262</v>
      </c>
      <c r="F4439" s="162">
        <v>110</v>
      </c>
      <c r="G4439" s="162">
        <v>1</v>
      </c>
    </row>
    <row r="4440" spans="2:7" ht="72">
      <c r="B4440" s="162" t="s">
        <v>696</v>
      </c>
      <c r="C4440" s="162" t="s">
        <v>10263</v>
      </c>
      <c r="D4440" s="162" t="s">
        <v>10264</v>
      </c>
      <c r="E4440" s="162" t="s">
        <v>10262</v>
      </c>
      <c r="F4440" s="162">
        <v>110</v>
      </c>
      <c r="G4440" s="162">
        <v>1</v>
      </c>
    </row>
    <row r="4441" spans="2:7" ht="100.8">
      <c r="B4441" s="162" t="s">
        <v>696</v>
      </c>
      <c r="C4441" s="162" t="s">
        <v>10265</v>
      </c>
      <c r="D4441" s="162" t="s">
        <v>10266</v>
      </c>
      <c r="E4441" s="162" t="s">
        <v>10262</v>
      </c>
      <c r="F4441" s="162">
        <v>574</v>
      </c>
      <c r="G4441" s="162">
        <v>1</v>
      </c>
    </row>
    <row r="4442" spans="2:7" ht="100.8">
      <c r="B4442" s="162" t="s">
        <v>696</v>
      </c>
      <c r="C4442" s="162" t="s">
        <v>10267</v>
      </c>
      <c r="D4442" s="162" t="s">
        <v>10268</v>
      </c>
      <c r="E4442" s="162" t="s">
        <v>10262</v>
      </c>
      <c r="F4442" s="162">
        <v>574</v>
      </c>
      <c r="G4442" s="162">
        <v>1</v>
      </c>
    </row>
    <row r="4443" spans="2:7" ht="72">
      <c r="B4443" s="162" t="s">
        <v>696</v>
      </c>
      <c r="C4443" s="162" t="s">
        <v>10269</v>
      </c>
      <c r="D4443" s="162" t="s">
        <v>10270</v>
      </c>
      <c r="E4443" s="162" t="s">
        <v>10262</v>
      </c>
      <c r="F4443" s="162">
        <v>220</v>
      </c>
      <c r="G4443" s="162">
        <v>1</v>
      </c>
    </row>
    <row r="4444" spans="2:7" ht="72">
      <c r="B4444" s="162" t="s">
        <v>696</v>
      </c>
      <c r="C4444" s="162" t="s">
        <v>10271</v>
      </c>
      <c r="D4444" s="162" t="s">
        <v>10272</v>
      </c>
      <c r="E4444" s="162" t="s">
        <v>10262</v>
      </c>
      <c r="F4444" s="162">
        <v>220</v>
      </c>
      <c r="G4444" s="162">
        <v>1</v>
      </c>
    </row>
    <row r="4445" spans="2:7" ht="72">
      <c r="B4445" s="162" t="s">
        <v>696</v>
      </c>
      <c r="C4445" s="162" t="s">
        <v>10273</v>
      </c>
      <c r="D4445" s="162" t="s">
        <v>10274</v>
      </c>
      <c r="E4445" s="162" t="s">
        <v>10262</v>
      </c>
      <c r="F4445" s="162">
        <v>290</v>
      </c>
      <c r="G4445" s="162">
        <v>1</v>
      </c>
    </row>
    <row r="4446" spans="2:7" ht="72">
      <c r="B4446" s="162" t="s">
        <v>696</v>
      </c>
      <c r="C4446" s="162" t="s">
        <v>10275</v>
      </c>
      <c r="D4446" s="162" t="s">
        <v>10276</v>
      </c>
      <c r="E4446" s="162" t="s">
        <v>10262</v>
      </c>
      <c r="F4446" s="162">
        <v>290</v>
      </c>
      <c r="G4446" s="162">
        <v>1</v>
      </c>
    </row>
    <row r="4447" spans="2:7" ht="72">
      <c r="B4447" s="162" t="s">
        <v>696</v>
      </c>
      <c r="C4447" s="162" t="s">
        <v>10277</v>
      </c>
      <c r="D4447" s="162" t="s">
        <v>10278</v>
      </c>
      <c r="E4447" s="162" t="s">
        <v>10262</v>
      </c>
      <c r="F4447" s="162">
        <v>398</v>
      </c>
      <c r="G4447" s="162">
        <v>1</v>
      </c>
    </row>
    <row r="4448" spans="2:7" ht="72">
      <c r="B4448" s="162" t="s">
        <v>696</v>
      </c>
      <c r="C4448" s="162" t="s">
        <v>10279</v>
      </c>
      <c r="D4448" s="162" t="s">
        <v>10280</v>
      </c>
      <c r="E4448" s="162" t="s">
        <v>10262</v>
      </c>
      <c r="F4448" s="162">
        <v>398</v>
      </c>
      <c r="G4448" s="162">
        <v>1</v>
      </c>
    </row>
    <row r="4449" spans="2:7" ht="72">
      <c r="B4449" s="162" t="s">
        <v>696</v>
      </c>
      <c r="C4449" s="162" t="s">
        <v>10281</v>
      </c>
      <c r="D4449" s="162" t="s">
        <v>10282</v>
      </c>
      <c r="E4449" s="162" t="s">
        <v>10262</v>
      </c>
      <c r="F4449" s="162">
        <v>448</v>
      </c>
      <c r="G4449" s="162">
        <v>1</v>
      </c>
    </row>
    <row r="4450" spans="2:7" ht="72">
      <c r="B4450" s="162" t="s">
        <v>696</v>
      </c>
      <c r="C4450" s="162" t="s">
        <v>10283</v>
      </c>
      <c r="D4450" s="162" t="s">
        <v>10284</v>
      </c>
      <c r="E4450" s="162" t="s">
        <v>10262</v>
      </c>
      <c r="F4450" s="162">
        <v>448</v>
      </c>
      <c r="G4450" s="162">
        <v>1</v>
      </c>
    </row>
    <row r="4451" spans="2:7" ht="57.6">
      <c r="B4451" s="162" t="s">
        <v>696</v>
      </c>
      <c r="C4451" s="162" t="s">
        <v>10285</v>
      </c>
      <c r="D4451" s="162" t="s">
        <v>10286</v>
      </c>
      <c r="E4451" s="162" t="s">
        <v>10262</v>
      </c>
      <c r="F4451" s="162">
        <v>680</v>
      </c>
      <c r="G4451" s="162">
        <v>1</v>
      </c>
    </row>
    <row r="4452" spans="2:7" ht="57.6">
      <c r="B4452" s="162" t="s">
        <v>696</v>
      </c>
      <c r="C4452" s="162" t="s">
        <v>10287</v>
      </c>
      <c r="D4452" s="162" t="s">
        <v>10288</v>
      </c>
      <c r="E4452" s="162" t="s">
        <v>10262</v>
      </c>
      <c r="F4452" s="162">
        <v>680</v>
      </c>
      <c r="G4452" s="162">
        <v>1</v>
      </c>
    </row>
    <row r="4453" spans="2:7" ht="57.6">
      <c r="B4453" s="162" t="s">
        <v>696</v>
      </c>
      <c r="C4453" s="162" t="s">
        <v>10289</v>
      </c>
      <c r="D4453" s="162" t="s">
        <v>10290</v>
      </c>
      <c r="E4453" s="162" t="s">
        <v>10262</v>
      </c>
      <c r="F4453" s="162">
        <v>917</v>
      </c>
      <c r="G4453" s="162">
        <v>1</v>
      </c>
    </row>
    <row r="4454" spans="2:7" ht="57.6">
      <c r="B4454" s="162" t="s">
        <v>696</v>
      </c>
      <c r="C4454" s="162" t="s">
        <v>10291</v>
      </c>
      <c r="D4454" s="162" t="s">
        <v>10292</v>
      </c>
      <c r="E4454" s="162" t="s">
        <v>10262</v>
      </c>
      <c r="F4454" s="162">
        <v>917</v>
      </c>
      <c r="G4454" s="162">
        <v>1</v>
      </c>
    </row>
    <row r="4455" spans="2:7" ht="43.2">
      <c r="B4455" s="162" t="s">
        <v>696</v>
      </c>
      <c r="C4455" s="162" t="s">
        <v>10293</v>
      </c>
      <c r="D4455" s="162" t="s">
        <v>10294</v>
      </c>
      <c r="E4455" s="162" t="s">
        <v>10262</v>
      </c>
      <c r="F4455" s="162">
        <v>1100</v>
      </c>
      <c r="G4455" s="162">
        <v>1</v>
      </c>
    </row>
    <row r="4456" spans="2:7" ht="43.2">
      <c r="B4456" s="162" t="s">
        <v>696</v>
      </c>
      <c r="C4456" s="162" t="s">
        <v>10295</v>
      </c>
      <c r="D4456" s="162" t="s">
        <v>10296</v>
      </c>
      <c r="E4456" s="162" t="s">
        <v>10262</v>
      </c>
      <c r="F4456" s="162">
        <v>1100</v>
      </c>
      <c r="G4456" s="162">
        <v>1</v>
      </c>
    </row>
    <row r="4457" spans="2:7" ht="43.2">
      <c r="B4457" s="162" t="s">
        <v>696</v>
      </c>
      <c r="C4457" s="162" t="s">
        <v>10297</v>
      </c>
      <c r="D4457" s="162" t="s">
        <v>10298</v>
      </c>
      <c r="E4457" s="162" t="s">
        <v>10262</v>
      </c>
      <c r="F4457" s="162">
        <v>917</v>
      </c>
      <c r="G4457" s="162">
        <v>1</v>
      </c>
    </row>
    <row r="4458" spans="2:7" ht="43.2">
      <c r="B4458" s="162" t="s">
        <v>696</v>
      </c>
      <c r="C4458" s="162" t="s">
        <v>10299</v>
      </c>
      <c r="D4458" s="162" t="s">
        <v>10300</v>
      </c>
      <c r="E4458" s="162" t="s">
        <v>10262</v>
      </c>
      <c r="F4458" s="162">
        <v>917</v>
      </c>
      <c r="G4458" s="162">
        <v>1</v>
      </c>
    </row>
    <row r="4459" spans="2:7" ht="72">
      <c r="B4459" s="162" t="s">
        <v>696</v>
      </c>
      <c r="C4459" s="162" t="s">
        <v>10301</v>
      </c>
      <c r="D4459" s="162" t="s">
        <v>10302</v>
      </c>
      <c r="E4459" s="162" t="s">
        <v>10303</v>
      </c>
      <c r="F4459" s="162">
        <v>414</v>
      </c>
      <c r="G4459" s="162">
        <v>1</v>
      </c>
    </row>
    <row r="4460" spans="2:7" ht="72">
      <c r="B4460" s="162" t="s">
        <v>696</v>
      </c>
      <c r="C4460" s="162" t="s">
        <v>10304</v>
      </c>
      <c r="D4460" s="162" t="s">
        <v>10305</v>
      </c>
      <c r="E4460" s="162" t="s">
        <v>10303</v>
      </c>
      <c r="F4460" s="162">
        <v>414</v>
      </c>
      <c r="G4460" s="162">
        <v>1</v>
      </c>
    </row>
    <row r="4461" spans="2:7" ht="86.4">
      <c r="B4461" s="162" t="s">
        <v>696</v>
      </c>
      <c r="C4461" s="162" t="s">
        <v>10306</v>
      </c>
      <c r="D4461" s="162" t="s">
        <v>10307</v>
      </c>
      <c r="E4461" s="162" t="s">
        <v>10308</v>
      </c>
      <c r="F4461" s="162">
        <v>660</v>
      </c>
      <c r="G4461" s="162">
        <v>1</v>
      </c>
    </row>
    <row r="4462" spans="2:7" ht="86.4">
      <c r="B4462" s="162" t="s">
        <v>696</v>
      </c>
      <c r="C4462" s="162" t="s">
        <v>10309</v>
      </c>
      <c r="D4462" s="162" t="s">
        <v>10310</v>
      </c>
      <c r="E4462" s="162" t="s">
        <v>10308</v>
      </c>
      <c r="F4462" s="162">
        <v>660</v>
      </c>
      <c r="G4462" s="162">
        <v>1</v>
      </c>
    </row>
    <row r="4463" spans="2:7" ht="86.4">
      <c r="B4463" s="162" t="s">
        <v>696</v>
      </c>
      <c r="C4463" s="162" t="s">
        <v>10311</v>
      </c>
      <c r="D4463" s="162" t="s">
        <v>10312</v>
      </c>
      <c r="E4463" s="162" t="s">
        <v>10308</v>
      </c>
      <c r="F4463" s="162">
        <v>1155</v>
      </c>
      <c r="G4463" s="162">
        <v>1</v>
      </c>
    </row>
    <row r="4464" spans="2:7" ht="86.4">
      <c r="B4464" s="162" t="s">
        <v>696</v>
      </c>
      <c r="C4464" s="162" t="s">
        <v>10313</v>
      </c>
      <c r="D4464" s="162" t="s">
        <v>10314</v>
      </c>
      <c r="E4464" s="162" t="s">
        <v>10308</v>
      </c>
      <c r="F4464" s="162">
        <v>1155</v>
      </c>
      <c r="G4464" s="162">
        <v>1</v>
      </c>
    </row>
    <row r="4465" spans="2:7" ht="57.6">
      <c r="B4465" s="162" t="s">
        <v>696</v>
      </c>
      <c r="C4465" s="162" t="s">
        <v>10315</v>
      </c>
      <c r="D4465" s="162" t="s">
        <v>10316</v>
      </c>
      <c r="E4465" s="162" t="s">
        <v>10308</v>
      </c>
      <c r="F4465" s="162">
        <v>534</v>
      </c>
      <c r="G4465" s="162">
        <v>1</v>
      </c>
    </row>
    <row r="4466" spans="2:7" ht="43.2">
      <c r="B4466" s="162" t="s">
        <v>696</v>
      </c>
      <c r="C4466" s="162" t="s">
        <v>10317</v>
      </c>
      <c r="D4466" s="162" t="s">
        <v>10318</v>
      </c>
      <c r="E4466" s="162" t="s">
        <v>10308</v>
      </c>
      <c r="F4466" s="162">
        <v>587</v>
      </c>
      <c r="G4466" s="162">
        <v>1</v>
      </c>
    </row>
    <row r="4467" spans="2:7" ht="43.2">
      <c r="B4467" s="162" t="s">
        <v>696</v>
      </c>
      <c r="C4467" s="162" t="s">
        <v>10319</v>
      </c>
      <c r="D4467" s="162" t="s">
        <v>10320</v>
      </c>
      <c r="E4467" s="162" t="s">
        <v>10308</v>
      </c>
      <c r="F4467" s="162">
        <v>587</v>
      </c>
      <c r="G4467" s="162">
        <v>1</v>
      </c>
    </row>
    <row r="4468" spans="2:7" ht="43.2">
      <c r="B4468" s="162" t="s">
        <v>696</v>
      </c>
      <c r="C4468" s="162" t="s">
        <v>10321</v>
      </c>
      <c r="D4468" s="162" t="s">
        <v>10322</v>
      </c>
      <c r="E4468" s="162" t="s">
        <v>10308</v>
      </c>
      <c r="F4468" s="162">
        <v>770</v>
      </c>
      <c r="G4468" s="162">
        <v>1</v>
      </c>
    </row>
    <row r="4469" spans="2:7" ht="72">
      <c r="B4469" s="162" t="s">
        <v>696</v>
      </c>
      <c r="C4469" s="162" t="s">
        <v>10154</v>
      </c>
      <c r="D4469" s="162" t="s">
        <v>10155</v>
      </c>
      <c r="E4469" s="162" t="s">
        <v>10323</v>
      </c>
      <c r="F4469" s="162">
        <v>104</v>
      </c>
      <c r="G4469" s="162">
        <v>1</v>
      </c>
    </row>
    <row r="4470" spans="2:7" ht="86.4">
      <c r="B4470" s="162" t="s">
        <v>696</v>
      </c>
      <c r="C4470" s="162" t="s">
        <v>10156</v>
      </c>
      <c r="D4470" s="162" t="s">
        <v>10157</v>
      </c>
      <c r="E4470" s="162" t="s">
        <v>10323</v>
      </c>
      <c r="F4470" s="162">
        <v>117.5</v>
      </c>
      <c r="G4470" s="162">
        <v>1</v>
      </c>
    </row>
    <row r="4471" spans="2:7" ht="72">
      <c r="B4471" s="162" t="s">
        <v>696</v>
      </c>
      <c r="C4471" s="162" t="s">
        <v>10158</v>
      </c>
      <c r="D4471" s="162" t="s">
        <v>10159</v>
      </c>
      <c r="E4471" s="162" t="s">
        <v>10323</v>
      </c>
      <c r="F4471" s="162">
        <v>117.5</v>
      </c>
      <c r="G4471" s="162">
        <v>1</v>
      </c>
    </row>
    <row r="4472" spans="2:7" ht="72">
      <c r="B4472" s="162" t="s">
        <v>696</v>
      </c>
      <c r="C4472" s="162" t="s">
        <v>10160</v>
      </c>
      <c r="D4472" s="162" t="s">
        <v>10161</v>
      </c>
      <c r="E4472" s="162" t="s">
        <v>10323</v>
      </c>
      <c r="F4472" s="162">
        <v>62</v>
      </c>
      <c r="G4472" s="162">
        <v>1</v>
      </c>
    </row>
    <row r="4473" spans="2:7" ht="72">
      <c r="B4473" s="162" t="s">
        <v>696</v>
      </c>
      <c r="C4473" s="162" t="s">
        <v>10162</v>
      </c>
      <c r="D4473" s="162" t="s">
        <v>10163</v>
      </c>
      <c r="E4473" s="162" t="s">
        <v>10323</v>
      </c>
      <c r="F4473" s="162">
        <v>157</v>
      </c>
      <c r="G4473" s="162">
        <v>1</v>
      </c>
    </row>
    <row r="4474" spans="2:7" ht="72">
      <c r="B4474" s="162" t="s">
        <v>696</v>
      </c>
      <c r="C4474" s="162" t="s">
        <v>10164</v>
      </c>
      <c r="D4474" s="162" t="s">
        <v>10165</v>
      </c>
      <c r="E4474" s="162" t="s">
        <v>10323</v>
      </c>
      <c r="F4474" s="162">
        <v>229</v>
      </c>
      <c r="G4474" s="162">
        <v>1</v>
      </c>
    </row>
    <row r="4475" spans="2:7" ht="72">
      <c r="B4475" s="162" t="s">
        <v>696</v>
      </c>
      <c r="C4475" s="162" t="s">
        <v>10166</v>
      </c>
      <c r="D4475" s="162" t="s">
        <v>10167</v>
      </c>
      <c r="E4475" s="162" t="s">
        <v>10323</v>
      </c>
      <c r="F4475" s="162">
        <v>81</v>
      </c>
      <c r="G4475" s="162">
        <v>1</v>
      </c>
    </row>
    <row r="4476" spans="2:7" ht="72">
      <c r="B4476" s="162" t="s">
        <v>696</v>
      </c>
      <c r="C4476" s="162" t="s">
        <v>10168</v>
      </c>
      <c r="D4476" s="162" t="s">
        <v>10169</v>
      </c>
      <c r="E4476" s="162" t="s">
        <v>10323</v>
      </c>
      <c r="F4476" s="162">
        <v>182</v>
      </c>
      <c r="G4476" s="162">
        <v>1</v>
      </c>
    </row>
    <row r="4477" spans="2:7" ht="57.6">
      <c r="B4477" s="162" t="s">
        <v>696</v>
      </c>
      <c r="C4477" s="162" t="s">
        <v>10170</v>
      </c>
      <c r="D4477" s="162" t="s">
        <v>10171</v>
      </c>
      <c r="E4477" s="162" t="s">
        <v>10323</v>
      </c>
      <c r="F4477" s="162">
        <v>202</v>
      </c>
      <c r="G4477" s="162">
        <v>1</v>
      </c>
    </row>
    <row r="4478" spans="2:7" ht="57.6">
      <c r="B4478" s="162" t="s">
        <v>696</v>
      </c>
      <c r="C4478" s="162" t="s">
        <v>10172</v>
      </c>
      <c r="D4478" s="162" t="s">
        <v>10173</v>
      </c>
      <c r="E4478" s="162" t="s">
        <v>10323</v>
      </c>
      <c r="F4478" s="162">
        <v>242</v>
      </c>
      <c r="G4478" s="162">
        <v>1</v>
      </c>
    </row>
    <row r="4479" spans="2:7" ht="72">
      <c r="B4479" s="162" t="s">
        <v>696</v>
      </c>
      <c r="C4479" s="162" t="s">
        <v>10174</v>
      </c>
      <c r="D4479" s="162" t="s">
        <v>10175</v>
      </c>
      <c r="E4479" s="162" t="s">
        <v>10323</v>
      </c>
      <c r="F4479" s="162">
        <v>136</v>
      </c>
      <c r="G4479" s="162">
        <v>1</v>
      </c>
    </row>
    <row r="4480" spans="2:7" ht="72">
      <c r="B4480" s="162" t="s">
        <v>696</v>
      </c>
      <c r="C4480" s="162" t="s">
        <v>10176</v>
      </c>
      <c r="D4480" s="162" t="s">
        <v>10177</v>
      </c>
      <c r="E4480" s="162" t="s">
        <v>10323</v>
      </c>
      <c r="F4480" s="162">
        <v>136</v>
      </c>
      <c r="G4480" s="162">
        <v>1</v>
      </c>
    </row>
    <row r="4481" spans="2:7" ht="72">
      <c r="B4481" s="162" t="s">
        <v>696</v>
      </c>
      <c r="C4481" s="162" t="s">
        <v>10178</v>
      </c>
      <c r="D4481" s="162" t="s">
        <v>10179</v>
      </c>
      <c r="E4481" s="162" t="s">
        <v>10323</v>
      </c>
      <c r="F4481" s="162">
        <v>174</v>
      </c>
      <c r="G4481" s="162">
        <v>1</v>
      </c>
    </row>
    <row r="4482" spans="2:7" ht="72">
      <c r="B4482" s="162" t="s">
        <v>696</v>
      </c>
      <c r="C4482" s="162" t="s">
        <v>10180</v>
      </c>
      <c r="D4482" s="162" t="s">
        <v>10181</v>
      </c>
      <c r="E4482" s="162" t="s">
        <v>10323</v>
      </c>
      <c r="F4482" s="162">
        <v>174</v>
      </c>
      <c r="G4482" s="162">
        <v>1</v>
      </c>
    </row>
    <row r="4483" spans="2:7" ht="43.2">
      <c r="B4483" s="162" t="s">
        <v>696</v>
      </c>
      <c r="C4483" s="162" t="s">
        <v>10324</v>
      </c>
      <c r="D4483" s="162" t="s">
        <v>10325</v>
      </c>
      <c r="E4483" s="162" t="s">
        <v>10326</v>
      </c>
      <c r="F4483" s="162">
        <v>1450</v>
      </c>
      <c r="G4483" s="162">
        <v>1</v>
      </c>
    </row>
    <row r="4484" spans="2:7" ht="57.6">
      <c r="B4484" s="162" t="s">
        <v>696</v>
      </c>
      <c r="C4484" s="162" t="s">
        <v>10327</v>
      </c>
      <c r="D4484" s="162" t="s">
        <v>10328</v>
      </c>
      <c r="E4484" s="162" t="s">
        <v>10326</v>
      </c>
      <c r="F4484" s="162">
        <v>4625</v>
      </c>
      <c r="G4484" s="162">
        <v>1</v>
      </c>
    </row>
    <row r="4485" spans="2:7" ht="57.6">
      <c r="B4485" s="162" t="s">
        <v>696</v>
      </c>
      <c r="C4485" s="162" t="s">
        <v>10329</v>
      </c>
      <c r="D4485" s="162" t="s">
        <v>10330</v>
      </c>
      <c r="E4485" s="162" t="s">
        <v>10326</v>
      </c>
      <c r="F4485" s="162">
        <v>5545</v>
      </c>
      <c r="G4485" s="162">
        <v>1</v>
      </c>
    </row>
    <row r="4486" spans="2:7" ht="86.4">
      <c r="B4486" s="162" t="s">
        <v>696</v>
      </c>
      <c r="C4486" s="162" t="s">
        <v>10331</v>
      </c>
      <c r="D4486" s="162" t="s">
        <v>10332</v>
      </c>
      <c r="E4486" s="162" t="s">
        <v>10326</v>
      </c>
      <c r="F4486" s="162">
        <v>3800</v>
      </c>
      <c r="G4486" s="162">
        <v>1</v>
      </c>
    </row>
    <row r="4487" spans="2:7" ht="86.4">
      <c r="B4487" s="162" t="s">
        <v>696</v>
      </c>
      <c r="C4487" s="162" t="s">
        <v>10333</v>
      </c>
      <c r="D4487" s="162" t="s">
        <v>10334</v>
      </c>
      <c r="E4487" s="162" t="s">
        <v>10326</v>
      </c>
      <c r="F4487" s="162">
        <v>4720</v>
      </c>
      <c r="G4487" s="162">
        <v>1</v>
      </c>
    </row>
    <row r="4488" spans="2:7" ht="28.8">
      <c r="B4488" s="162" t="s">
        <v>696</v>
      </c>
      <c r="C4488" s="162" t="s">
        <v>10335</v>
      </c>
      <c r="D4488" s="162" t="s">
        <v>10336</v>
      </c>
      <c r="E4488" s="162" t="s">
        <v>10326</v>
      </c>
      <c r="F4488" s="162">
        <v>155</v>
      </c>
      <c r="G4488" s="162">
        <v>1</v>
      </c>
    </row>
    <row r="4489" spans="2:7" ht="28.8">
      <c r="B4489" s="162" t="s">
        <v>696</v>
      </c>
      <c r="C4489" s="162" t="s">
        <v>10337</v>
      </c>
      <c r="D4489" s="162" t="s">
        <v>10338</v>
      </c>
      <c r="E4489" s="162" t="s">
        <v>10326</v>
      </c>
      <c r="F4489" s="162">
        <v>155</v>
      </c>
      <c r="G4489" s="162">
        <v>1</v>
      </c>
    </row>
    <row r="4490" spans="2:7" ht="57.6">
      <c r="B4490" s="162" t="s">
        <v>696</v>
      </c>
      <c r="C4490" s="162" t="s">
        <v>10339</v>
      </c>
      <c r="D4490" s="162" t="s">
        <v>10340</v>
      </c>
      <c r="E4490" s="162" t="s">
        <v>10326</v>
      </c>
      <c r="F4490" s="162">
        <v>2085</v>
      </c>
      <c r="G4490" s="162">
        <v>1</v>
      </c>
    </row>
    <row r="4491" spans="2:7" ht="43.2">
      <c r="B4491" s="162" t="s">
        <v>696</v>
      </c>
      <c r="C4491" s="162" t="s">
        <v>10341</v>
      </c>
      <c r="D4491" s="162" t="s">
        <v>10342</v>
      </c>
      <c r="E4491" s="162" t="s">
        <v>10343</v>
      </c>
      <c r="F4491" s="162">
        <v>1500</v>
      </c>
      <c r="G4491" s="162">
        <v>1</v>
      </c>
    </row>
    <row r="4492" spans="2:7" ht="43.2">
      <c r="B4492" s="162" t="s">
        <v>696</v>
      </c>
      <c r="C4492" s="162" t="s">
        <v>10344</v>
      </c>
      <c r="D4492" s="162" t="s">
        <v>10345</v>
      </c>
      <c r="E4492" s="162" t="s">
        <v>10343</v>
      </c>
      <c r="F4492" s="162">
        <v>1905</v>
      </c>
      <c r="G4492" s="162">
        <v>1</v>
      </c>
    </row>
    <row r="4493" spans="2:7" ht="43.2">
      <c r="B4493" s="162" t="s">
        <v>696</v>
      </c>
      <c r="C4493" s="162" t="s">
        <v>10346</v>
      </c>
      <c r="D4493" s="162" t="s">
        <v>10347</v>
      </c>
      <c r="E4493" s="162" t="s">
        <v>10343</v>
      </c>
      <c r="F4493" s="162">
        <v>3170</v>
      </c>
      <c r="G4493" s="162">
        <v>1</v>
      </c>
    </row>
    <row r="4494" spans="2:7" ht="28.8">
      <c r="B4494" s="162" t="s">
        <v>696</v>
      </c>
      <c r="C4494" s="162" t="s">
        <v>10348</v>
      </c>
      <c r="D4494" s="162" t="s">
        <v>10349</v>
      </c>
      <c r="E4494" s="162" t="s">
        <v>10343</v>
      </c>
      <c r="F4494" s="162">
        <v>275</v>
      </c>
      <c r="G4494" s="162">
        <v>1</v>
      </c>
    </row>
    <row r="4495" spans="2:7" ht="28.8">
      <c r="B4495" s="162" t="s">
        <v>696</v>
      </c>
      <c r="C4495" s="162" t="s">
        <v>10350</v>
      </c>
      <c r="D4495" s="162" t="s">
        <v>10351</v>
      </c>
      <c r="E4495" s="162" t="s">
        <v>10343</v>
      </c>
      <c r="F4495" s="162">
        <v>455</v>
      </c>
      <c r="G4495" s="162">
        <v>1</v>
      </c>
    </row>
    <row r="4496" spans="2:7" ht="43.2">
      <c r="B4496" s="162" t="s">
        <v>696</v>
      </c>
      <c r="C4496" s="162" t="s">
        <v>10352</v>
      </c>
      <c r="D4496" s="162" t="s">
        <v>10353</v>
      </c>
      <c r="E4496" s="162" t="s">
        <v>10343</v>
      </c>
      <c r="F4496" s="162">
        <v>1820</v>
      </c>
      <c r="G4496" s="162">
        <v>1</v>
      </c>
    </row>
    <row r="4497" spans="2:7" ht="43.2">
      <c r="B4497" s="162" t="s">
        <v>696</v>
      </c>
      <c r="C4497" s="162" t="s">
        <v>10354</v>
      </c>
      <c r="D4497" s="162" t="s">
        <v>10355</v>
      </c>
      <c r="E4497" s="162" t="s">
        <v>10343</v>
      </c>
      <c r="F4497" s="162">
        <v>3085</v>
      </c>
      <c r="G4497" s="162">
        <v>1</v>
      </c>
    </row>
    <row r="4498" spans="2:7" ht="28.8">
      <c r="B4498" s="162" t="s">
        <v>696</v>
      </c>
      <c r="C4498" s="162" t="s">
        <v>10356</v>
      </c>
      <c r="D4498" s="162" t="s">
        <v>10357</v>
      </c>
      <c r="E4498" s="162" t="s">
        <v>10343</v>
      </c>
      <c r="F4498" s="162">
        <v>420</v>
      </c>
      <c r="G4498" s="162">
        <v>1</v>
      </c>
    </row>
    <row r="4499" spans="2:7" ht="28.8">
      <c r="B4499" s="162" t="s">
        <v>696</v>
      </c>
      <c r="C4499" s="162" t="s">
        <v>10358</v>
      </c>
      <c r="D4499" s="162" t="s">
        <v>10359</v>
      </c>
      <c r="E4499" s="162" t="s">
        <v>10343</v>
      </c>
      <c r="F4499" s="162">
        <v>445</v>
      </c>
      <c r="G4499" s="162">
        <v>1</v>
      </c>
    </row>
    <row r="4500" spans="2:7" ht="86.4">
      <c r="B4500" s="162" t="s">
        <v>696</v>
      </c>
      <c r="C4500" s="162" t="s">
        <v>10360</v>
      </c>
      <c r="D4500" s="162" t="s">
        <v>10361</v>
      </c>
      <c r="E4500" s="162" t="s">
        <v>10343</v>
      </c>
      <c r="F4500" s="162">
        <v>455</v>
      </c>
      <c r="G4500" s="162">
        <v>1</v>
      </c>
    </row>
    <row r="4501" spans="2:7" ht="86.4">
      <c r="B4501" s="162" t="s">
        <v>696</v>
      </c>
      <c r="C4501" s="162" t="s">
        <v>10362</v>
      </c>
      <c r="D4501" s="162" t="s">
        <v>10363</v>
      </c>
      <c r="E4501" s="162" t="s">
        <v>10343</v>
      </c>
      <c r="F4501" s="162">
        <v>550</v>
      </c>
      <c r="G4501" s="162">
        <v>1</v>
      </c>
    </row>
    <row r="4502" spans="2:7" ht="86.4">
      <c r="B4502" s="162" t="s">
        <v>696</v>
      </c>
      <c r="C4502" s="162" t="s">
        <v>10364</v>
      </c>
      <c r="D4502" s="162" t="s">
        <v>10365</v>
      </c>
      <c r="E4502" s="162" t="s">
        <v>10343</v>
      </c>
      <c r="F4502" s="162">
        <v>455</v>
      </c>
      <c r="G4502" s="162">
        <v>1</v>
      </c>
    </row>
    <row r="4503" spans="2:7" ht="86.4">
      <c r="B4503" s="162" t="s">
        <v>696</v>
      </c>
      <c r="C4503" s="162" t="s">
        <v>10366</v>
      </c>
      <c r="D4503" s="162" t="s">
        <v>10367</v>
      </c>
      <c r="E4503" s="162" t="s">
        <v>10368</v>
      </c>
      <c r="F4503" s="162">
        <v>320</v>
      </c>
      <c r="G4503" s="162">
        <v>1</v>
      </c>
    </row>
    <row r="4504" spans="2:7" ht="28.8">
      <c r="B4504" s="162" t="s">
        <v>696</v>
      </c>
      <c r="C4504" s="162" t="s">
        <v>10369</v>
      </c>
      <c r="D4504" s="162" t="s">
        <v>10370</v>
      </c>
      <c r="E4504" s="162" t="s">
        <v>10371</v>
      </c>
      <c r="F4504" s="162">
        <v>560</v>
      </c>
      <c r="G4504" s="162">
        <v>1</v>
      </c>
    </row>
    <row r="4505" spans="2:7" ht="72">
      <c r="B4505" s="162" t="s">
        <v>696</v>
      </c>
      <c r="C4505" s="162" t="s">
        <v>10372</v>
      </c>
      <c r="D4505" s="162" t="s">
        <v>10373</v>
      </c>
      <c r="E4505" s="162" t="s">
        <v>10374</v>
      </c>
      <c r="F4505" s="162">
        <v>920</v>
      </c>
      <c r="G4505" s="162">
        <v>1</v>
      </c>
    </row>
    <row r="4506" spans="2:7" ht="28.8">
      <c r="B4506" s="162" t="s">
        <v>696</v>
      </c>
      <c r="C4506" s="162" t="s">
        <v>10375</v>
      </c>
      <c r="D4506" s="162" t="s">
        <v>10376</v>
      </c>
      <c r="E4506" s="162" t="s">
        <v>10371</v>
      </c>
      <c r="F4506" s="162">
        <v>1785</v>
      </c>
      <c r="G4506" s="162">
        <v>1</v>
      </c>
    </row>
    <row r="4507" spans="2:7" ht="43.2">
      <c r="B4507" s="162" t="s">
        <v>696</v>
      </c>
      <c r="C4507" s="162" t="s">
        <v>10377</v>
      </c>
      <c r="D4507" s="162" t="s">
        <v>10378</v>
      </c>
      <c r="E4507" s="162" t="s">
        <v>10379</v>
      </c>
      <c r="F4507" s="162">
        <v>3475</v>
      </c>
      <c r="G4507" s="162">
        <v>1</v>
      </c>
    </row>
    <row r="4508" spans="2:7" ht="28.8">
      <c r="B4508" s="162" t="s">
        <v>696</v>
      </c>
      <c r="C4508" s="162" t="s">
        <v>10380</v>
      </c>
      <c r="D4508" s="162" t="s">
        <v>10381</v>
      </c>
      <c r="E4508" s="162" t="s">
        <v>10371</v>
      </c>
      <c r="F4508" s="162">
        <v>6495</v>
      </c>
      <c r="G4508" s="162">
        <v>1</v>
      </c>
    </row>
    <row r="4509" spans="2:7" ht="28.8">
      <c r="B4509" s="162" t="s">
        <v>696</v>
      </c>
      <c r="C4509" s="162" t="s">
        <v>10382</v>
      </c>
      <c r="D4509" s="162" t="s">
        <v>10383</v>
      </c>
      <c r="E4509" s="162" t="s">
        <v>10384</v>
      </c>
      <c r="F4509" s="162">
        <v>12010</v>
      </c>
      <c r="G4509" s="162">
        <v>1</v>
      </c>
    </row>
    <row r="4510" spans="2:7" ht="28.8">
      <c r="B4510" s="162" t="s">
        <v>696</v>
      </c>
      <c r="C4510" s="162" t="s">
        <v>10385</v>
      </c>
      <c r="D4510" s="162" t="s">
        <v>10386</v>
      </c>
      <c r="E4510" s="162" t="s">
        <v>10371</v>
      </c>
      <c r="F4510" s="162">
        <v>234</v>
      </c>
      <c r="G4510" s="162">
        <v>1</v>
      </c>
    </row>
    <row r="4511" spans="2:7" ht="28.8">
      <c r="B4511" s="162" t="s">
        <v>696</v>
      </c>
      <c r="C4511" s="162" t="s">
        <v>10387</v>
      </c>
      <c r="D4511" s="162" t="s">
        <v>10388</v>
      </c>
      <c r="E4511" s="162" t="s">
        <v>10371</v>
      </c>
      <c r="F4511" s="162">
        <v>465</v>
      </c>
      <c r="G4511" s="162">
        <v>1</v>
      </c>
    </row>
    <row r="4512" spans="2:7" ht="28.8">
      <c r="B4512" s="162" t="s">
        <v>696</v>
      </c>
      <c r="C4512" s="162" t="s">
        <v>10389</v>
      </c>
      <c r="D4512" s="162" t="s">
        <v>10390</v>
      </c>
      <c r="E4512" s="162" t="s">
        <v>10371</v>
      </c>
      <c r="F4512" s="162">
        <v>580</v>
      </c>
      <c r="G4512" s="162">
        <v>1</v>
      </c>
    </row>
    <row r="4513" spans="2:7" ht="28.8">
      <c r="B4513" s="162" t="s">
        <v>696</v>
      </c>
      <c r="C4513" s="162" t="s">
        <v>10391</v>
      </c>
      <c r="D4513" s="162" t="s">
        <v>10392</v>
      </c>
      <c r="E4513" s="162" t="s">
        <v>10371</v>
      </c>
      <c r="F4513" s="162">
        <v>1040</v>
      </c>
      <c r="G4513" s="162">
        <v>1</v>
      </c>
    </row>
    <row r="4514" spans="2:7" ht="28.8">
      <c r="B4514" s="162" t="s">
        <v>696</v>
      </c>
      <c r="C4514" s="162" t="s">
        <v>10393</v>
      </c>
      <c r="D4514" s="162" t="s">
        <v>10394</v>
      </c>
      <c r="E4514" s="162" t="s">
        <v>10371</v>
      </c>
      <c r="F4514" s="162">
        <v>580</v>
      </c>
      <c r="G4514" s="162">
        <v>1</v>
      </c>
    </row>
    <row r="4515" spans="2:7" ht="28.8">
      <c r="B4515" s="162" t="s">
        <v>696</v>
      </c>
      <c r="C4515" s="162" t="s">
        <v>10395</v>
      </c>
      <c r="D4515" s="162" t="s">
        <v>10396</v>
      </c>
      <c r="E4515" s="162" t="s">
        <v>10371</v>
      </c>
      <c r="F4515" s="162">
        <v>1040</v>
      </c>
      <c r="G4515" s="162">
        <v>1</v>
      </c>
    </row>
    <row r="4516" spans="2:7" ht="43.2">
      <c r="B4516" s="162" t="s">
        <v>696</v>
      </c>
      <c r="C4516" s="162" t="s">
        <v>10397</v>
      </c>
      <c r="D4516" s="162" t="s">
        <v>10398</v>
      </c>
      <c r="E4516" s="162" t="s">
        <v>10371</v>
      </c>
      <c r="F4516" s="162">
        <v>116</v>
      </c>
      <c r="G4516" s="162">
        <v>1</v>
      </c>
    </row>
    <row r="4517" spans="2:7" ht="43.2">
      <c r="B4517" s="162" t="s">
        <v>696</v>
      </c>
      <c r="C4517" s="162" t="s">
        <v>10399</v>
      </c>
      <c r="D4517" s="162" t="s">
        <v>10400</v>
      </c>
      <c r="E4517" s="162" t="s">
        <v>10371</v>
      </c>
      <c r="F4517" s="162">
        <v>234</v>
      </c>
      <c r="G4517" s="162">
        <v>1</v>
      </c>
    </row>
    <row r="4518" spans="2:7" ht="129.6">
      <c r="B4518" s="162" t="s">
        <v>696</v>
      </c>
      <c r="C4518" s="162" t="s">
        <v>10401</v>
      </c>
      <c r="D4518" s="162" t="s">
        <v>10402</v>
      </c>
      <c r="E4518" s="162" t="s">
        <v>10371</v>
      </c>
      <c r="F4518" s="162">
        <v>1275</v>
      </c>
      <c r="G4518" s="162">
        <v>1</v>
      </c>
    </row>
    <row r="4519" spans="2:7" ht="129.6">
      <c r="B4519" s="162" t="s">
        <v>696</v>
      </c>
      <c r="C4519" s="162" t="s">
        <v>10403</v>
      </c>
      <c r="D4519" s="162" t="s">
        <v>10404</v>
      </c>
      <c r="E4519" s="162" t="s">
        <v>10371</v>
      </c>
      <c r="F4519" s="162">
        <v>1275</v>
      </c>
      <c r="G4519" s="162">
        <v>1</v>
      </c>
    </row>
    <row r="4520" spans="2:7" ht="72">
      <c r="B4520" s="162" t="s">
        <v>696</v>
      </c>
      <c r="C4520" s="162" t="s">
        <v>10405</v>
      </c>
      <c r="D4520" s="162" t="s">
        <v>10406</v>
      </c>
      <c r="E4520" s="162" t="s">
        <v>10371</v>
      </c>
      <c r="F4520" s="162">
        <v>670</v>
      </c>
      <c r="G4520" s="162">
        <v>1</v>
      </c>
    </row>
    <row r="4521" spans="2:7" ht="72">
      <c r="B4521" s="162" t="s">
        <v>696</v>
      </c>
      <c r="C4521" s="162" t="s">
        <v>10407</v>
      </c>
      <c r="D4521" s="162" t="s">
        <v>10408</v>
      </c>
      <c r="E4521" s="162" t="s">
        <v>10371</v>
      </c>
      <c r="F4521" s="162">
        <v>350</v>
      </c>
      <c r="G4521" s="162">
        <v>1</v>
      </c>
    </row>
    <row r="4522" spans="2:7" ht="57.6">
      <c r="B4522" s="162" t="s">
        <v>696</v>
      </c>
      <c r="C4522" s="162" t="s">
        <v>10409</v>
      </c>
      <c r="D4522" s="162" t="s">
        <v>10410</v>
      </c>
      <c r="E4522" s="162" t="s">
        <v>10371</v>
      </c>
      <c r="F4522" s="162">
        <v>700</v>
      </c>
      <c r="G4522" s="162">
        <v>1</v>
      </c>
    </row>
    <row r="4523" spans="2:7" ht="57.6">
      <c r="B4523" s="162" t="s">
        <v>696</v>
      </c>
      <c r="C4523" s="162" t="s">
        <v>10411</v>
      </c>
      <c r="D4523" s="162" t="s">
        <v>10412</v>
      </c>
      <c r="E4523" s="162" t="s">
        <v>10371</v>
      </c>
      <c r="F4523" s="162">
        <v>1615</v>
      </c>
      <c r="G4523" s="162">
        <v>1</v>
      </c>
    </row>
    <row r="4524" spans="2:7" ht="57.6">
      <c r="B4524" s="162" t="s">
        <v>696</v>
      </c>
      <c r="C4524" s="162" t="s">
        <v>10413</v>
      </c>
      <c r="D4524" s="162" t="s">
        <v>10414</v>
      </c>
      <c r="E4524" s="162" t="s">
        <v>10371</v>
      </c>
      <c r="F4524" s="162">
        <v>1615</v>
      </c>
      <c r="G4524" s="162">
        <v>1</v>
      </c>
    </row>
    <row r="4525" spans="2:7" ht="43.2">
      <c r="B4525" s="162" t="s">
        <v>696</v>
      </c>
      <c r="C4525" s="162" t="s">
        <v>10415</v>
      </c>
      <c r="D4525" s="162" t="s">
        <v>10416</v>
      </c>
      <c r="E4525" s="162" t="s">
        <v>10371</v>
      </c>
      <c r="F4525" s="162">
        <v>3210</v>
      </c>
      <c r="G4525" s="162">
        <v>1</v>
      </c>
    </row>
    <row r="4526" spans="2:7" ht="43.2">
      <c r="B4526" s="162" t="s">
        <v>696</v>
      </c>
      <c r="C4526" s="162" t="s">
        <v>10417</v>
      </c>
      <c r="D4526" s="162" t="s">
        <v>10418</v>
      </c>
      <c r="E4526" s="162" t="s">
        <v>10371</v>
      </c>
      <c r="F4526" s="162">
        <v>6420</v>
      </c>
      <c r="G4526" s="162">
        <v>1</v>
      </c>
    </row>
    <row r="4527" spans="2:7" ht="43.2">
      <c r="B4527" s="162" t="s">
        <v>696</v>
      </c>
      <c r="C4527" s="162" t="s">
        <v>10419</v>
      </c>
      <c r="D4527" s="162" t="s">
        <v>10420</v>
      </c>
      <c r="E4527" s="162" t="s">
        <v>10371</v>
      </c>
      <c r="F4527" s="162">
        <v>12840</v>
      </c>
      <c r="G4527" s="162">
        <v>1</v>
      </c>
    </row>
    <row r="4528" spans="2:7" ht="129.6">
      <c r="B4528" s="162" t="s">
        <v>696</v>
      </c>
      <c r="C4528" s="162" t="s">
        <v>10421</v>
      </c>
      <c r="D4528" s="162" t="s">
        <v>10422</v>
      </c>
      <c r="E4528" s="162" t="s">
        <v>10423</v>
      </c>
      <c r="F4528" s="162">
        <v>4170</v>
      </c>
      <c r="G4528" s="162">
        <v>1</v>
      </c>
    </row>
    <row r="4529" spans="2:7" ht="86.4">
      <c r="B4529" s="162" t="s">
        <v>696</v>
      </c>
      <c r="C4529" s="162" t="s">
        <v>10424</v>
      </c>
      <c r="D4529" s="162" t="s">
        <v>10425</v>
      </c>
      <c r="E4529" s="162" t="s">
        <v>10423</v>
      </c>
      <c r="F4529" s="162">
        <v>2250</v>
      </c>
      <c r="G4529" s="162">
        <v>1</v>
      </c>
    </row>
    <row r="4530" spans="2:7" ht="28.8">
      <c r="B4530" s="162" t="s">
        <v>696</v>
      </c>
      <c r="C4530" s="162" t="s">
        <v>10426</v>
      </c>
      <c r="D4530" s="162" t="s">
        <v>10427</v>
      </c>
      <c r="E4530" s="162" t="s">
        <v>10423</v>
      </c>
      <c r="F4530" s="162">
        <v>285</v>
      </c>
      <c r="G4530" s="162">
        <v>1</v>
      </c>
    </row>
    <row r="4531" spans="2:7" ht="86.4">
      <c r="B4531" s="162" t="s">
        <v>696</v>
      </c>
      <c r="C4531" s="162" t="s">
        <v>10428</v>
      </c>
      <c r="D4531" s="162" t="s">
        <v>10429</v>
      </c>
      <c r="E4531" s="162" t="s">
        <v>10430</v>
      </c>
      <c r="F4531" s="162">
        <v>1320</v>
      </c>
      <c r="G4531" s="162">
        <v>1</v>
      </c>
    </row>
    <row r="4532" spans="2:7" ht="86.4">
      <c r="B4532" s="162" t="s">
        <v>696</v>
      </c>
      <c r="C4532" s="162" t="s">
        <v>10431</v>
      </c>
      <c r="D4532" s="162" t="s">
        <v>10432</v>
      </c>
      <c r="E4532" s="162" t="s">
        <v>10430</v>
      </c>
      <c r="F4532" s="162">
        <v>2995</v>
      </c>
      <c r="G4532" s="162">
        <v>1</v>
      </c>
    </row>
    <row r="4533" spans="2:7" ht="86.4">
      <c r="B4533" s="162" t="s">
        <v>696</v>
      </c>
      <c r="C4533" s="162" t="s">
        <v>10433</v>
      </c>
      <c r="D4533" s="162" t="s">
        <v>10434</v>
      </c>
      <c r="E4533" s="162" t="s">
        <v>10430</v>
      </c>
      <c r="F4533" s="162">
        <v>2995</v>
      </c>
      <c r="G4533" s="162">
        <v>1</v>
      </c>
    </row>
    <row r="4534" spans="2:7" ht="86.4">
      <c r="B4534" s="162" t="s">
        <v>696</v>
      </c>
      <c r="C4534" s="162" t="s">
        <v>10435</v>
      </c>
      <c r="D4534" s="162" t="s">
        <v>10436</v>
      </c>
      <c r="E4534" s="162" t="s">
        <v>10430</v>
      </c>
      <c r="F4534" s="162">
        <v>5635</v>
      </c>
      <c r="G4534" s="162">
        <v>1</v>
      </c>
    </row>
    <row r="4535" spans="2:7" ht="28.8">
      <c r="B4535" s="162" t="s">
        <v>697</v>
      </c>
      <c r="C4535" s="162" t="s">
        <v>10437</v>
      </c>
      <c r="D4535" s="162" t="s">
        <v>10438</v>
      </c>
      <c r="F4535" s="162">
        <v>240</v>
      </c>
      <c r="G4535" s="162">
        <v>1</v>
      </c>
    </row>
    <row r="4536" spans="2:7" ht="28.8">
      <c r="B4536" s="162" t="s">
        <v>697</v>
      </c>
      <c r="C4536" s="162" t="s">
        <v>10439</v>
      </c>
      <c r="D4536" s="162" t="s">
        <v>10440</v>
      </c>
      <c r="F4536" s="162">
        <v>40</v>
      </c>
      <c r="G4536" s="162">
        <v>1</v>
      </c>
    </row>
    <row r="4537" spans="2:7" ht="28.8">
      <c r="B4537" s="162" t="s">
        <v>697</v>
      </c>
      <c r="C4537" s="162" t="s">
        <v>10441</v>
      </c>
      <c r="D4537" s="162" t="s">
        <v>10442</v>
      </c>
      <c r="F4537" s="162">
        <v>720</v>
      </c>
      <c r="G4537" s="162">
        <v>1</v>
      </c>
    </row>
    <row r="4538" spans="2:7" ht="28.8">
      <c r="B4538" s="162" t="s">
        <v>697</v>
      </c>
      <c r="C4538" s="162" t="s">
        <v>10443</v>
      </c>
      <c r="D4538" s="162" t="s">
        <v>10444</v>
      </c>
      <c r="F4538" s="162">
        <v>150</v>
      </c>
      <c r="G4538" s="162">
        <v>1</v>
      </c>
    </row>
    <row r="4539" spans="2:7" ht="28.8">
      <c r="B4539" s="162" t="s">
        <v>697</v>
      </c>
      <c r="C4539" s="162" t="s">
        <v>10445</v>
      </c>
      <c r="D4539" s="162" t="s">
        <v>10446</v>
      </c>
      <c r="F4539" s="162">
        <v>534</v>
      </c>
      <c r="G4539" s="162">
        <v>1</v>
      </c>
    </row>
    <row r="4540" spans="2:7" ht="28.8">
      <c r="B4540" s="162" t="s">
        <v>697</v>
      </c>
      <c r="C4540" s="162" t="s">
        <v>10447</v>
      </c>
      <c r="D4540" s="162" t="s">
        <v>10448</v>
      </c>
      <c r="F4540" s="162">
        <v>1794</v>
      </c>
      <c r="G4540" s="162">
        <v>1</v>
      </c>
    </row>
    <row r="4541" spans="2:7" ht="28.8">
      <c r="B4541" s="162" t="s">
        <v>697</v>
      </c>
      <c r="C4541" s="162" t="s">
        <v>10449</v>
      </c>
      <c r="D4541" s="162" t="s">
        <v>10450</v>
      </c>
      <c r="F4541" s="162">
        <v>2070</v>
      </c>
      <c r="G4541" s="162">
        <v>1</v>
      </c>
    </row>
    <row r="4542" spans="2:7" ht="28.8">
      <c r="B4542" s="162" t="s">
        <v>697</v>
      </c>
      <c r="C4542" s="162" t="s">
        <v>10451</v>
      </c>
      <c r="D4542" s="162" t="s">
        <v>10452</v>
      </c>
      <c r="F4542" s="162">
        <v>2440</v>
      </c>
      <c r="G4542" s="162">
        <v>1</v>
      </c>
    </row>
    <row r="4543" spans="2:7" ht="43.2">
      <c r="B4543" s="162" t="s">
        <v>697</v>
      </c>
      <c r="C4543" s="162" t="s">
        <v>10453</v>
      </c>
      <c r="D4543" s="162" t="s">
        <v>10454</v>
      </c>
      <c r="F4543" s="162">
        <v>66</v>
      </c>
      <c r="G4543" s="162">
        <v>1</v>
      </c>
    </row>
    <row r="4544" spans="2:7" ht="28.8">
      <c r="B4544" s="162" t="s">
        <v>697</v>
      </c>
      <c r="C4544" s="162" t="s">
        <v>10455</v>
      </c>
      <c r="D4544" s="162" t="s">
        <v>10456</v>
      </c>
      <c r="F4544" s="162">
        <v>662</v>
      </c>
      <c r="G4544" s="162">
        <v>1</v>
      </c>
    </row>
    <row r="4545" spans="2:7" ht="28.8">
      <c r="B4545" s="162" t="s">
        <v>697</v>
      </c>
      <c r="C4545" s="162" t="s">
        <v>10457</v>
      </c>
      <c r="D4545" s="162" t="s">
        <v>10448</v>
      </c>
      <c r="F4545" s="162">
        <v>1922</v>
      </c>
      <c r="G4545" s="162">
        <v>1</v>
      </c>
    </row>
    <row r="4546" spans="2:7" ht="28.8">
      <c r="B4546" s="162" t="s">
        <v>697</v>
      </c>
      <c r="C4546" s="162" t="s">
        <v>10458</v>
      </c>
      <c r="D4546" s="162" t="s">
        <v>10450</v>
      </c>
      <c r="F4546" s="162">
        <v>2200</v>
      </c>
      <c r="G4546" s="162">
        <v>1</v>
      </c>
    </row>
    <row r="4547" spans="2:7" ht="28.8">
      <c r="B4547" s="162" t="s">
        <v>697</v>
      </c>
      <c r="C4547" s="162" t="s">
        <v>10459</v>
      </c>
      <c r="D4547" s="162" t="s">
        <v>10452</v>
      </c>
      <c r="F4547" s="162">
        <v>2568</v>
      </c>
      <c r="G4547" s="162">
        <v>1</v>
      </c>
    </row>
    <row r="4548" spans="2:7" ht="43.2">
      <c r="B4548" s="162" t="s">
        <v>697</v>
      </c>
      <c r="C4548" s="162" t="s">
        <v>10460</v>
      </c>
      <c r="D4548" s="162" t="s">
        <v>10461</v>
      </c>
      <c r="F4548" s="162">
        <v>88</v>
      </c>
      <c r="G4548" s="162">
        <v>1</v>
      </c>
    </row>
    <row r="4549" spans="2:7" ht="28.8">
      <c r="B4549" s="162" t="s">
        <v>697</v>
      </c>
      <c r="C4549" s="162" t="s">
        <v>10462</v>
      </c>
      <c r="D4549" s="162" t="s">
        <v>10463</v>
      </c>
      <c r="F4549" s="162">
        <v>630</v>
      </c>
      <c r="G4549" s="162">
        <v>1</v>
      </c>
    </row>
    <row r="4550" spans="2:7" ht="28.8">
      <c r="B4550" s="162" t="s">
        <v>697</v>
      </c>
      <c r="C4550" s="162" t="s">
        <v>10464</v>
      </c>
      <c r="D4550" s="162" t="s">
        <v>10448</v>
      </c>
      <c r="F4550" s="162">
        <v>1890</v>
      </c>
      <c r="G4550" s="162">
        <v>1</v>
      </c>
    </row>
    <row r="4551" spans="2:7" ht="28.8">
      <c r="B4551" s="162" t="s">
        <v>697</v>
      </c>
      <c r="C4551" s="162" t="s">
        <v>10465</v>
      </c>
      <c r="D4551" s="162" t="s">
        <v>10450</v>
      </c>
      <c r="F4551" s="162">
        <v>2168</v>
      </c>
      <c r="G4551" s="162">
        <v>1</v>
      </c>
    </row>
    <row r="4552" spans="2:7" ht="28.8">
      <c r="B4552" s="162" t="s">
        <v>697</v>
      </c>
      <c r="C4552" s="162" t="s">
        <v>10466</v>
      </c>
      <c r="D4552" s="162" t="s">
        <v>10452</v>
      </c>
      <c r="F4552" s="162">
        <v>2536</v>
      </c>
      <c r="G4552" s="162">
        <v>1</v>
      </c>
    </row>
    <row r="4553" spans="2:7" ht="43.2">
      <c r="B4553" s="162" t="s">
        <v>697</v>
      </c>
      <c r="C4553" s="162" t="s">
        <v>10460</v>
      </c>
      <c r="D4553" s="162" t="s">
        <v>10467</v>
      </c>
      <c r="F4553" s="162">
        <v>88</v>
      </c>
      <c r="G4553" s="162">
        <v>1</v>
      </c>
    </row>
    <row r="4554" spans="2:7" ht="28.8">
      <c r="B4554" s="162" t="s">
        <v>697</v>
      </c>
      <c r="C4554" s="162" t="s">
        <v>10468</v>
      </c>
      <c r="D4554" s="162" t="s">
        <v>10469</v>
      </c>
      <c r="F4554" s="162">
        <v>166</v>
      </c>
      <c r="G4554" s="162">
        <v>1</v>
      </c>
    </row>
    <row r="4555" spans="2:7" ht="28.8">
      <c r="B4555" s="162" t="s">
        <v>697</v>
      </c>
      <c r="C4555" s="162" t="s">
        <v>10470</v>
      </c>
      <c r="D4555" s="162" t="s">
        <v>10471</v>
      </c>
      <c r="F4555" s="162">
        <v>756</v>
      </c>
      <c r="G4555" s="162">
        <v>1</v>
      </c>
    </row>
    <row r="4556" spans="2:7" ht="28.8">
      <c r="B4556" s="162" t="s">
        <v>697</v>
      </c>
      <c r="C4556" s="162" t="s">
        <v>10472</v>
      </c>
      <c r="D4556" s="162" t="s">
        <v>10448</v>
      </c>
      <c r="F4556" s="162">
        <v>2016</v>
      </c>
      <c r="G4556" s="162">
        <v>1</v>
      </c>
    </row>
    <row r="4557" spans="2:7" ht="28.8">
      <c r="B4557" s="162" t="s">
        <v>697</v>
      </c>
      <c r="C4557" s="162" t="s">
        <v>10473</v>
      </c>
      <c r="D4557" s="162" t="s">
        <v>10450</v>
      </c>
      <c r="F4557" s="162">
        <v>2292</v>
      </c>
      <c r="G4557" s="162">
        <v>1</v>
      </c>
    </row>
    <row r="4558" spans="2:7" ht="28.8">
      <c r="B4558" s="162" t="s">
        <v>697</v>
      </c>
      <c r="C4558" s="162" t="s">
        <v>10474</v>
      </c>
      <c r="D4558" s="162" t="s">
        <v>10452</v>
      </c>
      <c r="F4558" s="162">
        <v>2660</v>
      </c>
      <c r="G4558" s="162">
        <v>1</v>
      </c>
    </row>
    <row r="4559" spans="2:7" ht="43.2">
      <c r="B4559" s="162" t="s">
        <v>697</v>
      </c>
      <c r="C4559" s="162" t="s">
        <v>10475</v>
      </c>
      <c r="D4559" s="162" t="s">
        <v>10476</v>
      </c>
      <c r="F4559" s="162">
        <v>94</v>
      </c>
      <c r="G4559" s="162">
        <v>1</v>
      </c>
    </row>
    <row r="4560" spans="2:7" ht="28.8">
      <c r="B4560" s="162" t="s">
        <v>697</v>
      </c>
      <c r="C4560" s="162" t="s">
        <v>10477</v>
      </c>
      <c r="D4560" s="162" t="s">
        <v>10478</v>
      </c>
      <c r="F4560" s="162">
        <v>1044</v>
      </c>
      <c r="G4560" s="162">
        <v>1</v>
      </c>
    </row>
    <row r="4561" spans="2:7" ht="28.8">
      <c r="B4561" s="162" t="s">
        <v>697</v>
      </c>
      <c r="C4561" s="162" t="s">
        <v>10479</v>
      </c>
      <c r="D4561" s="162" t="s">
        <v>10480</v>
      </c>
      <c r="F4561" s="162">
        <v>2746</v>
      </c>
      <c r="G4561" s="162">
        <v>1</v>
      </c>
    </row>
    <row r="4562" spans="2:7" ht="28.8">
      <c r="B4562" s="162" t="s">
        <v>697</v>
      </c>
      <c r="C4562" s="162" t="s">
        <v>10481</v>
      </c>
      <c r="D4562" s="162" t="s">
        <v>10482</v>
      </c>
      <c r="F4562" s="162">
        <v>3022</v>
      </c>
      <c r="G4562" s="162">
        <v>1</v>
      </c>
    </row>
    <row r="4563" spans="2:7" ht="28.8">
      <c r="B4563" s="162" t="s">
        <v>697</v>
      </c>
      <c r="C4563" s="162" t="s">
        <v>10483</v>
      </c>
      <c r="D4563" s="162" t="s">
        <v>10484</v>
      </c>
      <c r="F4563" s="162">
        <v>3390</v>
      </c>
      <c r="G4563" s="162">
        <v>1</v>
      </c>
    </row>
    <row r="4564" spans="2:7" ht="43.2">
      <c r="B4564" s="162" t="s">
        <v>697</v>
      </c>
      <c r="C4564" s="162" t="s">
        <v>10485</v>
      </c>
      <c r="D4564" s="162" t="s">
        <v>10486</v>
      </c>
      <c r="F4564" s="162">
        <v>100</v>
      </c>
      <c r="G4564" s="162">
        <v>1</v>
      </c>
    </row>
    <row r="4565" spans="2:7" ht="28.8">
      <c r="B4565" s="162" t="s">
        <v>697</v>
      </c>
      <c r="C4565" s="162" t="s">
        <v>10487</v>
      </c>
      <c r="D4565" s="162" t="s">
        <v>10488</v>
      </c>
      <c r="F4565" s="162">
        <v>260</v>
      </c>
      <c r="G4565" s="162">
        <v>1</v>
      </c>
    </row>
    <row r="4566" spans="2:7" ht="28.8">
      <c r="B4566" s="162" t="s">
        <v>697</v>
      </c>
      <c r="C4566" s="162" t="s">
        <v>10489</v>
      </c>
      <c r="D4566" s="162" t="s">
        <v>10478</v>
      </c>
      <c r="F4566" s="162">
        <v>1044</v>
      </c>
      <c r="G4566" s="162">
        <v>1</v>
      </c>
    </row>
    <row r="4567" spans="2:7" ht="28.8">
      <c r="B4567" s="162" t="s">
        <v>697</v>
      </c>
      <c r="C4567" s="162" t="s">
        <v>10490</v>
      </c>
      <c r="D4567" s="162" t="s">
        <v>10491</v>
      </c>
      <c r="F4567" s="162">
        <v>2304</v>
      </c>
      <c r="G4567" s="162">
        <v>1</v>
      </c>
    </row>
    <row r="4568" spans="2:7" ht="28.8">
      <c r="B4568" s="162" t="s">
        <v>697</v>
      </c>
      <c r="C4568" s="162" t="s">
        <v>10492</v>
      </c>
      <c r="D4568" s="162" t="s">
        <v>10493</v>
      </c>
      <c r="F4568" s="162">
        <v>2580</v>
      </c>
      <c r="G4568" s="162">
        <v>1</v>
      </c>
    </row>
    <row r="4569" spans="2:7" ht="28.8">
      <c r="B4569" s="162" t="s">
        <v>697</v>
      </c>
      <c r="C4569" s="162" t="s">
        <v>10494</v>
      </c>
      <c r="D4569" s="162" t="s">
        <v>10495</v>
      </c>
      <c r="F4569" s="162">
        <v>2950</v>
      </c>
      <c r="G4569" s="162">
        <v>1</v>
      </c>
    </row>
    <row r="4570" spans="2:7" ht="43.2">
      <c r="B4570" s="162" t="s">
        <v>697</v>
      </c>
      <c r="C4570" s="162" t="s">
        <v>10496</v>
      </c>
      <c r="D4570" s="162" t="s">
        <v>10497</v>
      </c>
      <c r="F4570" s="162">
        <v>100</v>
      </c>
      <c r="G4570" s="162">
        <v>1</v>
      </c>
    </row>
    <row r="4571" spans="2:7" ht="28.8">
      <c r="B4571" s="162" t="s">
        <v>697</v>
      </c>
      <c r="C4571" s="162" t="s">
        <v>10498</v>
      </c>
      <c r="D4571" s="162" t="s">
        <v>10499</v>
      </c>
      <c r="F4571" s="162">
        <v>1204</v>
      </c>
      <c r="G4571" s="162">
        <v>1</v>
      </c>
    </row>
    <row r="4572" spans="2:7" ht="28.8">
      <c r="B4572" s="162" t="s">
        <v>697</v>
      </c>
      <c r="C4572" s="162" t="s">
        <v>10500</v>
      </c>
      <c r="D4572" s="162" t="s">
        <v>10480</v>
      </c>
      <c r="F4572" s="162">
        <v>2906</v>
      </c>
      <c r="G4572" s="162">
        <v>1</v>
      </c>
    </row>
    <row r="4573" spans="2:7" ht="28.8">
      <c r="B4573" s="162" t="s">
        <v>697</v>
      </c>
      <c r="C4573" s="162" t="s">
        <v>10501</v>
      </c>
      <c r="D4573" s="162" t="s">
        <v>10482</v>
      </c>
      <c r="F4573" s="162">
        <v>3182</v>
      </c>
      <c r="G4573" s="162">
        <v>1</v>
      </c>
    </row>
    <row r="4574" spans="2:7" ht="28.8">
      <c r="B4574" s="162" t="s">
        <v>697</v>
      </c>
      <c r="C4574" s="162" t="s">
        <v>10502</v>
      </c>
      <c r="D4574" s="162" t="s">
        <v>10484</v>
      </c>
      <c r="F4574" s="162">
        <v>3550</v>
      </c>
      <c r="G4574" s="162">
        <v>1</v>
      </c>
    </row>
    <row r="4575" spans="2:7" ht="43.2">
      <c r="B4575" s="162" t="s">
        <v>697</v>
      </c>
      <c r="C4575" s="162" t="s">
        <v>10503</v>
      </c>
      <c r="D4575" s="162" t="s">
        <v>10504</v>
      </c>
      <c r="F4575" s="162">
        <v>118</v>
      </c>
      <c r="G4575" s="162">
        <v>1</v>
      </c>
    </row>
    <row r="4576" spans="2:7" ht="28.8">
      <c r="B4576" s="162" t="s">
        <v>697</v>
      </c>
      <c r="C4576" s="162" t="s">
        <v>10505</v>
      </c>
      <c r="D4576" s="162" t="s">
        <v>10506</v>
      </c>
      <c r="F4576" s="162">
        <v>300</v>
      </c>
      <c r="G4576" s="162">
        <v>1</v>
      </c>
    </row>
    <row r="4577" spans="2:7" ht="28.8">
      <c r="B4577" s="162" t="s">
        <v>697</v>
      </c>
      <c r="C4577" s="162" t="s">
        <v>10507</v>
      </c>
      <c r="D4577" s="162" t="s">
        <v>10508</v>
      </c>
      <c r="F4577" s="162">
        <v>874</v>
      </c>
      <c r="G4577" s="162">
        <v>1</v>
      </c>
    </row>
    <row r="4578" spans="2:7" ht="28.8">
      <c r="B4578" s="162" t="s">
        <v>697</v>
      </c>
      <c r="C4578" s="162" t="s">
        <v>10509</v>
      </c>
      <c r="D4578" s="162" t="s">
        <v>10448</v>
      </c>
      <c r="F4578" s="162">
        <v>2134</v>
      </c>
      <c r="G4578" s="162">
        <v>1</v>
      </c>
    </row>
    <row r="4579" spans="2:7" ht="28.8">
      <c r="B4579" s="162" t="s">
        <v>697</v>
      </c>
      <c r="C4579" s="162" t="s">
        <v>10510</v>
      </c>
      <c r="D4579" s="162" t="s">
        <v>10450</v>
      </c>
      <c r="F4579" s="162">
        <v>2410</v>
      </c>
      <c r="G4579" s="162">
        <v>1</v>
      </c>
    </row>
    <row r="4580" spans="2:7" ht="28.8">
      <c r="B4580" s="162" t="s">
        <v>697</v>
      </c>
      <c r="C4580" s="162" t="s">
        <v>10511</v>
      </c>
      <c r="D4580" s="162" t="s">
        <v>10452</v>
      </c>
      <c r="F4580" s="162">
        <v>2780</v>
      </c>
      <c r="G4580" s="162">
        <v>1</v>
      </c>
    </row>
    <row r="4581" spans="2:7" ht="28.8">
      <c r="B4581" s="162" t="s">
        <v>697</v>
      </c>
      <c r="C4581" s="162" t="s">
        <v>10512</v>
      </c>
      <c r="D4581" s="162" t="s">
        <v>10513</v>
      </c>
      <c r="F4581" s="162">
        <v>1104</v>
      </c>
      <c r="G4581" s="162">
        <v>1</v>
      </c>
    </row>
    <row r="4582" spans="2:7" ht="28.8">
      <c r="B4582" s="162" t="s">
        <v>697</v>
      </c>
      <c r="C4582" s="162" t="s">
        <v>10514</v>
      </c>
      <c r="D4582" s="162" t="s">
        <v>10480</v>
      </c>
      <c r="F4582" s="162">
        <v>2806</v>
      </c>
      <c r="G4582" s="162">
        <v>1</v>
      </c>
    </row>
    <row r="4583" spans="2:7" ht="28.8">
      <c r="B4583" s="162" t="s">
        <v>697</v>
      </c>
      <c r="C4583" s="162" t="s">
        <v>10515</v>
      </c>
      <c r="D4583" s="162" t="s">
        <v>10482</v>
      </c>
      <c r="F4583" s="162">
        <v>3082</v>
      </c>
      <c r="G4583" s="162">
        <v>1</v>
      </c>
    </row>
    <row r="4584" spans="2:7" ht="28.8">
      <c r="B4584" s="162" t="s">
        <v>697</v>
      </c>
      <c r="C4584" s="162" t="s">
        <v>10516</v>
      </c>
      <c r="D4584" s="162" t="s">
        <v>10484</v>
      </c>
      <c r="F4584" s="162">
        <v>3450</v>
      </c>
      <c r="G4584" s="162">
        <v>1</v>
      </c>
    </row>
    <row r="4585" spans="2:7" ht="28.8">
      <c r="B4585" s="162" t="s">
        <v>697</v>
      </c>
      <c r="C4585" s="162" t="s">
        <v>10517</v>
      </c>
      <c r="D4585" s="162" t="s">
        <v>10446</v>
      </c>
      <c r="F4585" s="162">
        <v>1082</v>
      </c>
      <c r="G4585" s="162">
        <v>1</v>
      </c>
    </row>
    <row r="4586" spans="2:7" ht="28.8">
      <c r="B4586" s="162" t="s">
        <v>697</v>
      </c>
      <c r="C4586" s="162" t="s">
        <v>10518</v>
      </c>
      <c r="D4586" s="162" t="s">
        <v>10448</v>
      </c>
      <c r="F4586" s="162">
        <v>2342</v>
      </c>
      <c r="G4586" s="162">
        <v>1</v>
      </c>
    </row>
    <row r="4587" spans="2:7" ht="28.8">
      <c r="B4587" s="162" t="s">
        <v>697</v>
      </c>
      <c r="C4587" s="162" t="s">
        <v>10519</v>
      </c>
      <c r="D4587" s="162" t="s">
        <v>10450</v>
      </c>
      <c r="F4587" s="162">
        <v>2620</v>
      </c>
      <c r="G4587" s="162">
        <v>1</v>
      </c>
    </row>
    <row r="4588" spans="2:7" ht="28.8">
      <c r="B4588" s="162" t="s">
        <v>697</v>
      </c>
      <c r="C4588" s="162" t="s">
        <v>10520</v>
      </c>
      <c r="D4588" s="162" t="s">
        <v>10452</v>
      </c>
      <c r="F4588" s="162">
        <v>2988</v>
      </c>
      <c r="G4588" s="162">
        <v>1</v>
      </c>
    </row>
    <row r="4589" spans="2:7" ht="43.2">
      <c r="B4589" s="162" t="s">
        <v>697</v>
      </c>
      <c r="C4589" s="162" t="s">
        <v>10453</v>
      </c>
      <c r="D4589" s="162" t="s">
        <v>10521</v>
      </c>
      <c r="F4589" s="162">
        <v>66</v>
      </c>
      <c r="G4589" s="162">
        <v>1</v>
      </c>
    </row>
    <row r="4590" spans="2:7" ht="28.8">
      <c r="B4590" s="162" t="s">
        <v>697</v>
      </c>
      <c r="C4590" s="162" t="s">
        <v>10522</v>
      </c>
      <c r="D4590" s="162" t="s">
        <v>10456</v>
      </c>
      <c r="F4590" s="162">
        <v>1242</v>
      </c>
      <c r="G4590" s="162">
        <v>1</v>
      </c>
    </row>
    <row r="4591" spans="2:7" ht="28.8">
      <c r="B4591" s="162" t="s">
        <v>697</v>
      </c>
      <c r="C4591" s="162" t="s">
        <v>10523</v>
      </c>
      <c r="D4591" s="162" t="s">
        <v>10448</v>
      </c>
      <c r="F4591" s="162">
        <v>2502</v>
      </c>
      <c r="G4591" s="162">
        <v>1</v>
      </c>
    </row>
    <row r="4592" spans="2:7" ht="28.8">
      <c r="B4592" s="162" t="s">
        <v>697</v>
      </c>
      <c r="C4592" s="162" t="s">
        <v>10524</v>
      </c>
      <c r="D4592" s="162" t="s">
        <v>10450</v>
      </c>
      <c r="F4592" s="162">
        <v>2780</v>
      </c>
      <c r="G4592" s="162">
        <v>1</v>
      </c>
    </row>
    <row r="4593" spans="2:7" ht="28.8">
      <c r="B4593" s="162" t="s">
        <v>697</v>
      </c>
      <c r="C4593" s="162" t="s">
        <v>10525</v>
      </c>
      <c r="D4593" s="162" t="s">
        <v>10452</v>
      </c>
      <c r="F4593" s="162">
        <v>3146</v>
      </c>
      <c r="G4593" s="162">
        <v>1</v>
      </c>
    </row>
    <row r="4594" spans="2:7" ht="43.2">
      <c r="B4594" s="162" t="s">
        <v>697</v>
      </c>
      <c r="C4594" s="162" t="s">
        <v>10460</v>
      </c>
      <c r="D4594" s="162" t="s">
        <v>10526</v>
      </c>
      <c r="F4594" s="162">
        <v>88</v>
      </c>
      <c r="G4594" s="162">
        <v>1</v>
      </c>
    </row>
    <row r="4595" spans="2:7" ht="28.8">
      <c r="B4595" s="162" t="s">
        <v>697</v>
      </c>
      <c r="C4595" s="162" t="s">
        <v>10527</v>
      </c>
      <c r="D4595" s="162" t="s">
        <v>10463</v>
      </c>
      <c r="F4595" s="162">
        <v>1178</v>
      </c>
      <c r="G4595" s="162">
        <v>1</v>
      </c>
    </row>
    <row r="4596" spans="2:7" ht="28.8">
      <c r="B4596" s="162" t="s">
        <v>697</v>
      </c>
      <c r="C4596" s="162" t="s">
        <v>10528</v>
      </c>
      <c r="D4596" s="162" t="s">
        <v>10448</v>
      </c>
      <c r="F4596" s="162">
        <v>2438</v>
      </c>
      <c r="G4596" s="162">
        <v>1</v>
      </c>
    </row>
    <row r="4597" spans="2:7" ht="28.8">
      <c r="B4597" s="162" t="s">
        <v>697</v>
      </c>
      <c r="C4597" s="162" t="s">
        <v>10529</v>
      </c>
      <c r="D4597" s="162" t="s">
        <v>10450</v>
      </c>
      <c r="F4597" s="162">
        <v>2714</v>
      </c>
      <c r="G4597" s="162">
        <v>1</v>
      </c>
    </row>
    <row r="4598" spans="2:7" ht="28.8">
      <c r="B4598" s="162" t="s">
        <v>697</v>
      </c>
      <c r="C4598" s="162" t="s">
        <v>10530</v>
      </c>
      <c r="D4598" s="162" t="s">
        <v>10452</v>
      </c>
      <c r="F4598" s="162">
        <v>3080</v>
      </c>
      <c r="G4598" s="162">
        <v>1</v>
      </c>
    </row>
    <row r="4599" spans="2:7" ht="43.2">
      <c r="B4599" s="162" t="s">
        <v>697</v>
      </c>
      <c r="C4599" s="162" t="s">
        <v>10460</v>
      </c>
      <c r="D4599" s="162" t="s">
        <v>10531</v>
      </c>
      <c r="F4599" s="162">
        <v>88</v>
      </c>
      <c r="G4599" s="162">
        <v>1</v>
      </c>
    </row>
    <row r="4600" spans="2:7" ht="28.8">
      <c r="B4600" s="162" t="s">
        <v>697</v>
      </c>
      <c r="C4600" s="162" t="s">
        <v>10532</v>
      </c>
      <c r="D4600" s="162" t="s">
        <v>10471</v>
      </c>
      <c r="F4600" s="162">
        <v>1520</v>
      </c>
      <c r="G4600" s="162">
        <v>1</v>
      </c>
    </row>
    <row r="4601" spans="2:7" ht="28.8">
      <c r="B4601" s="162" t="s">
        <v>697</v>
      </c>
      <c r="C4601" s="162" t="s">
        <v>10533</v>
      </c>
      <c r="D4601" s="162" t="s">
        <v>10448</v>
      </c>
      <c r="F4601" s="162">
        <v>2780</v>
      </c>
      <c r="G4601" s="162">
        <v>1</v>
      </c>
    </row>
    <row r="4602" spans="2:7" ht="28.8">
      <c r="B4602" s="162" t="s">
        <v>697</v>
      </c>
      <c r="C4602" s="162" t="s">
        <v>10534</v>
      </c>
      <c r="D4602" s="162" t="s">
        <v>10450</v>
      </c>
      <c r="F4602" s="162">
        <v>3056</v>
      </c>
      <c r="G4602" s="162">
        <v>1</v>
      </c>
    </row>
    <row r="4603" spans="2:7" ht="28.8">
      <c r="B4603" s="162" t="s">
        <v>697</v>
      </c>
      <c r="C4603" s="162" t="s">
        <v>10535</v>
      </c>
      <c r="D4603" s="162" t="s">
        <v>10452</v>
      </c>
      <c r="F4603" s="162">
        <v>3422</v>
      </c>
      <c r="G4603" s="162">
        <v>1</v>
      </c>
    </row>
    <row r="4604" spans="2:7" ht="43.2">
      <c r="B4604" s="162" t="s">
        <v>697</v>
      </c>
      <c r="C4604" s="162" t="s">
        <v>10475</v>
      </c>
      <c r="D4604" s="162" t="s">
        <v>10536</v>
      </c>
      <c r="F4604" s="162">
        <v>94</v>
      </c>
      <c r="G4604" s="162">
        <v>1</v>
      </c>
    </row>
    <row r="4605" spans="2:7" ht="28.8">
      <c r="B4605" s="162" t="s">
        <v>697</v>
      </c>
      <c r="C4605" s="162" t="s">
        <v>10537</v>
      </c>
      <c r="D4605" s="162" t="s">
        <v>10478</v>
      </c>
      <c r="F4605" s="162">
        <v>1564</v>
      </c>
      <c r="G4605" s="162">
        <v>1</v>
      </c>
    </row>
    <row r="4606" spans="2:7" ht="28.8">
      <c r="B4606" s="162" t="s">
        <v>697</v>
      </c>
      <c r="C4606" s="162" t="s">
        <v>10538</v>
      </c>
      <c r="D4606" s="162" t="s">
        <v>10480</v>
      </c>
      <c r="F4606" s="162">
        <v>3266</v>
      </c>
      <c r="G4606" s="162">
        <v>1</v>
      </c>
    </row>
    <row r="4607" spans="2:7" ht="28.8">
      <c r="B4607" s="162" t="s">
        <v>697</v>
      </c>
      <c r="C4607" s="162" t="s">
        <v>10539</v>
      </c>
      <c r="D4607" s="162" t="s">
        <v>10482</v>
      </c>
      <c r="F4607" s="162">
        <v>3542</v>
      </c>
      <c r="G4607" s="162">
        <v>1</v>
      </c>
    </row>
    <row r="4608" spans="2:7" ht="28.8">
      <c r="B4608" s="162" t="s">
        <v>697</v>
      </c>
      <c r="C4608" s="162" t="s">
        <v>10540</v>
      </c>
      <c r="D4608" s="162" t="s">
        <v>10484</v>
      </c>
      <c r="F4608" s="162">
        <v>3910</v>
      </c>
      <c r="G4608" s="162">
        <v>1</v>
      </c>
    </row>
    <row r="4609" spans="2:7" ht="43.2">
      <c r="B4609" s="162" t="s">
        <v>697</v>
      </c>
      <c r="C4609" s="162" t="s">
        <v>10485</v>
      </c>
      <c r="D4609" s="162" t="s">
        <v>10541</v>
      </c>
      <c r="F4609" s="162">
        <v>100</v>
      </c>
      <c r="G4609" s="162">
        <v>1</v>
      </c>
    </row>
    <row r="4610" spans="2:7" ht="28.8">
      <c r="B4610" s="162" t="s">
        <v>697</v>
      </c>
      <c r="C4610" s="162" t="s">
        <v>10542</v>
      </c>
      <c r="D4610" s="162" t="s">
        <v>10499</v>
      </c>
      <c r="F4610" s="162">
        <v>1748</v>
      </c>
      <c r="G4610" s="162">
        <v>1</v>
      </c>
    </row>
    <row r="4611" spans="2:7" ht="28.8">
      <c r="B4611" s="162" t="s">
        <v>697</v>
      </c>
      <c r="C4611" s="162" t="s">
        <v>10543</v>
      </c>
      <c r="D4611" s="162" t="s">
        <v>10480</v>
      </c>
      <c r="F4611" s="162">
        <v>3450</v>
      </c>
      <c r="G4611" s="162">
        <v>1</v>
      </c>
    </row>
    <row r="4612" spans="2:7" ht="28.8">
      <c r="B4612" s="162" t="s">
        <v>697</v>
      </c>
      <c r="C4612" s="162" t="s">
        <v>10544</v>
      </c>
      <c r="D4612" s="162" t="s">
        <v>10482</v>
      </c>
      <c r="F4612" s="162">
        <v>3726</v>
      </c>
      <c r="G4612" s="162">
        <v>1</v>
      </c>
    </row>
    <row r="4613" spans="2:7" ht="28.8">
      <c r="B4613" s="162" t="s">
        <v>697</v>
      </c>
      <c r="C4613" s="162" t="s">
        <v>10545</v>
      </c>
      <c r="D4613" s="162" t="s">
        <v>10484</v>
      </c>
      <c r="F4613" s="162">
        <v>4092</v>
      </c>
      <c r="G4613" s="162">
        <v>1</v>
      </c>
    </row>
    <row r="4614" spans="2:7" ht="43.2">
      <c r="B4614" s="162" t="s">
        <v>697</v>
      </c>
      <c r="C4614" s="162" t="s">
        <v>10503</v>
      </c>
      <c r="D4614" s="162" t="s">
        <v>10546</v>
      </c>
      <c r="F4614" s="162">
        <v>118</v>
      </c>
      <c r="G4614" s="162">
        <v>1</v>
      </c>
    </row>
    <row r="4615" spans="2:7" ht="28.8">
      <c r="B4615" s="162" t="s">
        <v>697</v>
      </c>
      <c r="C4615" s="162" t="s">
        <v>10547</v>
      </c>
      <c r="D4615" s="162" t="s">
        <v>10508</v>
      </c>
      <c r="F4615" s="162">
        <v>1520</v>
      </c>
      <c r="G4615" s="162">
        <v>1</v>
      </c>
    </row>
    <row r="4616" spans="2:7" ht="28.8">
      <c r="B4616" s="162" t="s">
        <v>697</v>
      </c>
      <c r="C4616" s="162" t="s">
        <v>10548</v>
      </c>
      <c r="D4616" s="162" t="s">
        <v>10448</v>
      </c>
      <c r="F4616" s="162">
        <v>2780</v>
      </c>
      <c r="G4616" s="162">
        <v>1</v>
      </c>
    </row>
    <row r="4617" spans="2:7" ht="28.8">
      <c r="B4617" s="162" t="s">
        <v>697</v>
      </c>
      <c r="C4617" s="162" t="s">
        <v>10549</v>
      </c>
      <c r="D4617" s="162" t="s">
        <v>10450</v>
      </c>
      <c r="F4617" s="162">
        <v>3056</v>
      </c>
      <c r="G4617" s="162">
        <v>1</v>
      </c>
    </row>
    <row r="4618" spans="2:7" ht="28.8">
      <c r="B4618" s="162" t="s">
        <v>697</v>
      </c>
      <c r="C4618" s="162" t="s">
        <v>10550</v>
      </c>
      <c r="D4618" s="162" t="s">
        <v>10452</v>
      </c>
      <c r="F4618" s="162">
        <v>3422</v>
      </c>
      <c r="G4618" s="162">
        <v>1</v>
      </c>
    </row>
    <row r="4619" spans="2:7" ht="28.8">
      <c r="B4619" s="162" t="s">
        <v>697</v>
      </c>
      <c r="C4619" s="162" t="s">
        <v>10551</v>
      </c>
      <c r="D4619" s="162" t="s">
        <v>10513</v>
      </c>
      <c r="F4619" s="162">
        <v>1748</v>
      </c>
      <c r="G4619" s="162">
        <v>1</v>
      </c>
    </row>
    <row r="4620" spans="2:7" ht="28.8">
      <c r="B4620" s="162" t="s">
        <v>697</v>
      </c>
      <c r="C4620" s="162" t="s">
        <v>10552</v>
      </c>
      <c r="D4620" s="162" t="s">
        <v>10480</v>
      </c>
      <c r="F4620" s="162">
        <v>3450</v>
      </c>
      <c r="G4620" s="162">
        <v>1</v>
      </c>
    </row>
    <row r="4621" spans="2:7" ht="28.8">
      <c r="B4621" s="162" t="s">
        <v>697</v>
      </c>
      <c r="C4621" s="162" t="s">
        <v>10553</v>
      </c>
      <c r="D4621" s="162" t="s">
        <v>10482</v>
      </c>
      <c r="F4621" s="162">
        <v>3726</v>
      </c>
      <c r="G4621" s="162">
        <v>1</v>
      </c>
    </row>
    <row r="4622" spans="2:7" ht="28.8">
      <c r="B4622" s="162" t="s">
        <v>697</v>
      </c>
      <c r="C4622" s="162" t="s">
        <v>10554</v>
      </c>
      <c r="D4622" s="162" t="s">
        <v>10484</v>
      </c>
      <c r="F4622" s="162">
        <v>4092</v>
      </c>
      <c r="G4622" s="162">
        <v>1</v>
      </c>
    </row>
    <row r="4623" spans="2:7" ht="28.8">
      <c r="B4623" s="162" t="s">
        <v>697</v>
      </c>
      <c r="C4623" s="162" t="s">
        <v>10555</v>
      </c>
      <c r="D4623" s="162" t="s">
        <v>10556</v>
      </c>
      <c r="F4623" s="162">
        <v>1568</v>
      </c>
      <c r="G4623" s="162">
        <v>1</v>
      </c>
    </row>
    <row r="4624" spans="2:7" ht="28.8">
      <c r="B4624" s="162" t="s">
        <v>697</v>
      </c>
      <c r="C4624" s="162" t="s">
        <v>10557</v>
      </c>
      <c r="D4624" s="162" t="s">
        <v>10558</v>
      </c>
      <c r="F4624" s="162">
        <v>3260</v>
      </c>
      <c r="G4624" s="162">
        <v>1</v>
      </c>
    </row>
    <row r="4625" spans="2:7" ht="28.8">
      <c r="B4625" s="162" t="s">
        <v>697</v>
      </c>
      <c r="C4625" s="162" t="s">
        <v>10559</v>
      </c>
      <c r="D4625" s="162" t="s">
        <v>10493</v>
      </c>
      <c r="F4625" s="162">
        <v>3538</v>
      </c>
      <c r="G4625" s="162">
        <v>1</v>
      </c>
    </row>
    <row r="4626" spans="2:7" ht="28.8">
      <c r="B4626" s="162" t="s">
        <v>697</v>
      </c>
      <c r="C4626" s="162" t="s">
        <v>10560</v>
      </c>
      <c r="D4626" s="162" t="s">
        <v>10495</v>
      </c>
      <c r="F4626" s="162">
        <v>3906</v>
      </c>
      <c r="G4626" s="162">
        <v>1</v>
      </c>
    </row>
    <row r="4627" spans="2:7" ht="28.8">
      <c r="B4627" s="162" t="s">
        <v>697</v>
      </c>
      <c r="C4627" s="162" t="s">
        <v>10561</v>
      </c>
      <c r="D4627" s="162" t="s">
        <v>10562</v>
      </c>
      <c r="F4627" s="162">
        <v>218</v>
      </c>
      <c r="G4627" s="162">
        <v>1</v>
      </c>
    </row>
    <row r="4628" spans="2:7" ht="43.2">
      <c r="B4628" s="162" t="s">
        <v>697</v>
      </c>
      <c r="C4628" s="162" t="s">
        <v>10453</v>
      </c>
      <c r="D4628" s="162" t="s">
        <v>10521</v>
      </c>
      <c r="F4628" s="162">
        <v>66</v>
      </c>
      <c r="G4628" s="162">
        <v>1</v>
      </c>
    </row>
    <row r="4629" spans="2:7" ht="28.8">
      <c r="B4629" s="162" t="s">
        <v>697</v>
      </c>
      <c r="C4629" s="162" t="s">
        <v>10563</v>
      </c>
      <c r="D4629" s="162" t="s">
        <v>10564</v>
      </c>
      <c r="F4629" s="162">
        <v>1790</v>
      </c>
      <c r="G4629" s="162">
        <v>1</v>
      </c>
    </row>
    <row r="4630" spans="2:7" ht="28.8">
      <c r="B4630" s="162" t="s">
        <v>697</v>
      </c>
      <c r="C4630" s="162" t="s">
        <v>10565</v>
      </c>
      <c r="D4630" s="162" t="s">
        <v>10558</v>
      </c>
      <c r="F4630" s="162">
        <v>3484</v>
      </c>
      <c r="G4630" s="162">
        <v>1</v>
      </c>
    </row>
    <row r="4631" spans="2:7" ht="28.8">
      <c r="B4631" s="162" t="s">
        <v>697</v>
      </c>
      <c r="C4631" s="162" t="s">
        <v>10566</v>
      </c>
      <c r="D4631" s="162" t="s">
        <v>10493</v>
      </c>
      <c r="F4631" s="162">
        <v>3760</v>
      </c>
      <c r="G4631" s="162">
        <v>1</v>
      </c>
    </row>
    <row r="4632" spans="2:7" ht="28.8">
      <c r="B4632" s="162" t="s">
        <v>697</v>
      </c>
      <c r="C4632" s="162" t="s">
        <v>10567</v>
      </c>
      <c r="D4632" s="162" t="s">
        <v>10495</v>
      </c>
      <c r="F4632" s="162">
        <v>4130</v>
      </c>
      <c r="G4632" s="162">
        <v>1</v>
      </c>
    </row>
    <row r="4633" spans="2:7" ht="28.8">
      <c r="B4633" s="162" t="s">
        <v>697</v>
      </c>
      <c r="C4633" s="162" t="s">
        <v>10561</v>
      </c>
      <c r="D4633" s="162" t="s">
        <v>10562</v>
      </c>
      <c r="F4633" s="162">
        <v>218</v>
      </c>
      <c r="G4633" s="162">
        <v>1</v>
      </c>
    </row>
    <row r="4634" spans="2:7" ht="43.2">
      <c r="B4634" s="162" t="s">
        <v>697</v>
      </c>
      <c r="C4634" s="162" t="s">
        <v>10460</v>
      </c>
      <c r="D4634" s="162" t="s">
        <v>10526</v>
      </c>
      <c r="F4634" s="162">
        <v>88</v>
      </c>
      <c r="G4634" s="162">
        <v>1</v>
      </c>
    </row>
    <row r="4635" spans="2:7" ht="28.8">
      <c r="B4635" s="162" t="s">
        <v>697</v>
      </c>
      <c r="C4635" s="162" t="s">
        <v>10568</v>
      </c>
      <c r="D4635" s="162" t="s">
        <v>10569</v>
      </c>
      <c r="F4635" s="162">
        <v>1722</v>
      </c>
      <c r="G4635" s="162">
        <v>1</v>
      </c>
    </row>
    <row r="4636" spans="2:7" ht="28.8">
      <c r="B4636" s="162" t="s">
        <v>697</v>
      </c>
      <c r="C4636" s="162" t="s">
        <v>10570</v>
      </c>
      <c r="D4636" s="162" t="s">
        <v>10558</v>
      </c>
      <c r="F4636" s="162">
        <v>3416</v>
      </c>
      <c r="G4636" s="162">
        <v>1</v>
      </c>
    </row>
    <row r="4637" spans="2:7" ht="28.8">
      <c r="B4637" s="162" t="s">
        <v>697</v>
      </c>
      <c r="C4637" s="162" t="s">
        <v>10571</v>
      </c>
      <c r="D4637" s="162" t="s">
        <v>10493</v>
      </c>
      <c r="F4637" s="162">
        <v>3692</v>
      </c>
      <c r="G4637" s="162">
        <v>1</v>
      </c>
    </row>
    <row r="4638" spans="2:7" ht="28.8">
      <c r="B4638" s="162" t="s">
        <v>697</v>
      </c>
      <c r="C4638" s="162" t="s">
        <v>10572</v>
      </c>
      <c r="D4638" s="162" t="s">
        <v>10495</v>
      </c>
      <c r="F4638" s="162">
        <v>4060</v>
      </c>
      <c r="G4638" s="162">
        <v>1</v>
      </c>
    </row>
    <row r="4639" spans="2:7" ht="28.8">
      <c r="B4639" s="162" t="s">
        <v>697</v>
      </c>
      <c r="C4639" s="162" t="s">
        <v>10561</v>
      </c>
      <c r="D4639" s="162" t="s">
        <v>10562</v>
      </c>
      <c r="F4639" s="162">
        <v>218</v>
      </c>
      <c r="G4639" s="162">
        <v>1</v>
      </c>
    </row>
    <row r="4640" spans="2:7" ht="43.2">
      <c r="B4640" s="162" t="s">
        <v>697</v>
      </c>
      <c r="C4640" s="162" t="s">
        <v>10460</v>
      </c>
      <c r="D4640" s="162" t="s">
        <v>10531</v>
      </c>
      <c r="F4640" s="162">
        <v>88</v>
      </c>
      <c r="G4640" s="162">
        <v>1</v>
      </c>
    </row>
    <row r="4641" spans="2:7" ht="28.8">
      <c r="B4641" s="162" t="s">
        <v>697</v>
      </c>
      <c r="C4641" s="162" t="s">
        <v>10573</v>
      </c>
      <c r="D4641" s="162" t="s">
        <v>10574</v>
      </c>
      <c r="F4641" s="162">
        <v>2176</v>
      </c>
      <c r="G4641" s="162">
        <v>1</v>
      </c>
    </row>
    <row r="4642" spans="2:7" ht="28.8">
      <c r="B4642" s="162" t="s">
        <v>697</v>
      </c>
      <c r="C4642" s="162" t="s">
        <v>10575</v>
      </c>
      <c r="D4642" s="162" t="s">
        <v>10558</v>
      </c>
      <c r="F4642" s="162">
        <v>3870</v>
      </c>
      <c r="G4642" s="162">
        <v>1</v>
      </c>
    </row>
    <row r="4643" spans="2:7" ht="28.8">
      <c r="B4643" s="162" t="s">
        <v>697</v>
      </c>
      <c r="C4643" s="162" t="s">
        <v>10576</v>
      </c>
      <c r="D4643" s="162" t="s">
        <v>10493</v>
      </c>
      <c r="F4643" s="162">
        <v>4146</v>
      </c>
      <c r="G4643" s="162">
        <v>1</v>
      </c>
    </row>
    <row r="4644" spans="2:7" ht="28.8">
      <c r="B4644" s="162" t="s">
        <v>697</v>
      </c>
      <c r="C4644" s="162" t="s">
        <v>10577</v>
      </c>
      <c r="D4644" s="162" t="s">
        <v>10495</v>
      </c>
      <c r="F4644" s="162">
        <v>4514</v>
      </c>
      <c r="G4644" s="162">
        <v>1</v>
      </c>
    </row>
    <row r="4645" spans="2:7" ht="28.8">
      <c r="B4645" s="162" t="s">
        <v>697</v>
      </c>
      <c r="C4645" s="162" t="s">
        <v>10561</v>
      </c>
      <c r="D4645" s="162" t="s">
        <v>10562</v>
      </c>
      <c r="F4645" s="162">
        <v>218</v>
      </c>
      <c r="G4645" s="162">
        <v>1</v>
      </c>
    </row>
    <row r="4646" spans="2:7" ht="43.2">
      <c r="B4646" s="162" t="s">
        <v>697</v>
      </c>
      <c r="C4646" s="162" t="s">
        <v>10475</v>
      </c>
      <c r="D4646" s="162" t="s">
        <v>10536</v>
      </c>
      <c r="F4646" s="162">
        <v>94</v>
      </c>
      <c r="G4646" s="162">
        <v>1</v>
      </c>
    </row>
    <row r="4647" spans="2:7" ht="28.8">
      <c r="B4647" s="162" t="s">
        <v>697</v>
      </c>
      <c r="C4647" s="162" t="s">
        <v>10578</v>
      </c>
      <c r="D4647" s="162" t="s">
        <v>10579</v>
      </c>
      <c r="F4647" s="162">
        <v>2272</v>
      </c>
      <c r="G4647" s="162">
        <v>1</v>
      </c>
    </row>
    <row r="4648" spans="2:7" ht="28.8">
      <c r="B4648" s="162" t="s">
        <v>697</v>
      </c>
      <c r="C4648" s="162" t="s">
        <v>10580</v>
      </c>
      <c r="D4648" s="162" t="s">
        <v>10581</v>
      </c>
      <c r="F4648" s="162">
        <v>4408</v>
      </c>
      <c r="G4648" s="162">
        <v>1</v>
      </c>
    </row>
    <row r="4649" spans="2:7" ht="28.8">
      <c r="B4649" s="162" t="s">
        <v>697</v>
      </c>
      <c r="C4649" s="162" t="s">
        <v>10582</v>
      </c>
      <c r="D4649" s="162" t="s">
        <v>10583</v>
      </c>
      <c r="F4649" s="162">
        <v>4684</v>
      </c>
      <c r="G4649" s="162">
        <v>1</v>
      </c>
    </row>
    <row r="4650" spans="2:7" ht="28.8">
      <c r="B4650" s="162" t="s">
        <v>697</v>
      </c>
      <c r="C4650" s="162" t="s">
        <v>10584</v>
      </c>
      <c r="D4650" s="162" t="s">
        <v>10585</v>
      </c>
      <c r="F4650" s="162">
        <v>5050</v>
      </c>
      <c r="G4650" s="162">
        <v>1</v>
      </c>
    </row>
    <row r="4651" spans="2:7" ht="28.8">
      <c r="B4651" s="162" t="s">
        <v>697</v>
      </c>
      <c r="C4651" s="162" t="s">
        <v>10586</v>
      </c>
      <c r="D4651" s="162" t="s">
        <v>10587</v>
      </c>
      <c r="F4651" s="162">
        <v>368</v>
      </c>
      <c r="G4651" s="162">
        <v>1</v>
      </c>
    </row>
    <row r="4652" spans="2:7" ht="43.2">
      <c r="B4652" s="162" t="s">
        <v>697</v>
      </c>
      <c r="C4652" s="162" t="s">
        <v>10485</v>
      </c>
      <c r="D4652" s="162" t="s">
        <v>10541</v>
      </c>
      <c r="F4652" s="162">
        <v>100</v>
      </c>
      <c r="G4652" s="162">
        <v>1</v>
      </c>
    </row>
    <row r="4653" spans="2:7" ht="28.8">
      <c r="B4653" s="162" t="s">
        <v>697</v>
      </c>
      <c r="C4653" s="162" t="s">
        <v>10588</v>
      </c>
      <c r="D4653" s="162" t="s">
        <v>10589</v>
      </c>
      <c r="F4653" s="162">
        <v>2560</v>
      </c>
      <c r="G4653" s="162">
        <v>1</v>
      </c>
    </row>
    <row r="4654" spans="2:7" ht="28.8">
      <c r="B4654" s="162" t="s">
        <v>697</v>
      </c>
      <c r="C4654" s="162" t="s">
        <v>10590</v>
      </c>
      <c r="D4654" s="162" t="s">
        <v>10581</v>
      </c>
      <c r="F4654" s="162">
        <v>4696</v>
      </c>
      <c r="G4654" s="162">
        <v>1</v>
      </c>
    </row>
    <row r="4655" spans="2:7" ht="28.8">
      <c r="B4655" s="162" t="s">
        <v>697</v>
      </c>
      <c r="C4655" s="162" t="s">
        <v>10591</v>
      </c>
      <c r="D4655" s="162" t="s">
        <v>10583</v>
      </c>
      <c r="F4655" s="162">
        <v>4972</v>
      </c>
      <c r="G4655" s="162">
        <v>1</v>
      </c>
    </row>
    <row r="4656" spans="2:7" ht="28.8">
      <c r="B4656" s="162" t="s">
        <v>697</v>
      </c>
      <c r="C4656" s="162" t="s">
        <v>10592</v>
      </c>
      <c r="D4656" s="162" t="s">
        <v>10585</v>
      </c>
      <c r="F4656" s="162">
        <v>5340</v>
      </c>
      <c r="G4656" s="162">
        <v>1</v>
      </c>
    </row>
    <row r="4657" spans="2:7" ht="28.8">
      <c r="B4657" s="162" t="s">
        <v>697</v>
      </c>
      <c r="C4657" s="162" t="s">
        <v>10586</v>
      </c>
      <c r="D4657" s="162" t="s">
        <v>10587</v>
      </c>
      <c r="F4657" s="162">
        <v>368</v>
      </c>
      <c r="G4657" s="162">
        <v>1</v>
      </c>
    </row>
    <row r="4658" spans="2:7" ht="43.2">
      <c r="B4658" s="162" t="s">
        <v>697</v>
      </c>
      <c r="C4658" s="162" t="s">
        <v>10503</v>
      </c>
      <c r="D4658" s="162" t="s">
        <v>10546</v>
      </c>
      <c r="F4658" s="162">
        <v>118</v>
      </c>
      <c r="G4658" s="162">
        <v>1</v>
      </c>
    </row>
    <row r="4659" spans="2:7" ht="28.8">
      <c r="B4659" s="162" t="s">
        <v>697</v>
      </c>
      <c r="C4659" s="162" t="s">
        <v>10593</v>
      </c>
      <c r="D4659" s="162" t="s">
        <v>10508</v>
      </c>
      <c r="F4659" s="162">
        <v>2226</v>
      </c>
      <c r="G4659" s="162">
        <v>1</v>
      </c>
    </row>
    <row r="4660" spans="2:7" ht="28.8">
      <c r="B4660" s="162" t="s">
        <v>697</v>
      </c>
      <c r="C4660" s="162" t="s">
        <v>10594</v>
      </c>
      <c r="D4660" s="162" t="s">
        <v>10448</v>
      </c>
      <c r="F4660" s="162">
        <v>3920</v>
      </c>
      <c r="G4660" s="162">
        <v>1</v>
      </c>
    </row>
    <row r="4661" spans="2:7" ht="28.8">
      <c r="B4661" s="162" t="s">
        <v>697</v>
      </c>
      <c r="C4661" s="162" t="s">
        <v>10595</v>
      </c>
      <c r="D4661" s="162" t="s">
        <v>10450</v>
      </c>
      <c r="F4661" s="162">
        <v>4196</v>
      </c>
      <c r="G4661" s="162">
        <v>1</v>
      </c>
    </row>
    <row r="4662" spans="2:7" ht="28.8">
      <c r="B4662" s="162" t="s">
        <v>697</v>
      </c>
      <c r="C4662" s="162" t="s">
        <v>10596</v>
      </c>
      <c r="D4662" s="162" t="s">
        <v>10452</v>
      </c>
      <c r="F4662" s="162">
        <v>4564</v>
      </c>
      <c r="G4662" s="162">
        <v>1</v>
      </c>
    </row>
    <row r="4663" spans="2:7" ht="28.8">
      <c r="B4663" s="162" t="s">
        <v>697</v>
      </c>
      <c r="C4663" s="162" t="s">
        <v>10586</v>
      </c>
      <c r="D4663" s="162" t="s">
        <v>10587</v>
      </c>
      <c r="F4663" s="162">
        <v>368</v>
      </c>
      <c r="G4663" s="162">
        <v>1</v>
      </c>
    </row>
    <row r="4664" spans="2:7" ht="28.8">
      <c r="B4664" s="162" t="s">
        <v>697</v>
      </c>
      <c r="C4664" s="162" t="s">
        <v>10597</v>
      </c>
      <c r="D4664" s="162" t="s">
        <v>10513</v>
      </c>
      <c r="F4664" s="162">
        <v>2660</v>
      </c>
      <c r="G4664" s="162">
        <v>1</v>
      </c>
    </row>
    <row r="4665" spans="2:7" ht="28.8">
      <c r="B4665" s="162" t="s">
        <v>697</v>
      </c>
      <c r="C4665" s="162" t="s">
        <v>10598</v>
      </c>
      <c r="D4665" s="162" t="s">
        <v>10480</v>
      </c>
      <c r="F4665" s="162">
        <v>4794</v>
      </c>
      <c r="G4665" s="162">
        <v>1</v>
      </c>
    </row>
    <row r="4666" spans="2:7" ht="28.8">
      <c r="B4666" s="162" t="s">
        <v>697</v>
      </c>
      <c r="C4666" s="162" t="s">
        <v>10599</v>
      </c>
      <c r="D4666" s="162" t="s">
        <v>10482</v>
      </c>
      <c r="F4666" s="162">
        <v>5070</v>
      </c>
      <c r="G4666" s="162">
        <v>1</v>
      </c>
    </row>
    <row r="4667" spans="2:7" ht="28.8">
      <c r="B4667" s="162" t="s">
        <v>697</v>
      </c>
      <c r="C4667" s="162" t="s">
        <v>10600</v>
      </c>
      <c r="D4667" s="162" t="s">
        <v>10484</v>
      </c>
      <c r="F4667" s="162">
        <v>5438</v>
      </c>
      <c r="G4667" s="162">
        <v>1</v>
      </c>
    </row>
    <row r="4668" spans="2:7" ht="43.2">
      <c r="B4668" s="162" t="s">
        <v>697</v>
      </c>
      <c r="C4668" s="162" t="s">
        <v>10601</v>
      </c>
      <c r="D4668" s="162" t="s">
        <v>10602</v>
      </c>
      <c r="F4668" s="162">
        <v>52</v>
      </c>
      <c r="G4668" s="162">
        <v>1</v>
      </c>
    </row>
    <row r="4669" spans="2:7" ht="57.6">
      <c r="B4669" s="162" t="s">
        <v>697</v>
      </c>
      <c r="C4669" s="162" t="s">
        <v>10603</v>
      </c>
      <c r="D4669" s="162" t="s">
        <v>10604</v>
      </c>
      <c r="F4669" s="162">
        <v>70</v>
      </c>
      <c r="G4669" s="162">
        <v>1</v>
      </c>
    </row>
    <row r="4670" spans="2:7" ht="57.6">
      <c r="B4670" s="162" t="s">
        <v>697</v>
      </c>
      <c r="C4670" s="162" t="s">
        <v>10605</v>
      </c>
      <c r="D4670" s="162" t="s">
        <v>10606</v>
      </c>
      <c r="F4670" s="162">
        <v>210</v>
      </c>
      <c r="G4670" s="162">
        <v>1</v>
      </c>
    </row>
    <row r="4671" spans="2:7" ht="43.2">
      <c r="B4671" s="162" t="s">
        <v>697</v>
      </c>
      <c r="C4671" s="162" t="s">
        <v>10607</v>
      </c>
      <c r="D4671" s="162" t="s">
        <v>10608</v>
      </c>
      <c r="F4671" s="162">
        <v>1118</v>
      </c>
      <c r="G4671" s="162">
        <v>1</v>
      </c>
    </row>
    <row r="4672" spans="2:7" ht="43.2">
      <c r="B4672" s="162" t="s">
        <v>697</v>
      </c>
      <c r="C4672" s="162" t="s">
        <v>10609</v>
      </c>
      <c r="D4672" s="162" t="s">
        <v>10610</v>
      </c>
      <c r="F4672" s="162">
        <v>80</v>
      </c>
      <c r="G4672" s="162">
        <v>1</v>
      </c>
    </row>
    <row r="4673" spans="2:7" ht="43.2">
      <c r="B4673" s="162" t="s">
        <v>697</v>
      </c>
      <c r="C4673" s="162" t="s">
        <v>10611</v>
      </c>
      <c r="D4673" s="162" t="s">
        <v>10612</v>
      </c>
      <c r="F4673" s="162">
        <v>84</v>
      </c>
      <c r="G4673" s="162">
        <v>1</v>
      </c>
    </row>
    <row r="4674" spans="2:7" ht="43.2">
      <c r="B4674" s="162" t="s">
        <v>697</v>
      </c>
      <c r="C4674" s="162" t="s">
        <v>10613</v>
      </c>
      <c r="D4674" s="162" t="s">
        <v>10614</v>
      </c>
      <c r="F4674" s="162">
        <v>100</v>
      </c>
      <c r="G4674" s="162">
        <v>1</v>
      </c>
    </row>
    <row r="4675" spans="2:7" ht="57.6">
      <c r="B4675" s="162" t="s">
        <v>697</v>
      </c>
      <c r="C4675" s="162" t="s">
        <v>10615</v>
      </c>
      <c r="D4675" s="162" t="s">
        <v>10616</v>
      </c>
      <c r="F4675" s="162">
        <v>118</v>
      </c>
      <c r="G4675" s="162">
        <v>1</v>
      </c>
    </row>
    <row r="4676" spans="2:7" ht="43.2">
      <c r="B4676" s="162" t="s">
        <v>697</v>
      </c>
      <c r="C4676" s="162" t="s">
        <v>10617</v>
      </c>
      <c r="D4676" s="162" t="s">
        <v>10618</v>
      </c>
      <c r="F4676" s="162">
        <v>310</v>
      </c>
      <c r="G4676" s="162">
        <v>1</v>
      </c>
    </row>
    <row r="4677" spans="2:7" ht="43.2">
      <c r="B4677" s="162" t="s">
        <v>697</v>
      </c>
      <c r="C4677" s="162" t="s">
        <v>10619</v>
      </c>
      <c r="D4677" s="162" t="s">
        <v>10620</v>
      </c>
      <c r="F4677" s="162">
        <v>326</v>
      </c>
      <c r="G4677" s="162">
        <v>1</v>
      </c>
    </row>
    <row r="4678" spans="2:7" ht="57.6">
      <c r="B4678" s="162" t="s">
        <v>697</v>
      </c>
      <c r="C4678" s="162" t="s">
        <v>10621</v>
      </c>
      <c r="D4678" s="162" t="s">
        <v>10622</v>
      </c>
      <c r="F4678" s="162">
        <v>350</v>
      </c>
      <c r="G4678" s="162">
        <v>1</v>
      </c>
    </row>
    <row r="4679" spans="2:7" ht="28.8">
      <c r="B4679" s="162" t="s">
        <v>697</v>
      </c>
      <c r="C4679" s="162" t="s">
        <v>10623</v>
      </c>
      <c r="D4679" s="162" t="s">
        <v>10624</v>
      </c>
      <c r="F4679" s="162">
        <v>4698</v>
      </c>
      <c r="G4679" s="162">
        <v>1</v>
      </c>
    </row>
    <row r="4680" spans="2:7" ht="28.8">
      <c r="B4680" s="162" t="s">
        <v>697</v>
      </c>
      <c r="C4680" s="162" t="s">
        <v>10625</v>
      </c>
      <c r="D4680" s="162" t="s">
        <v>10495</v>
      </c>
      <c r="F4680" s="162">
        <v>5064</v>
      </c>
      <c r="G4680" s="162">
        <v>1</v>
      </c>
    </row>
    <row r="4681" spans="2:7" ht="28.8">
      <c r="B4681" s="162" t="s">
        <v>697</v>
      </c>
      <c r="C4681" s="162" t="s">
        <v>10626</v>
      </c>
      <c r="D4681" s="162" t="s">
        <v>10627</v>
      </c>
      <c r="F4681" s="162">
        <v>5760</v>
      </c>
      <c r="G4681" s="162">
        <v>1</v>
      </c>
    </row>
    <row r="4682" spans="2:7" ht="43.2">
      <c r="B4682" s="162" t="s">
        <v>697</v>
      </c>
      <c r="C4682" s="162" t="s">
        <v>10628</v>
      </c>
      <c r="D4682" s="162" t="s">
        <v>10629</v>
      </c>
      <c r="F4682" s="162">
        <v>6128</v>
      </c>
      <c r="G4682" s="162">
        <v>1</v>
      </c>
    </row>
    <row r="4683" spans="2:7" ht="43.2">
      <c r="B4683" s="162" t="s">
        <v>697</v>
      </c>
      <c r="C4683" s="162" t="s">
        <v>10630</v>
      </c>
      <c r="D4683" s="162" t="s">
        <v>10631</v>
      </c>
      <c r="F4683" s="162">
        <v>100</v>
      </c>
      <c r="G4683" s="162">
        <v>1</v>
      </c>
    </row>
    <row r="4684" spans="2:7" ht="43.2">
      <c r="B4684" s="162" t="s">
        <v>697</v>
      </c>
      <c r="C4684" s="162" t="s">
        <v>10632</v>
      </c>
      <c r="D4684" s="162" t="s">
        <v>10633</v>
      </c>
      <c r="F4684" s="162">
        <v>5514</v>
      </c>
      <c r="G4684" s="162">
        <v>1</v>
      </c>
    </row>
    <row r="4685" spans="2:7" ht="28.8">
      <c r="B4685" s="162" t="s">
        <v>697</v>
      </c>
      <c r="C4685" s="162" t="s">
        <v>10634</v>
      </c>
      <c r="D4685" s="162" t="s">
        <v>10635</v>
      </c>
      <c r="F4685" s="162">
        <v>5882</v>
      </c>
      <c r="G4685" s="162">
        <v>1</v>
      </c>
    </row>
    <row r="4686" spans="2:7" ht="43.2">
      <c r="B4686" s="162" t="s">
        <v>697</v>
      </c>
      <c r="C4686" s="162" t="s">
        <v>10636</v>
      </c>
      <c r="D4686" s="162" t="s">
        <v>10637</v>
      </c>
      <c r="F4686" s="162">
        <v>4146</v>
      </c>
      <c r="G4686" s="162">
        <v>1</v>
      </c>
    </row>
    <row r="4687" spans="2:7" ht="28.8">
      <c r="B4687" s="162" t="s">
        <v>697</v>
      </c>
      <c r="C4687" s="162" t="s">
        <v>10638</v>
      </c>
      <c r="D4687" s="162" t="s">
        <v>10585</v>
      </c>
      <c r="F4687" s="162">
        <v>4512</v>
      </c>
      <c r="G4687" s="162">
        <v>1</v>
      </c>
    </row>
    <row r="4688" spans="2:7" ht="28.8">
      <c r="B4688" s="162" t="s">
        <v>697</v>
      </c>
      <c r="C4688" s="162" t="s">
        <v>10639</v>
      </c>
      <c r="D4688" s="162" t="s">
        <v>10640</v>
      </c>
      <c r="F4688" s="162">
        <v>5210</v>
      </c>
      <c r="G4688" s="162">
        <v>1</v>
      </c>
    </row>
    <row r="4689" spans="2:7" ht="43.2">
      <c r="B4689" s="162" t="s">
        <v>697</v>
      </c>
      <c r="C4689" s="162" t="s">
        <v>10641</v>
      </c>
      <c r="D4689" s="162" t="s">
        <v>10642</v>
      </c>
      <c r="F4689" s="162">
        <v>5576</v>
      </c>
      <c r="G4689" s="162">
        <v>1</v>
      </c>
    </row>
    <row r="4690" spans="2:7" ht="28.8">
      <c r="B4690" s="162" t="s">
        <v>697</v>
      </c>
      <c r="C4690" s="162" t="s">
        <v>10643</v>
      </c>
      <c r="D4690" s="162" t="s">
        <v>10644</v>
      </c>
      <c r="F4690" s="162">
        <v>300</v>
      </c>
      <c r="G4690" s="162">
        <v>1</v>
      </c>
    </row>
    <row r="4691" spans="2:7" ht="43.2">
      <c r="B4691" s="162" t="s">
        <v>697</v>
      </c>
      <c r="C4691" s="162" t="s">
        <v>10645</v>
      </c>
      <c r="D4691" s="162" t="s">
        <v>10646</v>
      </c>
      <c r="F4691" s="162">
        <v>5562</v>
      </c>
      <c r="G4691" s="162">
        <v>1</v>
      </c>
    </row>
    <row r="4692" spans="2:7" ht="28.8">
      <c r="B4692" s="162" t="s">
        <v>697</v>
      </c>
      <c r="C4692" s="162" t="s">
        <v>10647</v>
      </c>
      <c r="D4692" s="162" t="s">
        <v>10585</v>
      </c>
      <c r="F4692" s="162">
        <v>5930</v>
      </c>
      <c r="G4692" s="162">
        <v>1</v>
      </c>
    </row>
    <row r="4693" spans="2:7" ht="28.8">
      <c r="B4693" s="162" t="s">
        <v>697</v>
      </c>
      <c r="C4693" s="162" t="s">
        <v>10648</v>
      </c>
      <c r="D4693" s="162" t="s">
        <v>10640</v>
      </c>
      <c r="F4693" s="162">
        <v>6626</v>
      </c>
      <c r="G4693" s="162">
        <v>1</v>
      </c>
    </row>
    <row r="4694" spans="2:7" ht="43.2">
      <c r="B4694" s="162" t="s">
        <v>697</v>
      </c>
      <c r="C4694" s="162" t="s">
        <v>10649</v>
      </c>
      <c r="D4694" s="162" t="s">
        <v>10642</v>
      </c>
      <c r="F4694" s="162">
        <v>6992</v>
      </c>
      <c r="G4694" s="162">
        <v>1</v>
      </c>
    </row>
    <row r="4695" spans="2:7" ht="43.2">
      <c r="B4695" s="162" t="s">
        <v>697</v>
      </c>
      <c r="C4695" s="162" t="s">
        <v>10485</v>
      </c>
      <c r="D4695" s="162" t="s">
        <v>10650</v>
      </c>
      <c r="F4695" s="162">
        <v>100</v>
      </c>
      <c r="G4695" s="162">
        <v>1</v>
      </c>
    </row>
    <row r="4696" spans="2:7" ht="43.2">
      <c r="B4696" s="162" t="s">
        <v>697</v>
      </c>
      <c r="C4696" s="162" t="s">
        <v>10651</v>
      </c>
      <c r="D4696" s="162" t="s">
        <v>10652</v>
      </c>
      <c r="F4696" s="162">
        <v>5992</v>
      </c>
      <c r="G4696" s="162">
        <v>1</v>
      </c>
    </row>
    <row r="4697" spans="2:7" ht="28.8">
      <c r="B4697" s="162" t="s">
        <v>697</v>
      </c>
      <c r="C4697" s="162" t="s">
        <v>10653</v>
      </c>
      <c r="D4697" s="162" t="s">
        <v>10635</v>
      </c>
      <c r="F4697" s="162">
        <v>6360</v>
      </c>
      <c r="G4697" s="162">
        <v>1</v>
      </c>
    </row>
    <row r="4698" spans="2:7" ht="28.8">
      <c r="B4698" s="162" t="s">
        <v>697</v>
      </c>
      <c r="C4698" s="162" t="s">
        <v>10654</v>
      </c>
      <c r="D4698" s="162" t="s">
        <v>10655</v>
      </c>
      <c r="F4698" s="162">
        <v>7150</v>
      </c>
      <c r="G4698" s="162">
        <v>1</v>
      </c>
    </row>
    <row r="4699" spans="2:7" ht="43.2">
      <c r="B4699" s="162" t="s">
        <v>697</v>
      </c>
      <c r="C4699" s="162" t="s">
        <v>10656</v>
      </c>
      <c r="D4699" s="162" t="s">
        <v>10657</v>
      </c>
      <c r="F4699" s="162">
        <v>7520</v>
      </c>
      <c r="G4699" s="162">
        <v>1</v>
      </c>
    </row>
    <row r="4700" spans="2:7" ht="57.6">
      <c r="B4700" s="162" t="s">
        <v>697</v>
      </c>
      <c r="C4700" s="162" t="s">
        <v>10605</v>
      </c>
      <c r="D4700" s="162" t="s">
        <v>10606</v>
      </c>
      <c r="F4700" s="162">
        <v>210</v>
      </c>
      <c r="G4700" s="162">
        <v>1</v>
      </c>
    </row>
    <row r="4701" spans="2:7" ht="57.6">
      <c r="B4701" s="162" t="s">
        <v>697</v>
      </c>
      <c r="C4701" s="162" t="s">
        <v>10603</v>
      </c>
      <c r="D4701" s="162" t="s">
        <v>10658</v>
      </c>
      <c r="F4701" s="162">
        <v>70</v>
      </c>
      <c r="G4701" s="162">
        <v>1</v>
      </c>
    </row>
    <row r="4702" spans="2:7" ht="28.8">
      <c r="B4702" s="162" t="s">
        <v>697</v>
      </c>
      <c r="C4702" s="162" t="s">
        <v>10643</v>
      </c>
      <c r="D4702" s="162" t="s">
        <v>10659</v>
      </c>
      <c r="F4702" s="162">
        <v>298</v>
      </c>
      <c r="G4702" s="162">
        <v>1</v>
      </c>
    </row>
    <row r="4703" spans="2:7" ht="28.8">
      <c r="B4703" s="162" t="s">
        <v>697</v>
      </c>
      <c r="C4703" s="162" t="s">
        <v>10660</v>
      </c>
      <c r="D4703" s="162" t="s">
        <v>10661</v>
      </c>
      <c r="F4703" s="162">
        <v>372</v>
      </c>
      <c r="G4703" s="162">
        <v>1</v>
      </c>
    </row>
    <row r="4704" spans="2:7" ht="28.8">
      <c r="B4704" s="162" t="s">
        <v>697</v>
      </c>
      <c r="C4704" s="162" t="s">
        <v>10662</v>
      </c>
      <c r="D4704" s="162" t="s">
        <v>10663</v>
      </c>
      <c r="F4704" s="162">
        <v>372</v>
      </c>
      <c r="G4704" s="162">
        <v>1</v>
      </c>
    </row>
    <row r="4705" spans="2:7" ht="28.8">
      <c r="B4705" s="162" t="s">
        <v>697</v>
      </c>
      <c r="C4705" s="162" t="s">
        <v>10607</v>
      </c>
      <c r="D4705" s="162" t="s">
        <v>10664</v>
      </c>
      <c r="F4705" s="162">
        <v>1118</v>
      </c>
      <c r="G4705" s="162">
        <v>1</v>
      </c>
    </row>
    <row r="4706" spans="2:7" ht="43.2">
      <c r="B4706" s="162" t="s">
        <v>697</v>
      </c>
      <c r="C4706" s="162" t="s">
        <v>10609</v>
      </c>
      <c r="D4706" s="162" t="s">
        <v>10610</v>
      </c>
      <c r="F4706" s="162">
        <v>80</v>
      </c>
      <c r="G4706" s="162">
        <v>1</v>
      </c>
    </row>
    <row r="4707" spans="2:7" ht="43.2">
      <c r="B4707" s="162" t="s">
        <v>697</v>
      </c>
      <c r="C4707" s="162" t="s">
        <v>10613</v>
      </c>
      <c r="D4707" s="162" t="s">
        <v>10665</v>
      </c>
      <c r="F4707" s="162">
        <v>90</v>
      </c>
      <c r="G4707" s="162">
        <v>1</v>
      </c>
    </row>
    <row r="4708" spans="2:7" ht="43.2">
      <c r="B4708" s="162" t="s">
        <v>697</v>
      </c>
      <c r="C4708" s="162" t="s">
        <v>10615</v>
      </c>
      <c r="D4708" s="162" t="s">
        <v>10666</v>
      </c>
      <c r="F4708" s="162">
        <v>106</v>
      </c>
      <c r="G4708" s="162">
        <v>1</v>
      </c>
    </row>
    <row r="4709" spans="2:7" ht="28.8">
      <c r="B4709" s="162" t="s">
        <v>697</v>
      </c>
      <c r="C4709" s="162" t="s">
        <v>10667</v>
      </c>
      <c r="D4709" s="162" t="s">
        <v>10668</v>
      </c>
      <c r="F4709" s="162">
        <v>799</v>
      </c>
      <c r="G4709" s="162">
        <v>1</v>
      </c>
    </row>
    <row r="4710" spans="2:7" ht="28.8">
      <c r="B4710" s="162" t="s">
        <v>697</v>
      </c>
      <c r="C4710" s="162" t="s">
        <v>10669</v>
      </c>
      <c r="D4710" s="162" t="s">
        <v>10670</v>
      </c>
      <c r="F4710" s="162">
        <v>799</v>
      </c>
      <c r="G4710" s="162">
        <v>1</v>
      </c>
    </row>
    <row r="4711" spans="2:7" ht="28.8">
      <c r="B4711" s="162" t="s">
        <v>697</v>
      </c>
      <c r="C4711" s="162" t="s">
        <v>10671</v>
      </c>
      <c r="D4711" s="162" t="s">
        <v>10672</v>
      </c>
      <c r="F4711" s="162">
        <v>1099</v>
      </c>
      <c r="G4711" s="162">
        <v>1</v>
      </c>
    </row>
    <row r="4712" spans="2:7" ht="28.8">
      <c r="B4712" s="162" t="s">
        <v>697</v>
      </c>
      <c r="C4712" s="162" t="s">
        <v>10673</v>
      </c>
      <c r="D4712" s="162" t="s">
        <v>10674</v>
      </c>
      <c r="F4712" s="162">
        <v>1099</v>
      </c>
      <c r="G4712" s="162">
        <v>1</v>
      </c>
    </row>
    <row r="4713" spans="2:7" ht="28.8">
      <c r="B4713" s="162" t="s">
        <v>697</v>
      </c>
      <c r="C4713" s="162" t="s">
        <v>10675</v>
      </c>
      <c r="D4713" s="162" t="s">
        <v>10676</v>
      </c>
      <c r="F4713" s="162">
        <v>1899</v>
      </c>
      <c r="G4713" s="162">
        <v>1</v>
      </c>
    </row>
    <row r="4714" spans="2:7" ht="28.8">
      <c r="B4714" s="162" t="s">
        <v>697</v>
      </c>
      <c r="C4714" s="162" t="s">
        <v>10677</v>
      </c>
      <c r="D4714" s="162" t="s">
        <v>10678</v>
      </c>
      <c r="F4714" s="162">
        <v>1899</v>
      </c>
      <c r="G4714" s="162">
        <v>1</v>
      </c>
    </row>
    <row r="4715" spans="2:7" ht="28.8">
      <c r="B4715" s="162" t="s">
        <v>697</v>
      </c>
      <c r="C4715" s="162" t="s">
        <v>10679</v>
      </c>
      <c r="D4715" s="162" t="s">
        <v>10680</v>
      </c>
      <c r="F4715" s="162">
        <v>116</v>
      </c>
      <c r="G4715" s="162">
        <v>1</v>
      </c>
    </row>
    <row r="4716" spans="2:7" ht="28.8">
      <c r="B4716" s="162" t="s">
        <v>697</v>
      </c>
      <c r="C4716" s="162" t="s">
        <v>10681</v>
      </c>
      <c r="D4716" s="162" t="s">
        <v>10682</v>
      </c>
      <c r="F4716" s="162">
        <v>116</v>
      </c>
      <c r="G4716" s="162">
        <v>1</v>
      </c>
    </row>
    <row r="4717" spans="2:7" ht="28.8">
      <c r="B4717" s="162" t="s">
        <v>697</v>
      </c>
      <c r="C4717" s="162" t="s">
        <v>10683</v>
      </c>
      <c r="D4717" s="162" t="s">
        <v>10684</v>
      </c>
      <c r="F4717" s="162">
        <v>2956</v>
      </c>
      <c r="G4717" s="162">
        <v>1</v>
      </c>
    </row>
    <row r="4718" spans="2:7" ht="28.8">
      <c r="B4718" s="162" t="s">
        <v>697</v>
      </c>
      <c r="C4718" s="162" t="s">
        <v>10685</v>
      </c>
      <c r="D4718" s="162" t="s">
        <v>10686</v>
      </c>
      <c r="F4718" s="162">
        <v>2956</v>
      </c>
      <c r="G4718" s="162">
        <v>1</v>
      </c>
    </row>
    <row r="4719" spans="2:7" ht="28.8">
      <c r="B4719" s="162" t="s">
        <v>697</v>
      </c>
      <c r="C4719" s="162" t="s">
        <v>10687</v>
      </c>
      <c r="D4719" s="162" t="s">
        <v>10688</v>
      </c>
      <c r="F4719" s="162">
        <v>3140</v>
      </c>
      <c r="G4719" s="162">
        <v>1</v>
      </c>
    </row>
    <row r="4720" spans="2:7" ht="43.2">
      <c r="B4720" s="162" t="s">
        <v>697</v>
      </c>
      <c r="C4720" s="162" t="s">
        <v>10601</v>
      </c>
      <c r="D4720" s="162" t="s">
        <v>10689</v>
      </c>
      <c r="F4720" s="162">
        <v>52</v>
      </c>
      <c r="G4720" s="162">
        <v>1</v>
      </c>
    </row>
    <row r="4721" spans="2:7" ht="57.6">
      <c r="B4721" s="162" t="s">
        <v>697</v>
      </c>
      <c r="C4721" s="162" t="s">
        <v>10605</v>
      </c>
      <c r="D4721" s="162" t="s">
        <v>10690</v>
      </c>
      <c r="F4721" s="162">
        <v>210</v>
      </c>
      <c r="G4721" s="162">
        <v>1</v>
      </c>
    </row>
    <row r="4722" spans="2:7" ht="57.6">
      <c r="B4722" s="162" t="s">
        <v>697</v>
      </c>
      <c r="C4722" s="162" t="s">
        <v>10603</v>
      </c>
      <c r="D4722" s="162" t="s">
        <v>10658</v>
      </c>
      <c r="F4722" s="162">
        <v>70</v>
      </c>
      <c r="G4722" s="162">
        <v>1</v>
      </c>
    </row>
    <row r="4723" spans="2:7" ht="28.8">
      <c r="B4723" s="162" t="s">
        <v>697</v>
      </c>
      <c r="C4723" s="162" t="s">
        <v>10691</v>
      </c>
      <c r="D4723" s="162" t="s">
        <v>10692</v>
      </c>
      <c r="F4723" s="162">
        <v>354</v>
      </c>
      <c r="G4723" s="162">
        <v>1</v>
      </c>
    </row>
    <row r="4724" spans="2:7" ht="28.8">
      <c r="B4724" s="162" t="s">
        <v>697</v>
      </c>
      <c r="C4724" s="162" t="s">
        <v>10693</v>
      </c>
      <c r="D4724" s="162" t="s">
        <v>10694</v>
      </c>
      <c r="F4724" s="162">
        <v>4538</v>
      </c>
      <c r="G4724" s="162">
        <v>1</v>
      </c>
    </row>
    <row r="4725" spans="2:7" ht="28.8">
      <c r="B4725" s="162" t="s">
        <v>697</v>
      </c>
      <c r="C4725" s="162" t="s">
        <v>10695</v>
      </c>
      <c r="D4725" s="162" t="s">
        <v>10694</v>
      </c>
      <c r="F4725" s="162">
        <v>4538</v>
      </c>
      <c r="G4725" s="162">
        <v>1</v>
      </c>
    </row>
    <row r="4726" spans="2:7" ht="28.8">
      <c r="B4726" s="162" t="s">
        <v>697</v>
      </c>
      <c r="C4726" s="162" t="s">
        <v>10696</v>
      </c>
      <c r="D4726" s="162" t="s">
        <v>10694</v>
      </c>
      <c r="F4726" s="162">
        <v>4720</v>
      </c>
      <c r="G4726" s="162">
        <v>1</v>
      </c>
    </row>
    <row r="4727" spans="2:7" ht="28.8">
      <c r="B4727" s="162" t="s">
        <v>697</v>
      </c>
      <c r="C4727" s="162" t="s">
        <v>10697</v>
      </c>
      <c r="D4727" s="162" t="s">
        <v>10694</v>
      </c>
      <c r="F4727" s="162">
        <v>4954</v>
      </c>
      <c r="G4727" s="162">
        <v>1</v>
      </c>
    </row>
    <row r="4728" spans="2:7" ht="28.8">
      <c r="B4728" s="162" t="s">
        <v>697</v>
      </c>
      <c r="C4728" s="162" t="s">
        <v>10698</v>
      </c>
      <c r="D4728" s="162" t="s">
        <v>10694</v>
      </c>
      <c r="F4728" s="162">
        <v>4954</v>
      </c>
      <c r="G4728" s="162">
        <v>1</v>
      </c>
    </row>
    <row r="4729" spans="2:7" ht="28.8">
      <c r="B4729" s="162" t="s">
        <v>697</v>
      </c>
      <c r="C4729" s="162" t="s">
        <v>10699</v>
      </c>
      <c r="D4729" s="162" t="s">
        <v>10694</v>
      </c>
      <c r="F4729" s="162">
        <v>5138</v>
      </c>
      <c r="G4729" s="162">
        <v>1</v>
      </c>
    </row>
    <row r="4730" spans="2:7" ht="28.8">
      <c r="B4730" s="162" t="s">
        <v>697</v>
      </c>
      <c r="C4730" s="162" t="s">
        <v>10601</v>
      </c>
      <c r="D4730" s="162" t="s">
        <v>10694</v>
      </c>
      <c r="F4730" s="162">
        <v>52</v>
      </c>
      <c r="G4730" s="162">
        <v>1</v>
      </c>
    </row>
    <row r="4731" spans="2:7" ht="28.8">
      <c r="B4731" s="162" t="s">
        <v>697</v>
      </c>
      <c r="C4731" s="162" t="s">
        <v>10700</v>
      </c>
      <c r="D4731" s="162" t="s">
        <v>10694</v>
      </c>
      <c r="F4731" s="162">
        <v>8688</v>
      </c>
      <c r="G4731" s="162">
        <v>1</v>
      </c>
    </row>
    <row r="4732" spans="2:7" ht="28.8">
      <c r="B4732" s="162" t="s">
        <v>697</v>
      </c>
      <c r="C4732" s="162" t="s">
        <v>10701</v>
      </c>
      <c r="D4732" s="162" t="s">
        <v>10694</v>
      </c>
      <c r="F4732" s="162">
        <v>8688</v>
      </c>
      <c r="G4732" s="162">
        <v>1</v>
      </c>
    </row>
    <row r="4733" spans="2:7" ht="28.8">
      <c r="B4733" s="162" t="s">
        <v>697</v>
      </c>
      <c r="C4733" s="162" t="s">
        <v>10702</v>
      </c>
      <c r="D4733" s="162" t="s">
        <v>10694</v>
      </c>
      <c r="F4733" s="162">
        <v>8988</v>
      </c>
      <c r="G4733" s="162">
        <v>1</v>
      </c>
    </row>
    <row r="4734" spans="2:7" ht="28.8">
      <c r="B4734" s="162" t="s">
        <v>697</v>
      </c>
      <c r="C4734" s="162" t="s">
        <v>10703</v>
      </c>
      <c r="D4734" s="162" t="s">
        <v>10694</v>
      </c>
      <c r="F4734" s="162">
        <v>9104</v>
      </c>
      <c r="G4734" s="162">
        <v>1</v>
      </c>
    </row>
    <row r="4735" spans="2:7" ht="28.8">
      <c r="B4735" s="162" t="s">
        <v>697</v>
      </c>
      <c r="C4735" s="162" t="s">
        <v>10704</v>
      </c>
      <c r="D4735" s="162" t="s">
        <v>10694</v>
      </c>
      <c r="F4735" s="162">
        <v>9104</v>
      </c>
      <c r="G4735" s="162">
        <v>1</v>
      </c>
    </row>
    <row r="4736" spans="2:7" ht="28.8">
      <c r="B4736" s="162" t="s">
        <v>697</v>
      </c>
      <c r="C4736" s="162" t="s">
        <v>10705</v>
      </c>
      <c r="D4736" s="162" t="s">
        <v>10694</v>
      </c>
      <c r="F4736" s="162">
        <v>9404</v>
      </c>
      <c r="G4736" s="162">
        <v>1</v>
      </c>
    </row>
    <row r="4737" spans="2:7" ht="28.8">
      <c r="B4737" s="162" t="s">
        <v>697</v>
      </c>
      <c r="C4737" s="162" t="s">
        <v>10706</v>
      </c>
      <c r="D4737" s="162" t="s">
        <v>10694</v>
      </c>
      <c r="F4737" s="162">
        <v>12838</v>
      </c>
      <c r="G4737" s="162">
        <v>1</v>
      </c>
    </row>
    <row r="4738" spans="2:7" ht="28.8">
      <c r="B4738" s="162" t="s">
        <v>697</v>
      </c>
      <c r="C4738" s="162" t="s">
        <v>10707</v>
      </c>
      <c r="D4738" s="162" t="s">
        <v>10694</v>
      </c>
      <c r="F4738" s="162">
        <v>12838</v>
      </c>
      <c r="G4738" s="162">
        <v>1</v>
      </c>
    </row>
    <row r="4739" spans="2:7" ht="28.8">
      <c r="B4739" s="162" t="s">
        <v>697</v>
      </c>
      <c r="C4739" s="162" t="s">
        <v>10708</v>
      </c>
      <c r="D4739" s="162" t="s">
        <v>10694</v>
      </c>
      <c r="F4739" s="162">
        <v>13254</v>
      </c>
      <c r="G4739" s="162">
        <v>1</v>
      </c>
    </row>
    <row r="4740" spans="2:7" ht="28.8">
      <c r="B4740" s="162" t="s">
        <v>697</v>
      </c>
      <c r="C4740" s="162" t="s">
        <v>10709</v>
      </c>
      <c r="D4740" s="162" t="s">
        <v>10694</v>
      </c>
      <c r="F4740" s="162">
        <v>13254</v>
      </c>
      <c r="G4740" s="162">
        <v>1</v>
      </c>
    </row>
    <row r="4741" spans="2:7" ht="28.8">
      <c r="B4741" s="162" t="s">
        <v>697</v>
      </c>
      <c r="C4741" s="162" t="s">
        <v>10710</v>
      </c>
      <c r="D4741" s="162" t="s">
        <v>10694</v>
      </c>
      <c r="F4741" s="162">
        <v>13254</v>
      </c>
      <c r="G4741" s="162">
        <v>1</v>
      </c>
    </row>
    <row r="4742" spans="2:7" ht="28.8">
      <c r="B4742" s="162" t="s">
        <v>697</v>
      </c>
      <c r="C4742" s="162" t="s">
        <v>10711</v>
      </c>
      <c r="D4742" s="162" t="s">
        <v>10694</v>
      </c>
      <c r="F4742" s="162">
        <v>13670</v>
      </c>
      <c r="G4742" s="162">
        <v>1</v>
      </c>
    </row>
    <row r="4743" spans="2:7" ht="28.8">
      <c r="B4743" s="162" t="s">
        <v>697</v>
      </c>
      <c r="C4743" s="162" t="s">
        <v>10712</v>
      </c>
      <c r="D4743" s="162" t="s">
        <v>10694</v>
      </c>
      <c r="F4743" s="162">
        <v>16988</v>
      </c>
      <c r="G4743" s="162">
        <v>1</v>
      </c>
    </row>
    <row r="4744" spans="2:7" ht="28.8">
      <c r="B4744" s="162" t="s">
        <v>697</v>
      </c>
      <c r="C4744" s="162" t="s">
        <v>10713</v>
      </c>
      <c r="D4744" s="162" t="s">
        <v>10714</v>
      </c>
      <c r="F4744" s="162">
        <v>16988</v>
      </c>
      <c r="G4744" s="162">
        <v>1</v>
      </c>
    </row>
    <row r="4745" spans="2:7" ht="28.8">
      <c r="B4745" s="162" t="s">
        <v>697</v>
      </c>
      <c r="C4745" s="162" t="s">
        <v>10715</v>
      </c>
      <c r="D4745" s="162" t="s">
        <v>10716</v>
      </c>
      <c r="F4745" s="162">
        <v>17404</v>
      </c>
      <c r="G4745" s="162">
        <v>1</v>
      </c>
    </row>
    <row r="4746" spans="2:7" ht="28.8">
      <c r="B4746" s="162" t="s">
        <v>697</v>
      </c>
      <c r="C4746" s="162" t="s">
        <v>10717</v>
      </c>
      <c r="D4746" s="162" t="s">
        <v>10718</v>
      </c>
      <c r="F4746" s="162">
        <v>17404</v>
      </c>
      <c r="G4746" s="162">
        <v>1</v>
      </c>
    </row>
    <row r="4747" spans="2:7" ht="28.8">
      <c r="B4747" s="162" t="s">
        <v>697</v>
      </c>
      <c r="C4747" s="162" t="s">
        <v>10719</v>
      </c>
      <c r="D4747" s="162" t="s">
        <v>10720</v>
      </c>
      <c r="F4747" s="162">
        <v>17404</v>
      </c>
      <c r="G4747" s="162">
        <v>1</v>
      </c>
    </row>
    <row r="4748" spans="2:7" ht="43.2">
      <c r="B4748" s="162" t="s">
        <v>697</v>
      </c>
      <c r="C4748" s="162" t="s">
        <v>10721</v>
      </c>
      <c r="D4748" s="162" t="s">
        <v>10722</v>
      </c>
      <c r="F4748" s="162">
        <v>17820</v>
      </c>
      <c r="G4748" s="162">
        <v>1</v>
      </c>
    </row>
    <row r="4749" spans="2:7" ht="43.2">
      <c r="B4749" s="162" t="s">
        <v>697</v>
      </c>
      <c r="C4749" s="162" t="s">
        <v>10723</v>
      </c>
      <c r="D4749" s="162" t="s">
        <v>10724</v>
      </c>
      <c r="F4749" s="162">
        <v>1760</v>
      </c>
      <c r="G4749" s="162">
        <v>1</v>
      </c>
    </row>
    <row r="4750" spans="2:7" ht="28.8">
      <c r="B4750" s="162" t="s">
        <v>697</v>
      </c>
      <c r="C4750" s="162" t="s">
        <v>10725</v>
      </c>
      <c r="D4750" s="162" t="s">
        <v>10726</v>
      </c>
      <c r="F4750" s="162">
        <v>1948</v>
      </c>
      <c r="G4750" s="162">
        <v>1</v>
      </c>
    </row>
    <row r="4751" spans="2:7" ht="43.2">
      <c r="B4751" s="162" t="s">
        <v>697</v>
      </c>
      <c r="C4751" s="162" t="s">
        <v>10727</v>
      </c>
      <c r="D4751" s="162" t="s">
        <v>10728</v>
      </c>
      <c r="F4751" s="162">
        <v>3358</v>
      </c>
      <c r="G4751" s="162">
        <v>1</v>
      </c>
    </row>
    <row r="4752" spans="2:7" ht="28.8">
      <c r="B4752" s="162" t="s">
        <v>697</v>
      </c>
      <c r="C4752" s="162" t="s">
        <v>10729</v>
      </c>
      <c r="D4752" s="162" t="s">
        <v>10730</v>
      </c>
      <c r="F4752" s="162">
        <v>3664</v>
      </c>
      <c r="G4752" s="162">
        <v>1</v>
      </c>
    </row>
    <row r="4753" spans="2:7" ht="43.2">
      <c r="B4753" s="162" t="s">
        <v>697</v>
      </c>
      <c r="C4753" s="162" t="s">
        <v>10731</v>
      </c>
      <c r="D4753" s="162" t="s">
        <v>10732</v>
      </c>
      <c r="F4753" s="162">
        <v>4954</v>
      </c>
      <c r="G4753" s="162">
        <v>1</v>
      </c>
    </row>
    <row r="4754" spans="2:7" ht="28.8">
      <c r="B4754" s="162" t="s">
        <v>697</v>
      </c>
      <c r="C4754" s="162" t="s">
        <v>10733</v>
      </c>
      <c r="D4754" s="162" t="s">
        <v>10734</v>
      </c>
      <c r="F4754" s="162">
        <v>5382</v>
      </c>
      <c r="G4754" s="162">
        <v>1</v>
      </c>
    </row>
    <row r="4755" spans="2:7" ht="43.2">
      <c r="B4755" s="162" t="s">
        <v>697</v>
      </c>
      <c r="C4755" s="162" t="s">
        <v>10735</v>
      </c>
      <c r="D4755" s="162" t="s">
        <v>10736</v>
      </c>
      <c r="F4755" s="162">
        <v>6552</v>
      </c>
      <c r="G4755" s="162">
        <v>1</v>
      </c>
    </row>
    <row r="4756" spans="2:7" ht="28.8">
      <c r="B4756" s="162" t="s">
        <v>697</v>
      </c>
      <c r="C4756" s="162" t="s">
        <v>10737</v>
      </c>
      <c r="D4756" s="162" t="s">
        <v>10738</v>
      </c>
      <c r="F4756" s="162">
        <v>7098</v>
      </c>
      <c r="G4756" s="162">
        <v>1</v>
      </c>
    </row>
    <row r="4757" spans="2:7" ht="57.6">
      <c r="B4757" s="162" t="s">
        <v>697</v>
      </c>
      <c r="C4757" s="162" t="s">
        <v>10739</v>
      </c>
      <c r="D4757" s="162" t="s">
        <v>10740</v>
      </c>
      <c r="F4757" s="162">
        <v>5500</v>
      </c>
      <c r="G4757" s="162">
        <v>1</v>
      </c>
    </row>
    <row r="4758" spans="2:7" ht="57.6">
      <c r="B4758" s="162" t="s">
        <v>697</v>
      </c>
      <c r="C4758" s="162" t="s">
        <v>10741</v>
      </c>
      <c r="D4758" s="162" t="s">
        <v>10742</v>
      </c>
      <c r="F4758" s="162">
        <v>2300</v>
      </c>
      <c r="G4758" s="162">
        <v>1</v>
      </c>
    </row>
    <row r="4759" spans="2:7" ht="28.8">
      <c r="B4759" s="162" t="s">
        <v>697</v>
      </c>
      <c r="C4759" s="162" t="s">
        <v>10743</v>
      </c>
      <c r="D4759" s="162" t="s">
        <v>10744</v>
      </c>
      <c r="F4759" s="162">
        <v>7100</v>
      </c>
      <c r="G4759" s="162">
        <v>1</v>
      </c>
    </row>
    <row r="4760" spans="2:7" ht="28.8">
      <c r="B4760" s="162" t="s">
        <v>697</v>
      </c>
      <c r="C4760" s="162" t="s">
        <v>10745</v>
      </c>
      <c r="D4760" s="162" t="s">
        <v>10746</v>
      </c>
      <c r="F4760" s="162">
        <v>7100</v>
      </c>
      <c r="G4760" s="162">
        <v>1</v>
      </c>
    </row>
    <row r="4761" spans="2:7" ht="28.8">
      <c r="B4761" s="162" t="s">
        <v>697</v>
      </c>
      <c r="C4761" s="162" t="s">
        <v>10747</v>
      </c>
      <c r="D4761" s="162" t="s">
        <v>10748</v>
      </c>
      <c r="F4761" s="162">
        <v>7282</v>
      </c>
      <c r="G4761" s="162">
        <v>1</v>
      </c>
    </row>
    <row r="4762" spans="2:7" ht="28.8">
      <c r="B4762" s="162" t="s">
        <v>697</v>
      </c>
      <c r="C4762" s="162" t="s">
        <v>10749</v>
      </c>
      <c r="D4762" s="162" t="s">
        <v>10750</v>
      </c>
      <c r="F4762" s="162">
        <v>7950</v>
      </c>
      <c r="G4762" s="162">
        <v>1</v>
      </c>
    </row>
    <row r="4763" spans="2:7" ht="28.8">
      <c r="B4763" s="162" t="s">
        <v>697</v>
      </c>
      <c r="C4763" s="162" t="s">
        <v>10751</v>
      </c>
      <c r="D4763" s="162" t="s">
        <v>10752</v>
      </c>
      <c r="F4763" s="162">
        <v>7950</v>
      </c>
      <c r="G4763" s="162">
        <v>1</v>
      </c>
    </row>
    <row r="4764" spans="2:7" ht="28.8">
      <c r="B4764" s="162" t="s">
        <v>697</v>
      </c>
      <c r="C4764" s="162" t="s">
        <v>10753</v>
      </c>
      <c r="D4764" s="162" t="s">
        <v>10754</v>
      </c>
      <c r="F4764" s="162">
        <v>8134</v>
      </c>
      <c r="G4764" s="162">
        <v>1</v>
      </c>
    </row>
    <row r="4765" spans="2:7" ht="28.8">
      <c r="B4765" s="162" t="s">
        <v>697</v>
      </c>
      <c r="C4765" s="162" t="s">
        <v>10755</v>
      </c>
      <c r="D4765" s="162" t="s">
        <v>10756</v>
      </c>
      <c r="F4765" s="162">
        <v>6626</v>
      </c>
      <c r="G4765" s="162">
        <v>1</v>
      </c>
    </row>
    <row r="4766" spans="2:7" ht="28.8">
      <c r="B4766" s="162" t="s">
        <v>697</v>
      </c>
      <c r="C4766" s="162" t="s">
        <v>10757</v>
      </c>
      <c r="D4766" s="162" t="s">
        <v>10758</v>
      </c>
      <c r="F4766" s="162">
        <v>6626</v>
      </c>
      <c r="G4766" s="162">
        <v>1</v>
      </c>
    </row>
    <row r="4767" spans="2:7" ht="28.8">
      <c r="B4767" s="162" t="s">
        <v>697</v>
      </c>
      <c r="C4767" s="162" t="s">
        <v>10759</v>
      </c>
      <c r="D4767" s="162" t="s">
        <v>10760</v>
      </c>
      <c r="F4767" s="162">
        <v>6742</v>
      </c>
      <c r="G4767" s="162">
        <v>1</v>
      </c>
    </row>
    <row r="4768" spans="2:7" ht="28.8">
      <c r="B4768" s="162" t="s">
        <v>697</v>
      </c>
      <c r="C4768" s="162" t="s">
        <v>10761</v>
      </c>
      <c r="D4768" s="162" t="s">
        <v>10762</v>
      </c>
      <c r="F4768" s="162">
        <v>9466</v>
      </c>
      <c r="G4768" s="162">
        <v>1</v>
      </c>
    </row>
    <row r="4769" spans="2:7" ht="28.8">
      <c r="B4769" s="162" t="s">
        <v>697</v>
      </c>
      <c r="C4769" s="162" t="s">
        <v>10763</v>
      </c>
      <c r="D4769" s="162" t="s">
        <v>10764</v>
      </c>
      <c r="F4769" s="162">
        <v>9466</v>
      </c>
      <c r="G4769" s="162">
        <v>1</v>
      </c>
    </row>
    <row r="4770" spans="2:7" ht="28.8">
      <c r="B4770" s="162" t="s">
        <v>697</v>
      </c>
      <c r="C4770" s="162" t="s">
        <v>10765</v>
      </c>
      <c r="D4770" s="162" t="s">
        <v>10766</v>
      </c>
      <c r="F4770" s="162">
        <v>9762</v>
      </c>
      <c r="G4770" s="162">
        <v>1</v>
      </c>
    </row>
    <row r="4771" spans="2:7" ht="28.8">
      <c r="B4771" s="162" t="s">
        <v>697</v>
      </c>
      <c r="C4771" s="162" t="s">
        <v>10767</v>
      </c>
      <c r="D4771" s="162" t="s">
        <v>10768</v>
      </c>
      <c r="F4771" s="162">
        <v>10320</v>
      </c>
      <c r="G4771" s="162">
        <v>1</v>
      </c>
    </row>
    <row r="4772" spans="2:7" ht="28.8">
      <c r="B4772" s="162" t="s">
        <v>697</v>
      </c>
      <c r="C4772" s="162" t="s">
        <v>10769</v>
      </c>
      <c r="D4772" s="162" t="s">
        <v>10770</v>
      </c>
      <c r="F4772" s="162">
        <v>10320</v>
      </c>
      <c r="G4772" s="162">
        <v>1</v>
      </c>
    </row>
    <row r="4773" spans="2:7" ht="28.8">
      <c r="B4773" s="162" t="s">
        <v>697</v>
      </c>
      <c r="C4773" s="162" t="s">
        <v>10771</v>
      </c>
      <c r="D4773" s="162" t="s">
        <v>10772</v>
      </c>
      <c r="F4773" s="162">
        <v>10616</v>
      </c>
      <c r="G4773" s="162">
        <v>1</v>
      </c>
    </row>
    <row r="4774" spans="2:7" ht="28.8">
      <c r="B4774" s="162" t="s">
        <v>697</v>
      </c>
      <c r="C4774" s="162" t="s">
        <v>10773</v>
      </c>
      <c r="D4774" s="162" t="s">
        <v>10774</v>
      </c>
      <c r="F4774" s="162">
        <v>8994</v>
      </c>
      <c r="G4774" s="162">
        <v>1</v>
      </c>
    </row>
    <row r="4775" spans="2:7" ht="28.8">
      <c r="B4775" s="162" t="s">
        <v>697</v>
      </c>
      <c r="C4775" s="162" t="s">
        <v>10775</v>
      </c>
      <c r="D4775" s="162" t="s">
        <v>10776</v>
      </c>
      <c r="F4775" s="162">
        <v>8994</v>
      </c>
      <c r="G4775" s="162">
        <v>1</v>
      </c>
    </row>
    <row r="4776" spans="2:7" ht="28.8">
      <c r="B4776" s="162" t="s">
        <v>697</v>
      </c>
      <c r="C4776" s="162" t="s">
        <v>10777</v>
      </c>
      <c r="D4776" s="162" t="s">
        <v>10778</v>
      </c>
      <c r="F4776" s="162">
        <v>9290</v>
      </c>
      <c r="G4776" s="162">
        <v>1</v>
      </c>
    </row>
    <row r="4777" spans="2:7" ht="28.8">
      <c r="B4777" s="162" t="s">
        <v>697</v>
      </c>
      <c r="C4777" s="162" t="s">
        <v>10779</v>
      </c>
      <c r="D4777" s="162" t="s">
        <v>10780</v>
      </c>
      <c r="F4777" s="162">
        <v>13724</v>
      </c>
      <c r="G4777" s="162">
        <v>1</v>
      </c>
    </row>
    <row r="4778" spans="2:7" ht="28.8">
      <c r="B4778" s="162" t="s">
        <v>697</v>
      </c>
      <c r="C4778" s="162" t="s">
        <v>10781</v>
      </c>
      <c r="D4778" s="162" t="s">
        <v>10782</v>
      </c>
      <c r="F4778" s="162">
        <v>13724</v>
      </c>
      <c r="G4778" s="162">
        <v>1</v>
      </c>
    </row>
    <row r="4779" spans="2:7" ht="28.8">
      <c r="B4779" s="162" t="s">
        <v>697</v>
      </c>
      <c r="C4779" s="162" t="s">
        <v>10783</v>
      </c>
      <c r="D4779" s="162" t="s">
        <v>10784</v>
      </c>
      <c r="F4779" s="162">
        <v>14020</v>
      </c>
      <c r="G4779" s="162">
        <v>1</v>
      </c>
    </row>
    <row r="4780" spans="2:7" ht="28.8">
      <c r="B4780" s="162" t="s">
        <v>697</v>
      </c>
      <c r="C4780" s="162" t="s">
        <v>10785</v>
      </c>
      <c r="D4780" s="162" t="s">
        <v>10786</v>
      </c>
      <c r="F4780" s="162">
        <v>14576</v>
      </c>
      <c r="G4780" s="162">
        <v>1</v>
      </c>
    </row>
    <row r="4781" spans="2:7" ht="28.8">
      <c r="B4781" s="162" t="s">
        <v>697</v>
      </c>
      <c r="C4781" s="162" t="s">
        <v>10787</v>
      </c>
      <c r="D4781" s="162" t="s">
        <v>10788</v>
      </c>
      <c r="F4781" s="162">
        <v>14576</v>
      </c>
      <c r="G4781" s="162">
        <v>1</v>
      </c>
    </row>
    <row r="4782" spans="2:7" ht="28.8">
      <c r="B4782" s="162" t="s">
        <v>697</v>
      </c>
      <c r="C4782" s="162" t="s">
        <v>10789</v>
      </c>
      <c r="D4782" s="162" t="s">
        <v>10790</v>
      </c>
      <c r="F4782" s="162">
        <v>14870</v>
      </c>
      <c r="G4782" s="162">
        <v>1</v>
      </c>
    </row>
    <row r="4783" spans="2:7" ht="28.8">
      <c r="B4783" s="162" t="s">
        <v>697</v>
      </c>
      <c r="C4783" s="162" t="s">
        <v>10791</v>
      </c>
      <c r="D4783" s="162" t="s">
        <v>10792</v>
      </c>
      <c r="F4783" s="162">
        <v>16090</v>
      </c>
      <c r="G4783" s="162">
        <v>1</v>
      </c>
    </row>
    <row r="4784" spans="2:7" ht="28.8">
      <c r="B4784" s="162" t="s">
        <v>697</v>
      </c>
      <c r="C4784" s="162" t="s">
        <v>10793</v>
      </c>
      <c r="D4784" s="162" t="s">
        <v>10794</v>
      </c>
      <c r="F4784" s="162">
        <v>16090</v>
      </c>
      <c r="G4784" s="162">
        <v>1</v>
      </c>
    </row>
    <row r="4785" spans="2:7" ht="28.8">
      <c r="B4785" s="162" t="s">
        <v>697</v>
      </c>
      <c r="C4785" s="162" t="s">
        <v>10795</v>
      </c>
      <c r="D4785" s="162" t="s">
        <v>10796</v>
      </c>
      <c r="F4785" s="162">
        <v>16498</v>
      </c>
      <c r="G4785" s="162">
        <v>1</v>
      </c>
    </row>
    <row r="4786" spans="2:7" ht="28.8">
      <c r="B4786" s="162" t="s">
        <v>697</v>
      </c>
      <c r="C4786" s="162" t="s">
        <v>10797</v>
      </c>
      <c r="D4786" s="162" t="s">
        <v>10798</v>
      </c>
      <c r="F4786" s="162">
        <v>16942</v>
      </c>
      <c r="G4786" s="162">
        <v>1</v>
      </c>
    </row>
    <row r="4787" spans="2:7" ht="28.8">
      <c r="B4787" s="162" t="s">
        <v>697</v>
      </c>
      <c r="C4787" s="162" t="s">
        <v>10799</v>
      </c>
      <c r="D4787" s="162" t="s">
        <v>10800</v>
      </c>
      <c r="F4787" s="162">
        <v>16942</v>
      </c>
      <c r="G4787" s="162">
        <v>1</v>
      </c>
    </row>
    <row r="4788" spans="2:7" ht="43.2">
      <c r="B4788" s="162" t="s">
        <v>697</v>
      </c>
      <c r="C4788" s="162" t="s">
        <v>10801</v>
      </c>
      <c r="D4788" s="162" t="s">
        <v>10802</v>
      </c>
      <c r="F4788" s="162">
        <v>17350</v>
      </c>
      <c r="G4788" s="162">
        <v>1</v>
      </c>
    </row>
    <row r="4789" spans="2:7" ht="28.8">
      <c r="B4789" s="162" t="s">
        <v>697</v>
      </c>
      <c r="C4789" s="162" t="s">
        <v>10803</v>
      </c>
      <c r="D4789" s="162" t="s">
        <v>10804</v>
      </c>
      <c r="F4789" s="162">
        <v>20350</v>
      </c>
      <c r="G4789" s="162">
        <v>1</v>
      </c>
    </row>
    <row r="4790" spans="2:7" ht="28.8">
      <c r="B4790" s="162" t="s">
        <v>697</v>
      </c>
      <c r="C4790" s="162" t="s">
        <v>10805</v>
      </c>
      <c r="D4790" s="162" t="s">
        <v>10806</v>
      </c>
      <c r="F4790" s="162">
        <v>20350</v>
      </c>
      <c r="G4790" s="162">
        <v>1</v>
      </c>
    </row>
    <row r="4791" spans="2:7" ht="28.8">
      <c r="B4791" s="162" t="s">
        <v>697</v>
      </c>
      <c r="C4791" s="162" t="s">
        <v>10807</v>
      </c>
      <c r="D4791" s="162" t="s">
        <v>10808</v>
      </c>
      <c r="F4791" s="162">
        <v>20758</v>
      </c>
      <c r="G4791" s="162">
        <v>1</v>
      </c>
    </row>
    <row r="4792" spans="2:7" ht="28.8">
      <c r="B4792" s="162" t="s">
        <v>697</v>
      </c>
      <c r="C4792" s="162" t="s">
        <v>10809</v>
      </c>
      <c r="D4792" s="162" t="s">
        <v>10810</v>
      </c>
      <c r="F4792" s="162">
        <v>21200</v>
      </c>
      <c r="G4792" s="162">
        <v>1</v>
      </c>
    </row>
    <row r="4793" spans="2:7" ht="28.8">
      <c r="B4793" s="162" t="s">
        <v>697</v>
      </c>
      <c r="C4793" s="162" t="s">
        <v>10811</v>
      </c>
      <c r="D4793" s="162" t="s">
        <v>10812</v>
      </c>
      <c r="F4793" s="162">
        <v>21200</v>
      </c>
      <c r="G4793" s="162">
        <v>1</v>
      </c>
    </row>
    <row r="4794" spans="2:7" ht="28.8">
      <c r="B4794" s="162" t="s">
        <v>697</v>
      </c>
      <c r="C4794" s="162" t="s">
        <v>10813</v>
      </c>
      <c r="D4794" s="162" t="s">
        <v>10814</v>
      </c>
      <c r="F4794" s="162">
        <v>21610</v>
      </c>
      <c r="G4794" s="162">
        <v>1</v>
      </c>
    </row>
    <row r="4795" spans="2:7" ht="28.8">
      <c r="B4795" s="162" t="s">
        <v>697</v>
      </c>
      <c r="C4795" s="162" t="s">
        <v>10815</v>
      </c>
      <c r="D4795" s="162" t="s">
        <v>10816</v>
      </c>
      <c r="F4795" s="162">
        <v>22712</v>
      </c>
      <c r="G4795" s="162">
        <v>1</v>
      </c>
    </row>
    <row r="4796" spans="2:7" ht="28.8">
      <c r="B4796" s="162" t="s">
        <v>697</v>
      </c>
      <c r="C4796" s="162" t="s">
        <v>10817</v>
      </c>
      <c r="D4796" s="162" t="s">
        <v>10818</v>
      </c>
      <c r="F4796" s="162">
        <v>22712</v>
      </c>
      <c r="G4796" s="162">
        <v>1</v>
      </c>
    </row>
    <row r="4797" spans="2:7" ht="28.8">
      <c r="B4797" s="162" t="s">
        <v>697</v>
      </c>
      <c r="C4797" s="162" t="s">
        <v>10819</v>
      </c>
      <c r="D4797" s="162" t="s">
        <v>10820</v>
      </c>
      <c r="F4797" s="162">
        <v>23238</v>
      </c>
      <c r="G4797" s="162">
        <v>1</v>
      </c>
    </row>
    <row r="4798" spans="2:7" ht="28.8">
      <c r="B4798" s="162" t="s">
        <v>697</v>
      </c>
      <c r="C4798" s="162" t="s">
        <v>10821</v>
      </c>
      <c r="D4798" s="162" t="s">
        <v>10822</v>
      </c>
      <c r="F4798" s="162">
        <v>23566</v>
      </c>
      <c r="G4798" s="162">
        <v>1</v>
      </c>
    </row>
    <row r="4799" spans="2:7" ht="28.8">
      <c r="B4799" s="162" t="s">
        <v>697</v>
      </c>
      <c r="C4799" s="162" t="s">
        <v>10823</v>
      </c>
      <c r="D4799" s="162" t="s">
        <v>10824</v>
      </c>
      <c r="F4799" s="162">
        <v>23566</v>
      </c>
      <c r="G4799" s="162">
        <v>1</v>
      </c>
    </row>
    <row r="4800" spans="2:7" ht="43.2">
      <c r="B4800" s="162" t="s">
        <v>697</v>
      </c>
      <c r="C4800" s="162" t="s">
        <v>10825</v>
      </c>
      <c r="D4800" s="162" t="s">
        <v>10826</v>
      </c>
      <c r="F4800" s="162">
        <v>24090</v>
      </c>
      <c r="G4800" s="162">
        <v>1</v>
      </c>
    </row>
    <row r="4801" spans="2:7" ht="28.8">
      <c r="B4801" s="162" t="s">
        <v>697</v>
      </c>
      <c r="C4801" s="162" t="s">
        <v>10827</v>
      </c>
      <c r="D4801" s="162" t="s">
        <v>10828</v>
      </c>
      <c r="F4801" s="162">
        <v>26974</v>
      </c>
      <c r="G4801" s="162">
        <v>1</v>
      </c>
    </row>
    <row r="4802" spans="2:7" ht="28.8">
      <c r="B4802" s="162" t="s">
        <v>697</v>
      </c>
      <c r="C4802" s="162" t="s">
        <v>10829</v>
      </c>
      <c r="D4802" s="162" t="s">
        <v>10830</v>
      </c>
      <c r="F4802" s="162">
        <v>26974</v>
      </c>
      <c r="G4802" s="162">
        <v>1</v>
      </c>
    </row>
    <row r="4803" spans="2:7" ht="28.8">
      <c r="B4803" s="162" t="s">
        <v>697</v>
      </c>
      <c r="C4803" s="162" t="s">
        <v>10831</v>
      </c>
      <c r="D4803" s="162" t="s">
        <v>10832</v>
      </c>
      <c r="F4803" s="162">
        <v>27496</v>
      </c>
      <c r="G4803" s="162">
        <v>1</v>
      </c>
    </row>
    <row r="4804" spans="2:7" ht="28.8">
      <c r="B4804" s="162" t="s">
        <v>697</v>
      </c>
      <c r="C4804" s="162" t="s">
        <v>10833</v>
      </c>
      <c r="D4804" s="162" t="s">
        <v>10834</v>
      </c>
      <c r="F4804" s="162">
        <v>27824</v>
      </c>
      <c r="G4804" s="162">
        <v>1</v>
      </c>
    </row>
    <row r="4805" spans="2:7" ht="28.8">
      <c r="B4805" s="162" t="s">
        <v>697</v>
      </c>
      <c r="C4805" s="162" t="s">
        <v>10835</v>
      </c>
      <c r="D4805" s="162" t="s">
        <v>10836</v>
      </c>
      <c r="F4805" s="162">
        <v>27824</v>
      </c>
      <c r="G4805" s="162">
        <v>1</v>
      </c>
    </row>
    <row r="4806" spans="2:7" ht="28.8">
      <c r="B4806" s="162" t="s">
        <v>697</v>
      </c>
      <c r="C4806" s="162" t="s">
        <v>10837</v>
      </c>
      <c r="D4806" s="162" t="s">
        <v>10838</v>
      </c>
      <c r="F4806" s="162">
        <v>28346</v>
      </c>
      <c r="G4806" s="162">
        <v>1</v>
      </c>
    </row>
    <row r="4807" spans="2:7" ht="28.8">
      <c r="B4807" s="162" t="s">
        <v>697</v>
      </c>
      <c r="C4807" s="162" t="s">
        <v>10839</v>
      </c>
      <c r="D4807" s="162" t="s">
        <v>10840</v>
      </c>
      <c r="F4807" s="162">
        <v>7574</v>
      </c>
      <c r="G4807" s="162">
        <v>1</v>
      </c>
    </row>
    <row r="4808" spans="2:7" ht="28.8">
      <c r="B4808" s="162" t="s">
        <v>697</v>
      </c>
      <c r="C4808" s="162" t="s">
        <v>10841</v>
      </c>
      <c r="D4808" s="162" t="s">
        <v>10842</v>
      </c>
      <c r="F4808" s="162">
        <v>7574</v>
      </c>
      <c r="G4808" s="162">
        <v>1</v>
      </c>
    </row>
    <row r="4809" spans="2:7" ht="28.8">
      <c r="B4809" s="162" t="s">
        <v>697</v>
      </c>
      <c r="C4809" s="162" t="s">
        <v>10843</v>
      </c>
      <c r="D4809" s="162" t="s">
        <v>10844</v>
      </c>
      <c r="F4809" s="162">
        <v>7756</v>
      </c>
      <c r="G4809" s="162">
        <v>1</v>
      </c>
    </row>
    <row r="4810" spans="2:7" ht="28.8">
      <c r="B4810" s="162" t="s">
        <v>697</v>
      </c>
      <c r="C4810" s="162" t="s">
        <v>10845</v>
      </c>
      <c r="D4810" s="162" t="s">
        <v>10846</v>
      </c>
      <c r="F4810" s="162">
        <v>8426</v>
      </c>
      <c r="G4810" s="162">
        <v>1</v>
      </c>
    </row>
    <row r="4811" spans="2:7" ht="28.8">
      <c r="B4811" s="162" t="s">
        <v>697</v>
      </c>
      <c r="C4811" s="162" t="s">
        <v>10847</v>
      </c>
      <c r="D4811" s="162" t="s">
        <v>10848</v>
      </c>
      <c r="F4811" s="162">
        <v>8426</v>
      </c>
      <c r="G4811" s="162">
        <v>1</v>
      </c>
    </row>
    <row r="4812" spans="2:7" ht="28.8">
      <c r="B4812" s="162" t="s">
        <v>697</v>
      </c>
      <c r="C4812" s="162" t="s">
        <v>10849</v>
      </c>
      <c r="D4812" s="162" t="s">
        <v>10850</v>
      </c>
      <c r="F4812" s="162">
        <v>8610</v>
      </c>
      <c r="G4812" s="162">
        <v>1</v>
      </c>
    </row>
    <row r="4813" spans="2:7" ht="28.8">
      <c r="B4813" s="162" t="s">
        <v>697</v>
      </c>
      <c r="C4813" s="162" t="s">
        <v>10851</v>
      </c>
      <c r="D4813" s="162" t="s">
        <v>10852</v>
      </c>
      <c r="F4813" s="162">
        <v>7102</v>
      </c>
      <c r="G4813" s="162">
        <v>1</v>
      </c>
    </row>
    <row r="4814" spans="2:7" ht="28.8">
      <c r="B4814" s="162" t="s">
        <v>697</v>
      </c>
      <c r="C4814" s="162" t="s">
        <v>10853</v>
      </c>
      <c r="D4814" s="162" t="s">
        <v>10854</v>
      </c>
      <c r="F4814" s="162">
        <v>7102</v>
      </c>
      <c r="G4814" s="162">
        <v>1</v>
      </c>
    </row>
    <row r="4815" spans="2:7" ht="28.8">
      <c r="B4815" s="162" t="s">
        <v>697</v>
      </c>
      <c r="C4815" s="162" t="s">
        <v>10855</v>
      </c>
      <c r="D4815" s="162" t="s">
        <v>10856</v>
      </c>
      <c r="F4815" s="162">
        <v>7286</v>
      </c>
      <c r="G4815" s="162">
        <v>1</v>
      </c>
    </row>
    <row r="4816" spans="2:7" ht="28.8">
      <c r="B4816" s="162" t="s">
        <v>697</v>
      </c>
      <c r="C4816" s="162" t="s">
        <v>10857</v>
      </c>
      <c r="D4816" s="162" t="s">
        <v>10858</v>
      </c>
      <c r="F4816" s="162">
        <v>9940</v>
      </c>
      <c r="G4816" s="162">
        <v>1</v>
      </c>
    </row>
    <row r="4817" spans="2:7" ht="28.8">
      <c r="B4817" s="162" t="s">
        <v>697</v>
      </c>
      <c r="C4817" s="162" t="s">
        <v>10859</v>
      </c>
      <c r="D4817" s="162" t="s">
        <v>10860</v>
      </c>
      <c r="F4817" s="162">
        <v>9940</v>
      </c>
      <c r="G4817" s="162">
        <v>1</v>
      </c>
    </row>
    <row r="4818" spans="2:7" ht="28.8">
      <c r="B4818" s="162" t="s">
        <v>697</v>
      </c>
      <c r="C4818" s="162" t="s">
        <v>10861</v>
      </c>
      <c r="D4818" s="162" t="s">
        <v>10862</v>
      </c>
      <c r="F4818" s="162">
        <v>10238</v>
      </c>
      <c r="G4818" s="162">
        <v>1</v>
      </c>
    </row>
    <row r="4819" spans="2:7" ht="28.8">
      <c r="B4819" s="162" t="s">
        <v>697</v>
      </c>
      <c r="C4819" s="162" t="s">
        <v>10863</v>
      </c>
      <c r="D4819" s="162" t="s">
        <v>10864</v>
      </c>
      <c r="F4819" s="162">
        <v>10792</v>
      </c>
      <c r="G4819" s="162">
        <v>1</v>
      </c>
    </row>
    <row r="4820" spans="2:7" ht="28.8">
      <c r="B4820" s="162" t="s">
        <v>697</v>
      </c>
      <c r="C4820" s="162" t="s">
        <v>10865</v>
      </c>
      <c r="D4820" s="162" t="s">
        <v>10866</v>
      </c>
      <c r="F4820" s="162">
        <v>10792</v>
      </c>
      <c r="G4820" s="162">
        <v>1</v>
      </c>
    </row>
    <row r="4821" spans="2:7" ht="28.8">
      <c r="B4821" s="162" t="s">
        <v>697</v>
      </c>
      <c r="C4821" s="162" t="s">
        <v>10867</v>
      </c>
      <c r="D4821" s="162" t="s">
        <v>10868</v>
      </c>
      <c r="F4821" s="162">
        <v>11088</v>
      </c>
      <c r="G4821" s="162">
        <v>1</v>
      </c>
    </row>
    <row r="4822" spans="2:7" ht="28.8">
      <c r="B4822" s="162" t="s">
        <v>697</v>
      </c>
      <c r="C4822" s="162" t="s">
        <v>10869</v>
      </c>
      <c r="D4822" s="162" t="s">
        <v>10870</v>
      </c>
      <c r="F4822" s="162">
        <v>9468</v>
      </c>
      <c r="G4822" s="162">
        <v>1</v>
      </c>
    </row>
    <row r="4823" spans="2:7" ht="28.8">
      <c r="B4823" s="162" t="s">
        <v>697</v>
      </c>
      <c r="C4823" s="162" t="s">
        <v>10871</v>
      </c>
      <c r="D4823" s="162" t="s">
        <v>10872</v>
      </c>
      <c r="F4823" s="162">
        <v>9468</v>
      </c>
      <c r="G4823" s="162">
        <v>1</v>
      </c>
    </row>
    <row r="4824" spans="2:7" ht="28.8">
      <c r="B4824" s="162" t="s">
        <v>697</v>
      </c>
      <c r="C4824" s="162" t="s">
        <v>10873</v>
      </c>
      <c r="D4824" s="162" t="s">
        <v>10874</v>
      </c>
      <c r="F4824" s="162">
        <v>9766</v>
      </c>
      <c r="G4824" s="162">
        <v>1</v>
      </c>
    </row>
    <row r="4825" spans="2:7" ht="28.8">
      <c r="B4825" s="162" t="s">
        <v>697</v>
      </c>
      <c r="C4825" s="162" t="s">
        <v>10875</v>
      </c>
      <c r="D4825" s="162" t="s">
        <v>10876</v>
      </c>
      <c r="F4825" s="162">
        <v>14672</v>
      </c>
      <c r="G4825" s="162">
        <v>1</v>
      </c>
    </row>
    <row r="4826" spans="2:7" ht="28.8">
      <c r="B4826" s="162" t="s">
        <v>697</v>
      </c>
      <c r="C4826" s="162" t="s">
        <v>10877</v>
      </c>
      <c r="D4826" s="162" t="s">
        <v>10878</v>
      </c>
      <c r="F4826" s="162">
        <v>14672</v>
      </c>
      <c r="G4826" s="162">
        <v>1</v>
      </c>
    </row>
    <row r="4827" spans="2:7" ht="28.8">
      <c r="B4827" s="162" t="s">
        <v>697</v>
      </c>
      <c r="C4827" s="162" t="s">
        <v>10879</v>
      </c>
      <c r="D4827" s="162" t="s">
        <v>10880</v>
      </c>
      <c r="F4827" s="162">
        <v>14968</v>
      </c>
      <c r="G4827" s="162">
        <v>1</v>
      </c>
    </row>
    <row r="4828" spans="2:7" ht="28.8">
      <c r="B4828" s="162" t="s">
        <v>697</v>
      </c>
      <c r="C4828" s="162" t="s">
        <v>10881</v>
      </c>
      <c r="D4828" s="162" t="s">
        <v>10882</v>
      </c>
      <c r="F4828" s="162">
        <v>15522</v>
      </c>
      <c r="G4828" s="162">
        <v>1</v>
      </c>
    </row>
    <row r="4829" spans="2:7" ht="28.8">
      <c r="B4829" s="162" t="s">
        <v>697</v>
      </c>
      <c r="C4829" s="162" t="s">
        <v>10883</v>
      </c>
      <c r="D4829" s="162" t="s">
        <v>10884</v>
      </c>
      <c r="F4829" s="162">
        <v>15522</v>
      </c>
      <c r="G4829" s="162">
        <v>1</v>
      </c>
    </row>
    <row r="4830" spans="2:7" ht="28.8">
      <c r="B4830" s="162" t="s">
        <v>697</v>
      </c>
      <c r="C4830" s="162" t="s">
        <v>10885</v>
      </c>
      <c r="D4830" s="162" t="s">
        <v>10886</v>
      </c>
      <c r="F4830" s="162">
        <v>15820</v>
      </c>
      <c r="G4830" s="162">
        <v>1</v>
      </c>
    </row>
    <row r="4831" spans="2:7" ht="28.8">
      <c r="B4831" s="162" t="s">
        <v>697</v>
      </c>
      <c r="C4831" s="162" t="s">
        <v>10887</v>
      </c>
      <c r="D4831" s="162" t="s">
        <v>10888</v>
      </c>
      <c r="F4831" s="162">
        <v>17038</v>
      </c>
      <c r="G4831" s="162">
        <v>1</v>
      </c>
    </row>
    <row r="4832" spans="2:7" ht="28.8">
      <c r="B4832" s="162" t="s">
        <v>697</v>
      </c>
      <c r="C4832" s="162" t="s">
        <v>10889</v>
      </c>
      <c r="D4832" s="162" t="s">
        <v>10890</v>
      </c>
      <c r="F4832" s="162">
        <v>17038</v>
      </c>
      <c r="G4832" s="162">
        <v>1</v>
      </c>
    </row>
    <row r="4833" spans="2:7" ht="28.8">
      <c r="B4833" s="162" t="s">
        <v>697</v>
      </c>
      <c r="C4833" s="162" t="s">
        <v>10891</v>
      </c>
      <c r="D4833" s="162" t="s">
        <v>10892</v>
      </c>
      <c r="F4833" s="162">
        <v>17446</v>
      </c>
      <c r="G4833" s="162">
        <v>1</v>
      </c>
    </row>
    <row r="4834" spans="2:7" ht="28.8">
      <c r="B4834" s="162" t="s">
        <v>697</v>
      </c>
      <c r="C4834" s="162" t="s">
        <v>10893</v>
      </c>
      <c r="D4834" s="162" t="s">
        <v>10894</v>
      </c>
      <c r="F4834" s="162">
        <v>17890</v>
      </c>
      <c r="G4834" s="162">
        <v>1</v>
      </c>
    </row>
    <row r="4835" spans="2:7" ht="28.8">
      <c r="B4835" s="162" t="s">
        <v>697</v>
      </c>
      <c r="C4835" s="162" t="s">
        <v>10895</v>
      </c>
      <c r="D4835" s="162" t="s">
        <v>10896</v>
      </c>
      <c r="F4835" s="162">
        <v>17890</v>
      </c>
      <c r="G4835" s="162">
        <v>1</v>
      </c>
    </row>
    <row r="4836" spans="2:7" ht="28.8">
      <c r="B4836" s="162" t="s">
        <v>697</v>
      </c>
      <c r="C4836" s="162" t="s">
        <v>10897</v>
      </c>
      <c r="D4836" s="162" t="s">
        <v>10898</v>
      </c>
      <c r="F4836" s="162">
        <v>18298</v>
      </c>
      <c r="G4836" s="162">
        <v>1</v>
      </c>
    </row>
    <row r="4837" spans="2:7" ht="28.8">
      <c r="B4837" s="162" t="s">
        <v>697</v>
      </c>
      <c r="C4837" s="162" t="s">
        <v>10899</v>
      </c>
      <c r="D4837" s="162" t="s">
        <v>10900</v>
      </c>
      <c r="F4837" s="162">
        <v>21770</v>
      </c>
      <c r="G4837" s="162">
        <v>1</v>
      </c>
    </row>
    <row r="4838" spans="2:7" ht="28.8">
      <c r="B4838" s="162" t="s">
        <v>697</v>
      </c>
      <c r="C4838" s="162" t="s">
        <v>10901</v>
      </c>
      <c r="D4838" s="162" t="s">
        <v>10902</v>
      </c>
      <c r="F4838" s="162">
        <v>21770</v>
      </c>
      <c r="G4838" s="162">
        <v>1</v>
      </c>
    </row>
    <row r="4839" spans="2:7" ht="28.8">
      <c r="B4839" s="162" t="s">
        <v>697</v>
      </c>
      <c r="C4839" s="162" t="s">
        <v>10903</v>
      </c>
      <c r="D4839" s="162" t="s">
        <v>10904</v>
      </c>
      <c r="F4839" s="162">
        <v>22178</v>
      </c>
      <c r="G4839" s="162">
        <v>1</v>
      </c>
    </row>
    <row r="4840" spans="2:7" ht="28.8">
      <c r="B4840" s="162" t="s">
        <v>697</v>
      </c>
      <c r="C4840" s="162" t="s">
        <v>10905</v>
      </c>
      <c r="D4840" s="162" t="s">
        <v>10906</v>
      </c>
      <c r="F4840" s="162">
        <v>22622</v>
      </c>
      <c r="G4840" s="162">
        <v>1</v>
      </c>
    </row>
    <row r="4841" spans="2:7" ht="28.8">
      <c r="B4841" s="162" t="s">
        <v>697</v>
      </c>
      <c r="C4841" s="162" t="s">
        <v>10907</v>
      </c>
      <c r="D4841" s="162" t="s">
        <v>10908</v>
      </c>
      <c r="F4841" s="162">
        <v>22622</v>
      </c>
      <c r="G4841" s="162">
        <v>1</v>
      </c>
    </row>
    <row r="4842" spans="2:7" ht="28.8">
      <c r="B4842" s="162" t="s">
        <v>697</v>
      </c>
      <c r="C4842" s="162" t="s">
        <v>10909</v>
      </c>
      <c r="D4842" s="162" t="s">
        <v>10910</v>
      </c>
      <c r="F4842" s="162">
        <v>23030</v>
      </c>
      <c r="G4842" s="162">
        <v>1</v>
      </c>
    </row>
    <row r="4843" spans="2:7" ht="28.8">
      <c r="B4843" s="162" t="s">
        <v>697</v>
      </c>
      <c r="C4843" s="162" t="s">
        <v>10911</v>
      </c>
      <c r="D4843" s="162" t="s">
        <v>10912</v>
      </c>
      <c r="F4843" s="162">
        <v>24136</v>
      </c>
      <c r="G4843" s="162">
        <v>1</v>
      </c>
    </row>
    <row r="4844" spans="2:7" ht="28.8">
      <c r="B4844" s="162" t="s">
        <v>697</v>
      </c>
      <c r="C4844" s="162" t="s">
        <v>10913</v>
      </c>
      <c r="D4844" s="162" t="s">
        <v>10914</v>
      </c>
      <c r="F4844" s="162">
        <v>24136</v>
      </c>
      <c r="G4844" s="162">
        <v>1</v>
      </c>
    </row>
    <row r="4845" spans="2:7" ht="28.8">
      <c r="B4845" s="162" t="s">
        <v>697</v>
      </c>
      <c r="C4845" s="162" t="s">
        <v>10915</v>
      </c>
      <c r="D4845" s="162" t="s">
        <v>10916</v>
      </c>
      <c r="F4845" s="162">
        <v>24660</v>
      </c>
      <c r="G4845" s="162">
        <v>1</v>
      </c>
    </row>
    <row r="4846" spans="2:7" ht="28.8">
      <c r="B4846" s="162" t="s">
        <v>697</v>
      </c>
      <c r="C4846" s="162" t="s">
        <v>10917</v>
      </c>
      <c r="D4846" s="162" t="s">
        <v>10918</v>
      </c>
      <c r="F4846" s="162">
        <v>24988</v>
      </c>
      <c r="G4846" s="162">
        <v>1</v>
      </c>
    </row>
    <row r="4847" spans="2:7" ht="28.8">
      <c r="B4847" s="162" t="s">
        <v>697</v>
      </c>
      <c r="C4847" s="162" t="s">
        <v>10919</v>
      </c>
      <c r="D4847" s="162" t="s">
        <v>10920</v>
      </c>
      <c r="F4847" s="162">
        <v>24988</v>
      </c>
      <c r="G4847" s="162">
        <v>1</v>
      </c>
    </row>
    <row r="4848" spans="2:7" ht="28.8">
      <c r="B4848" s="162" t="s">
        <v>697</v>
      </c>
      <c r="C4848" s="162" t="s">
        <v>10921</v>
      </c>
      <c r="D4848" s="162" t="s">
        <v>10922</v>
      </c>
      <c r="F4848" s="162">
        <v>25510</v>
      </c>
      <c r="G4848" s="162">
        <v>1</v>
      </c>
    </row>
    <row r="4849" spans="2:7" ht="28.8">
      <c r="B4849" s="162" t="s">
        <v>697</v>
      </c>
      <c r="C4849" s="162" t="s">
        <v>10923</v>
      </c>
      <c r="D4849" s="162" t="s">
        <v>10924</v>
      </c>
      <c r="F4849" s="162">
        <v>28868</v>
      </c>
      <c r="G4849" s="162">
        <v>1</v>
      </c>
    </row>
    <row r="4850" spans="2:7" ht="28.8">
      <c r="B4850" s="162" t="s">
        <v>697</v>
      </c>
      <c r="C4850" s="162" t="s">
        <v>10925</v>
      </c>
      <c r="D4850" s="162" t="s">
        <v>10926</v>
      </c>
      <c r="F4850" s="162">
        <v>28868</v>
      </c>
      <c r="G4850" s="162">
        <v>1</v>
      </c>
    </row>
    <row r="4851" spans="2:7" ht="28.8">
      <c r="B4851" s="162" t="s">
        <v>697</v>
      </c>
      <c r="C4851" s="162" t="s">
        <v>10927</v>
      </c>
      <c r="D4851" s="162" t="s">
        <v>10880</v>
      </c>
      <c r="F4851" s="162">
        <v>29390</v>
      </c>
      <c r="G4851" s="162">
        <v>1</v>
      </c>
    </row>
    <row r="4852" spans="2:7" ht="28.8">
      <c r="B4852" s="162" t="s">
        <v>697</v>
      </c>
      <c r="C4852" s="162" t="s">
        <v>10928</v>
      </c>
      <c r="D4852" s="162" t="s">
        <v>10929</v>
      </c>
      <c r="F4852" s="162">
        <v>29720</v>
      </c>
      <c r="G4852" s="162">
        <v>1</v>
      </c>
    </row>
    <row r="4853" spans="2:7" ht="28.8">
      <c r="B4853" s="162" t="s">
        <v>697</v>
      </c>
      <c r="C4853" s="162" t="s">
        <v>10930</v>
      </c>
      <c r="D4853" s="162" t="s">
        <v>10931</v>
      </c>
      <c r="F4853" s="162">
        <v>29720</v>
      </c>
      <c r="G4853" s="162">
        <v>1</v>
      </c>
    </row>
    <row r="4854" spans="2:7" ht="28.8">
      <c r="B4854" s="162" t="s">
        <v>697</v>
      </c>
      <c r="C4854" s="162" t="s">
        <v>10932</v>
      </c>
      <c r="D4854" s="162" t="s">
        <v>10933</v>
      </c>
      <c r="F4854" s="162">
        <v>30242</v>
      </c>
      <c r="G4854" s="162">
        <v>1</v>
      </c>
    </row>
    <row r="4855" spans="2:7" ht="43.2">
      <c r="B4855" s="162" t="s">
        <v>697</v>
      </c>
      <c r="C4855" s="162" t="s">
        <v>10934</v>
      </c>
      <c r="D4855" s="162" t="s">
        <v>10935</v>
      </c>
      <c r="F4855" s="162">
        <v>1778</v>
      </c>
      <c r="G4855" s="162">
        <v>1</v>
      </c>
    </row>
    <row r="4856" spans="2:7" ht="28.8">
      <c r="B4856" s="162" t="s">
        <v>697</v>
      </c>
      <c r="C4856" s="162" t="s">
        <v>10936</v>
      </c>
      <c r="D4856" s="162" t="s">
        <v>10937</v>
      </c>
      <c r="F4856" s="162">
        <v>1968</v>
      </c>
      <c r="G4856" s="162">
        <v>1</v>
      </c>
    </row>
    <row r="4857" spans="2:7" ht="43.2">
      <c r="B4857" s="162" t="s">
        <v>697</v>
      </c>
      <c r="C4857" s="162" t="s">
        <v>10938</v>
      </c>
      <c r="D4857" s="162" t="s">
        <v>10939</v>
      </c>
      <c r="F4857" s="162">
        <v>2374</v>
      </c>
      <c r="G4857" s="162">
        <v>1</v>
      </c>
    </row>
    <row r="4858" spans="2:7" ht="28.8">
      <c r="B4858" s="162" t="s">
        <v>697</v>
      </c>
      <c r="C4858" s="162" t="s">
        <v>10940</v>
      </c>
      <c r="D4858" s="162" t="s">
        <v>10941</v>
      </c>
      <c r="F4858" s="162">
        <v>2682</v>
      </c>
      <c r="G4858" s="162">
        <v>1</v>
      </c>
    </row>
    <row r="4859" spans="2:7" ht="43.2">
      <c r="B4859" s="162" t="s">
        <v>697</v>
      </c>
      <c r="C4859" s="162" t="s">
        <v>10942</v>
      </c>
      <c r="D4859" s="162" t="s">
        <v>10943</v>
      </c>
      <c r="F4859" s="162">
        <v>3138</v>
      </c>
      <c r="G4859" s="162">
        <v>1</v>
      </c>
    </row>
    <row r="4860" spans="2:7" ht="28.8">
      <c r="B4860" s="162" t="s">
        <v>697</v>
      </c>
      <c r="C4860" s="162" t="s">
        <v>10944</v>
      </c>
      <c r="D4860" s="162" t="s">
        <v>10945</v>
      </c>
      <c r="F4860" s="162">
        <v>3448</v>
      </c>
      <c r="G4860" s="162">
        <v>1</v>
      </c>
    </row>
    <row r="4861" spans="2:7" ht="43.2">
      <c r="B4861" s="162" t="s">
        <v>697</v>
      </c>
      <c r="C4861" s="162" t="s">
        <v>10946</v>
      </c>
      <c r="D4861" s="162" t="s">
        <v>10947</v>
      </c>
      <c r="F4861" s="162">
        <v>3732</v>
      </c>
      <c r="G4861" s="162">
        <v>1</v>
      </c>
    </row>
    <row r="4862" spans="2:7" ht="28.8">
      <c r="B4862" s="162" t="s">
        <v>697</v>
      </c>
      <c r="C4862" s="162" t="s">
        <v>10948</v>
      </c>
      <c r="D4862" s="162" t="s">
        <v>10949</v>
      </c>
      <c r="F4862" s="162">
        <v>4160</v>
      </c>
      <c r="G4862" s="162">
        <v>1</v>
      </c>
    </row>
    <row r="4863" spans="2:7" ht="43.2">
      <c r="B4863" s="162" t="s">
        <v>697</v>
      </c>
      <c r="C4863" s="162" t="s">
        <v>10950</v>
      </c>
      <c r="D4863" s="162" t="s">
        <v>10951</v>
      </c>
      <c r="F4863" s="162">
        <v>4668</v>
      </c>
      <c r="G4863" s="162">
        <v>1</v>
      </c>
    </row>
    <row r="4864" spans="2:7" ht="28.8">
      <c r="B4864" s="162" t="s">
        <v>697</v>
      </c>
      <c r="C4864" s="162" t="s">
        <v>10952</v>
      </c>
      <c r="D4864" s="162" t="s">
        <v>10949</v>
      </c>
      <c r="F4864" s="162">
        <v>5094</v>
      </c>
      <c r="G4864" s="162">
        <v>1</v>
      </c>
    </row>
    <row r="4865" spans="2:7" ht="43.2">
      <c r="B4865" s="162" t="s">
        <v>697</v>
      </c>
      <c r="C4865" s="162" t="s">
        <v>10953</v>
      </c>
      <c r="D4865" s="162" t="s">
        <v>10954</v>
      </c>
      <c r="F4865" s="162">
        <v>5262</v>
      </c>
      <c r="G4865" s="162">
        <v>1</v>
      </c>
    </row>
    <row r="4866" spans="2:7" ht="28.8">
      <c r="B4866" s="162" t="s">
        <v>697</v>
      </c>
      <c r="C4866" s="162" t="s">
        <v>10955</v>
      </c>
      <c r="D4866" s="162" t="s">
        <v>10956</v>
      </c>
      <c r="F4866" s="162">
        <v>5810</v>
      </c>
      <c r="G4866" s="162">
        <v>1</v>
      </c>
    </row>
    <row r="4867" spans="2:7" ht="43.2">
      <c r="B4867" s="162" t="s">
        <v>697</v>
      </c>
      <c r="C4867" s="162" t="s">
        <v>10957</v>
      </c>
      <c r="D4867" s="162" t="s">
        <v>10958</v>
      </c>
      <c r="F4867" s="162">
        <v>6026</v>
      </c>
      <c r="G4867" s="162">
        <v>1</v>
      </c>
    </row>
    <row r="4868" spans="2:7" ht="28.8">
      <c r="B4868" s="162" t="s">
        <v>697</v>
      </c>
      <c r="C4868" s="162" t="s">
        <v>10959</v>
      </c>
      <c r="D4868" s="162" t="s">
        <v>10960</v>
      </c>
      <c r="F4868" s="162">
        <v>6570</v>
      </c>
      <c r="G4868" s="162">
        <v>1</v>
      </c>
    </row>
    <row r="4869" spans="2:7" ht="28.8">
      <c r="B4869" s="162" t="s">
        <v>697</v>
      </c>
      <c r="C4869" s="162" t="s">
        <v>10607</v>
      </c>
      <c r="D4869" s="162" t="s">
        <v>10961</v>
      </c>
      <c r="F4869" s="162">
        <v>1118</v>
      </c>
      <c r="G4869" s="162">
        <v>1</v>
      </c>
    </row>
    <row r="4870" spans="2:7" ht="43.2">
      <c r="B4870" s="162" t="s">
        <v>697</v>
      </c>
      <c r="C4870" s="162" t="s">
        <v>10962</v>
      </c>
      <c r="D4870" s="162" t="s">
        <v>10963</v>
      </c>
      <c r="F4870" s="162">
        <v>350</v>
      </c>
      <c r="G4870" s="162">
        <v>1</v>
      </c>
    </row>
    <row r="4871" spans="2:7" ht="28.8">
      <c r="B4871" s="162" t="s">
        <v>697</v>
      </c>
      <c r="C4871" s="162" t="s">
        <v>10964</v>
      </c>
      <c r="D4871" s="162" t="s">
        <v>10965</v>
      </c>
      <c r="F4871" s="162">
        <v>692</v>
      </c>
      <c r="G4871" s="162">
        <v>1</v>
      </c>
    </row>
    <row r="4872" spans="2:7" ht="43.2">
      <c r="B4872" s="162" t="s">
        <v>697</v>
      </c>
      <c r="C4872" s="162" t="s">
        <v>10966</v>
      </c>
      <c r="D4872" s="162" t="s">
        <v>10967</v>
      </c>
      <c r="F4872" s="162">
        <v>268</v>
      </c>
      <c r="G4872" s="162">
        <v>1</v>
      </c>
    </row>
    <row r="4873" spans="2:7" ht="28.8">
      <c r="B4873" s="162" t="s">
        <v>697</v>
      </c>
      <c r="C4873" s="162" t="s">
        <v>10968</v>
      </c>
      <c r="D4873" s="162" t="s">
        <v>10969</v>
      </c>
      <c r="F4873" s="162">
        <v>826</v>
      </c>
      <c r="G4873" s="162">
        <v>1</v>
      </c>
    </row>
    <row r="4874" spans="2:7" ht="28.8">
      <c r="B4874" s="162" t="s">
        <v>697</v>
      </c>
      <c r="C4874" s="162" t="s">
        <v>10970</v>
      </c>
      <c r="D4874" s="162" t="s">
        <v>10971</v>
      </c>
      <c r="F4874" s="162">
        <v>792</v>
      </c>
      <c r="G4874" s="162">
        <v>1</v>
      </c>
    </row>
    <row r="4875" spans="2:7" ht="28.8">
      <c r="B4875" s="162" t="s">
        <v>697</v>
      </c>
      <c r="C4875" s="162" t="s">
        <v>10972</v>
      </c>
      <c r="D4875" s="162" t="s">
        <v>10973</v>
      </c>
      <c r="F4875" s="162">
        <v>11018</v>
      </c>
      <c r="G4875" s="162">
        <v>1</v>
      </c>
    </row>
    <row r="4876" spans="2:7" ht="28.8">
      <c r="B4876" s="162" t="s">
        <v>697</v>
      </c>
      <c r="C4876" s="162" t="s">
        <v>10974</v>
      </c>
      <c r="D4876" s="162" t="s">
        <v>10975</v>
      </c>
      <c r="F4876" s="162">
        <v>11018</v>
      </c>
      <c r="G4876" s="162">
        <v>1</v>
      </c>
    </row>
    <row r="4877" spans="2:7" ht="28.8">
      <c r="B4877" s="162" t="s">
        <v>697</v>
      </c>
      <c r="C4877" s="162" t="s">
        <v>10976</v>
      </c>
      <c r="D4877" s="162" t="s">
        <v>10977</v>
      </c>
      <c r="F4877" s="162">
        <v>11200</v>
      </c>
      <c r="G4877" s="162">
        <v>1</v>
      </c>
    </row>
    <row r="4878" spans="2:7" ht="28.8">
      <c r="B4878" s="162" t="s">
        <v>697</v>
      </c>
      <c r="C4878" s="162" t="s">
        <v>10978</v>
      </c>
      <c r="D4878" s="162" t="s">
        <v>10979</v>
      </c>
      <c r="F4878" s="162">
        <v>11846</v>
      </c>
      <c r="G4878" s="162">
        <v>1</v>
      </c>
    </row>
    <row r="4879" spans="2:7" ht="28.8">
      <c r="B4879" s="162" t="s">
        <v>697</v>
      </c>
      <c r="C4879" s="162" t="s">
        <v>10980</v>
      </c>
      <c r="D4879" s="162" t="s">
        <v>10981</v>
      </c>
      <c r="F4879" s="162">
        <v>11846</v>
      </c>
      <c r="G4879" s="162">
        <v>1</v>
      </c>
    </row>
    <row r="4880" spans="2:7" ht="28.8">
      <c r="B4880" s="162" t="s">
        <v>697</v>
      </c>
      <c r="C4880" s="162" t="s">
        <v>10982</v>
      </c>
      <c r="D4880" s="162" t="s">
        <v>10983</v>
      </c>
      <c r="F4880" s="162">
        <v>12030</v>
      </c>
      <c r="G4880" s="162">
        <v>1</v>
      </c>
    </row>
    <row r="4881" spans="2:7" ht="28.8">
      <c r="B4881" s="162" t="s">
        <v>697</v>
      </c>
      <c r="C4881" s="162" t="s">
        <v>10970</v>
      </c>
      <c r="D4881" s="162" t="s">
        <v>10971</v>
      </c>
      <c r="F4881" s="162">
        <v>792</v>
      </c>
      <c r="G4881" s="162">
        <v>1</v>
      </c>
    </row>
    <row r="4882" spans="2:7" ht="28.8">
      <c r="B4882" s="162" t="s">
        <v>697</v>
      </c>
      <c r="C4882" s="162" t="s">
        <v>10984</v>
      </c>
      <c r="D4882" s="162" t="s">
        <v>10985</v>
      </c>
      <c r="F4882" s="162">
        <v>10560</v>
      </c>
      <c r="G4882" s="162">
        <v>1</v>
      </c>
    </row>
    <row r="4883" spans="2:7" ht="28.8">
      <c r="B4883" s="162" t="s">
        <v>697</v>
      </c>
      <c r="C4883" s="162" t="s">
        <v>10986</v>
      </c>
      <c r="D4883" s="162" t="s">
        <v>10987</v>
      </c>
      <c r="F4883" s="162">
        <v>10560</v>
      </c>
      <c r="G4883" s="162">
        <v>1</v>
      </c>
    </row>
    <row r="4884" spans="2:7" ht="28.8">
      <c r="B4884" s="162" t="s">
        <v>697</v>
      </c>
      <c r="C4884" s="162" t="s">
        <v>10988</v>
      </c>
      <c r="D4884" s="162" t="s">
        <v>10989</v>
      </c>
      <c r="F4884" s="162">
        <v>10742</v>
      </c>
      <c r="G4884" s="162">
        <v>1</v>
      </c>
    </row>
    <row r="4885" spans="2:7" ht="28.8">
      <c r="B4885" s="162" t="s">
        <v>697</v>
      </c>
      <c r="C4885" s="162" t="s">
        <v>10990</v>
      </c>
      <c r="D4885" s="162" t="s">
        <v>10991</v>
      </c>
      <c r="F4885" s="162">
        <v>9548</v>
      </c>
      <c r="G4885" s="162">
        <v>1</v>
      </c>
    </row>
    <row r="4886" spans="2:7" ht="28.8">
      <c r="B4886" s="162" t="s">
        <v>697</v>
      </c>
      <c r="C4886" s="162" t="s">
        <v>10992</v>
      </c>
      <c r="D4886" s="162" t="s">
        <v>10993</v>
      </c>
      <c r="F4886" s="162">
        <v>9548</v>
      </c>
      <c r="G4886" s="162">
        <v>1</v>
      </c>
    </row>
    <row r="4887" spans="2:7" ht="28.8">
      <c r="B4887" s="162" t="s">
        <v>697</v>
      </c>
      <c r="C4887" s="162" t="s">
        <v>10994</v>
      </c>
      <c r="D4887" s="162" t="s">
        <v>10995</v>
      </c>
      <c r="F4887" s="162">
        <v>9730</v>
      </c>
      <c r="G4887" s="162">
        <v>1</v>
      </c>
    </row>
    <row r="4888" spans="2:7" ht="28.8">
      <c r="B4888" s="162" t="s">
        <v>697</v>
      </c>
      <c r="C4888" s="162" t="s">
        <v>10996</v>
      </c>
      <c r="D4888" s="162" t="s">
        <v>10997</v>
      </c>
      <c r="F4888" s="162">
        <v>21576</v>
      </c>
      <c r="G4888" s="162">
        <v>1</v>
      </c>
    </row>
    <row r="4889" spans="2:7" ht="28.8">
      <c r="B4889" s="162" t="s">
        <v>697</v>
      </c>
      <c r="C4889" s="162" t="s">
        <v>10998</v>
      </c>
      <c r="D4889" s="162" t="s">
        <v>10999</v>
      </c>
      <c r="F4889" s="162">
        <v>21576</v>
      </c>
      <c r="G4889" s="162">
        <v>1</v>
      </c>
    </row>
    <row r="4890" spans="2:7" ht="28.8">
      <c r="B4890" s="162" t="s">
        <v>697</v>
      </c>
      <c r="C4890" s="162" t="s">
        <v>11000</v>
      </c>
      <c r="D4890" s="162" t="s">
        <v>11001</v>
      </c>
      <c r="F4890" s="162">
        <v>21942</v>
      </c>
      <c r="G4890" s="162">
        <v>1</v>
      </c>
    </row>
    <row r="4891" spans="2:7" ht="28.8">
      <c r="B4891" s="162" t="s">
        <v>697</v>
      </c>
      <c r="C4891" s="162" t="s">
        <v>11002</v>
      </c>
      <c r="D4891" s="162" t="s">
        <v>11003</v>
      </c>
      <c r="F4891" s="162">
        <v>22404</v>
      </c>
      <c r="G4891" s="162">
        <v>1</v>
      </c>
    </row>
    <row r="4892" spans="2:7" ht="28.8">
      <c r="B4892" s="162" t="s">
        <v>697</v>
      </c>
      <c r="C4892" s="162" t="s">
        <v>11004</v>
      </c>
      <c r="D4892" s="162" t="s">
        <v>11005</v>
      </c>
      <c r="F4892" s="162">
        <v>22404</v>
      </c>
      <c r="G4892" s="162">
        <v>1</v>
      </c>
    </row>
    <row r="4893" spans="2:7" ht="28.8">
      <c r="B4893" s="162" t="s">
        <v>697</v>
      </c>
      <c r="C4893" s="162" t="s">
        <v>11006</v>
      </c>
      <c r="D4893" s="162" t="s">
        <v>11007</v>
      </c>
      <c r="F4893" s="162">
        <v>22770</v>
      </c>
      <c r="G4893" s="162">
        <v>1</v>
      </c>
    </row>
    <row r="4894" spans="2:7" ht="28.8">
      <c r="B4894" s="162" t="s">
        <v>697</v>
      </c>
      <c r="C4894" s="162" t="s">
        <v>10970</v>
      </c>
      <c r="D4894" s="162" t="s">
        <v>10971</v>
      </c>
      <c r="F4894" s="162">
        <v>792</v>
      </c>
      <c r="G4894" s="162">
        <v>1</v>
      </c>
    </row>
    <row r="4895" spans="2:7" ht="28.8">
      <c r="B4895" s="162" t="s">
        <v>697</v>
      </c>
      <c r="C4895" s="162" t="s">
        <v>11008</v>
      </c>
      <c r="D4895" s="162" t="s">
        <v>11009</v>
      </c>
      <c r="F4895" s="162">
        <v>31122</v>
      </c>
      <c r="G4895" s="162">
        <v>1</v>
      </c>
    </row>
    <row r="4896" spans="2:7" ht="28.8">
      <c r="B4896" s="162" t="s">
        <v>697</v>
      </c>
      <c r="C4896" s="162" t="s">
        <v>11010</v>
      </c>
      <c r="D4896" s="162" t="s">
        <v>11011</v>
      </c>
      <c r="F4896" s="162">
        <v>31122</v>
      </c>
      <c r="G4896" s="162">
        <v>1</v>
      </c>
    </row>
    <row r="4897" spans="2:7" ht="28.8">
      <c r="B4897" s="162" t="s">
        <v>697</v>
      </c>
      <c r="C4897" s="162" t="s">
        <v>11012</v>
      </c>
      <c r="D4897" s="162" t="s">
        <v>11013</v>
      </c>
      <c r="F4897" s="162">
        <v>31672</v>
      </c>
      <c r="G4897" s="162">
        <v>1</v>
      </c>
    </row>
    <row r="4898" spans="2:7" ht="28.8">
      <c r="B4898" s="162" t="s">
        <v>697</v>
      </c>
      <c r="C4898" s="162" t="s">
        <v>11014</v>
      </c>
      <c r="D4898" s="162" t="s">
        <v>11015</v>
      </c>
      <c r="F4898" s="162">
        <v>31950</v>
      </c>
      <c r="G4898" s="162">
        <v>1</v>
      </c>
    </row>
    <row r="4899" spans="2:7" ht="28.8">
      <c r="B4899" s="162" t="s">
        <v>697</v>
      </c>
      <c r="C4899" s="162" t="s">
        <v>11016</v>
      </c>
      <c r="D4899" s="162" t="s">
        <v>11017</v>
      </c>
      <c r="F4899" s="162">
        <v>31950</v>
      </c>
      <c r="G4899" s="162">
        <v>1</v>
      </c>
    </row>
    <row r="4900" spans="2:7" ht="28.8">
      <c r="B4900" s="162" t="s">
        <v>697</v>
      </c>
      <c r="C4900" s="162" t="s">
        <v>11018</v>
      </c>
      <c r="D4900" s="162" t="s">
        <v>11019</v>
      </c>
      <c r="F4900" s="162">
        <v>32500</v>
      </c>
      <c r="G4900" s="162">
        <v>1</v>
      </c>
    </row>
    <row r="4901" spans="2:7" ht="28.8">
      <c r="B4901" s="162" t="s">
        <v>697</v>
      </c>
      <c r="C4901" s="162" t="s">
        <v>10970</v>
      </c>
      <c r="D4901" s="162" t="s">
        <v>10971</v>
      </c>
      <c r="F4901" s="162">
        <v>792</v>
      </c>
      <c r="G4901" s="162">
        <v>1</v>
      </c>
    </row>
    <row r="4902" spans="2:7" ht="28.8">
      <c r="B4902" s="162" t="s">
        <v>697</v>
      </c>
      <c r="C4902" s="162" t="s">
        <v>11020</v>
      </c>
      <c r="D4902" s="162" t="s">
        <v>11021</v>
      </c>
      <c r="F4902" s="162">
        <v>12080</v>
      </c>
      <c r="G4902" s="162">
        <v>1</v>
      </c>
    </row>
    <row r="4903" spans="2:7" ht="28.8">
      <c r="B4903" s="162" t="s">
        <v>697</v>
      </c>
      <c r="C4903" s="162" t="s">
        <v>11022</v>
      </c>
      <c r="D4903" s="162" t="s">
        <v>11023</v>
      </c>
      <c r="F4903" s="162">
        <v>12080</v>
      </c>
      <c r="G4903" s="162">
        <v>1</v>
      </c>
    </row>
    <row r="4904" spans="2:7" ht="28.8">
      <c r="B4904" s="162" t="s">
        <v>697</v>
      </c>
      <c r="C4904" s="162" t="s">
        <v>11024</v>
      </c>
      <c r="D4904" s="162" t="s">
        <v>11025</v>
      </c>
      <c r="F4904" s="162">
        <v>12264</v>
      </c>
      <c r="G4904" s="162">
        <v>1</v>
      </c>
    </row>
    <row r="4905" spans="2:7" ht="28.8">
      <c r="B4905" s="162" t="s">
        <v>697</v>
      </c>
      <c r="C4905" s="162" t="s">
        <v>11026</v>
      </c>
      <c r="D4905" s="162" t="s">
        <v>11027</v>
      </c>
      <c r="F4905" s="162">
        <v>12080</v>
      </c>
      <c r="G4905" s="162">
        <v>1</v>
      </c>
    </row>
    <row r="4906" spans="2:7" ht="28.8">
      <c r="B4906" s="162" t="s">
        <v>697</v>
      </c>
      <c r="C4906" s="162" t="s">
        <v>11028</v>
      </c>
      <c r="D4906" s="162" t="s">
        <v>11029</v>
      </c>
      <c r="F4906" s="162">
        <v>12080</v>
      </c>
      <c r="G4906" s="162">
        <v>1</v>
      </c>
    </row>
    <row r="4907" spans="2:7" ht="28.8">
      <c r="B4907" s="162" t="s">
        <v>697</v>
      </c>
      <c r="C4907" s="162" t="s">
        <v>11030</v>
      </c>
      <c r="D4907" s="162" t="s">
        <v>11031</v>
      </c>
      <c r="F4907" s="162">
        <v>12264</v>
      </c>
      <c r="G4907" s="162">
        <v>1</v>
      </c>
    </row>
    <row r="4908" spans="2:7" ht="28.8">
      <c r="B4908" s="162" t="s">
        <v>697</v>
      </c>
      <c r="C4908" s="162" t="s">
        <v>10970</v>
      </c>
      <c r="D4908" s="162" t="s">
        <v>10971</v>
      </c>
      <c r="F4908" s="162">
        <v>792</v>
      </c>
      <c r="G4908" s="162">
        <v>1</v>
      </c>
    </row>
    <row r="4909" spans="2:7" ht="28.8">
      <c r="B4909" s="162" t="s">
        <v>697</v>
      </c>
      <c r="C4909" s="162" t="s">
        <v>11032</v>
      </c>
      <c r="D4909" s="162" t="s">
        <v>11033</v>
      </c>
      <c r="F4909" s="162">
        <v>11190</v>
      </c>
      <c r="G4909" s="162">
        <v>1</v>
      </c>
    </row>
    <row r="4910" spans="2:7" ht="28.8">
      <c r="B4910" s="162" t="s">
        <v>697</v>
      </c>
      <c r="C4910" s="162" t="s">
        <v>11034</v>
      </c>
      <c r="D4910" s="162" t="s">
        <v>11035</v>
      </c>
      <c r="F4910" s="162">
        <v>11190</v>
      </c>
      <c r="G4910" s="162">
        <v>1</v>
      </c>
    </row>
    <row r="4911" spans="2:7" ht="28.8">
      <c r="B4911" s="162" t="s">
        <v>697</v>
      </c>
      <c r="C4911" s="162" t="s">
        <v>11036</v>
      </c>
      <c r="D4911" s="162" t="s">
        <v>11037</v>
      </c>
      <c r="F4911" s="162">
        <v>11372</v>
      </c>
      <c r="G4911" s="162">
        <v>1</v>
      </c>
    </row>
    <row r="4912" spans="2:7" ht="28.8">
      <c r="B4912" s="162" t="s">
        <v>697</v>
      </c>
      <c r="C4912" s="162" t="s">
        <v>11038</v>
      </c>
      <c r="D4912" s="162" t="s">
        <v>11039</v>
      </c>
      <c r="F4912" s="162">
        <v>10610</v>
      </c>
      <c r="G4912" s="162">
        <v>1</v>
      </c>
    </row>
    <row r="4913" spans="2:7" ht="28.8">
      <c r="B4913" s="162" t="s">
        <v>697</v>
      </c>
      <c r="C4913" s="162" t="s">
        <v>11040</v>
      </c>
      <c r="D4913" s="162" t="s">
        <v>11041</v>
      </c>
      <c r="F4913" s="162">
        <v>10610</v>
      </c>
      <c r="G4913" s="162">
        <v>1</v>
      </c>
    </row>
    <row r="4914" spans="2:7" ht="28.8">
      <c r="B4914" s="162" t="s">
        <v>697</v>
      </c>
      <c r="C4914" s="162" t="s">
        <v>11042</v>
      </c>
      <c r="D4914" s="162" t="s">
        <v>11043</v>
      </c>
      <c r="F4914" s="162">
        <v>10794</v>
      </c>
      <c r="G4914" s="162">
        <v>1</v>
      </c>
    </row>
    <row r="4915" spans="2:7" ht="28.8">
      <c r="B4915" s="162" t="s">
        <v>697</v>
      </c>
      <c r="C4915" s="162" t="s">
        <v>11044</v>
      </c>
      <c r="D4915" s="162" t="s">
        <v>11045</v>
      </c>
      <c r="F4915" s="162">
        <v>23270</v>
      </c>
      <c r="G4915" s="162">
        <v>1</v>
      </c>
    </row>
    <row r="4916" spans="2:7" ht="28.8">
      <c r="B4916" s="162" t="s">
        <v>697</v>
      </c>
      <c r="C4916" s="162" t="s">
        <v>11046</v>
      </c>
      <c r="D4916" s="162" t="s">
        <v>11047</v>
      </c>
      <c r="F4916" s="162">
        <v>23270</v>
      </c>
      <c r="G4916" s="162">
        <v>1</v>
      </c>
    </row>
    <row r="4917" spans="2:7" ht="28.8">
      <c r="B4917" s="162" t="s">
        <v>697</v>
      </c>
      <c r="C4917" s="162" t="s">
        <v>11048</v>
      </c>
      <c r="D4917" s="162" t="s">
        <v>11049</v>
      </c>
      <c r="F4917" s="162">
        <v>23636</v>
      </c>
      <c r="G4917" s="162">
        <v>1</v>
      </c>
    </row>
    <row r="4918" spans="2:7" ht="28.8">
      <c r="B4918" s="162" t="s">
        <v>697</v>
      </c>
      <c r="C4918" s="162" t="s">
        <v>11050</v>
      </c>
      <c r="D4918" s="162" t="s">
        <v>11051</v>
      </c>
      <c r="F4918" s="162">
        <v>24098</v>
      </c>
      <c r="G4918" s="162">
        <v>1</v>
      </c>
    </row>
    <row r="4919" spans="2:7" ht="28.8">
      <c r="B4919" s="162" t="s">
        <v>697</v>
      </c>
      <c r="C4919" s="162" t="s">
        <v>11052</v>
      </c>
      <c r="D4919" s="162" t="s">
        <v>11053</v>
      </c>
      <c r="F4919" s="162">
        <v>24098</v>
      </c>
      <c r="G4919" s="162">
        <v>1</v>
      </c>
    </row>
    <row r="4920" spans="2:7" ht="28.8">
      <c r="B4920" s="162" t="s">
        <v>697</v>
      </c>
      <c r="C4920" s="162" t="s">
        <v>11054</v>
      </c>
      <c r="D4920" s="162" t="s">
        <v>11055</v>
      </c>
      <c r="F4920" s="162">
        <v>24464</v>
      </c>
      <c r="G4920" s="162">
        <v>1</v>
      </c>
    </row>
    <row r="4921" spans="2:7" ht="28.8">
      <c r="B4921" s="162" t="s">
        <v>697</v>
      </c>
      <c r="C4921" s="162" t="s">
        <v>10970</v>
      </c>
      <c r="D4921" s="162" t="s">
        <v>10971</v>
      </c>
      <c r="F4921" s="162">
        <v>792</v>
      </c>
      <c r="G4921" s="162">
        <v>1</v>
      </c>
    </row>
    <row r="4922" spans="2:7" ht="28.8">
      <c r="B4922" s="162" t="s">
        <v>697</v>
      </c>
      <c r="C4922" s="162" t="s">
        <v>11056</v>
      </c>
      <c r="D4922" s="162" t="s">
        <v>11057</v>
      </c>
      <c r="F4922" s="162">
        <v>33446</v>
      </c>
      <c r="G4922" s="162">
        <v>1</v>
      </c>
    </row>
    <row r="4923" spans="2:7" ht="28.8">
      <c r="B4923" s="162" t="s">
        <v>697</v>
      </c>
      <c r="C4923" s="162" t="s">
        <v>11058</v>
      </c>
      <c r="D4923" s="162" t="s">
        <v>11059</v>
      </c>
      <c r="F4923" s="162">
        <v>33446</v>
      </c>
      <c r="G4923" s="162">
        <v>1</v>
      </c>
    </row>
    <row r="4924" spans="2:7" ht="43.2">
      <c r="B4924" s="162" t="s">
        <v>697</v>
      </c>
      <c r="C4924" s="162" t="s">
        <v>11060</v>
      </c>
      <c r="D4924" s="162" t="s">
        <v>11061</v>
      </c>
      <c r="F4924" s="162">
        <v>33996</v>
      </c>
      <c r="G4924" s="162">
        <v>1</v>
      </c>
    </row>
    <row r="4925" spans="2:7" ht="28.8">
      <c r="B4925" s="162" t="s">
        <v>697</v>
      </c>
      <c r="C4925" s="162" t="s">
        <v>11062</v>
      </c>
      <c r="D4925" s="162" t="s">
        <v>11063</v>
      </c>
      <c r="F4925" s="162">
        <v>34274</v>
      </c>
      <c r="G4925" s="162">
        <v>1</v>
      </c>
    </row>
    <row r="4926" spans="2:7" ht="28.8">
      <c r="B4926" s="162" t="s">
        <v>697</v>
      </c>
      <c r="C4926" s="162" t="s">
        <v>11064</v>
      </c>
      <c r="D4926" s="162" t="s">
        <v>11065</v>
      </c>
      <c r="F4926" s="162">
        <v>34274</v>
      </c>
      <c r="G4926" s="162">
        <v>1</v>
      </c>
    </row>
    <row r="4927" spans="2:7" ht="28.8">
      <c r="B4927" s="162" t="s">
        <v>697</v>
      </c>
      <c r="C4927" s="162" t="s">
        <v>11066</v>
      </c>
      <c r="D4927" s="162" t="s">
        <v>11067</v>
      </c>
      <c r="F4927" s="162">
        <v>34824</v>
      </c>
      <c r="G4927" s="162">
        <v>1</v>
      </c>
    </row>
    <row r="4928" spans="2:7" ht="28.8">
      <c r="B4928" s="162" t="s">
        <v>697</v>
      </c>
      <c r="C4928" s="162" t="s">
        <v>10970</v>
      </c>
      <c r="D4928" s="162" t="s">
        <v>10971</v>
      </c>
      <c r="F4928" s="162">
        <v>792</v>
      </c>
      <c r="G4928" s="162">
        <v>1</v>
      </c>
    </row>
    <row r="4929" spans="2:7" ht="57.6">
      <c r="B4929" s="162" t="s">
        <v>697</v>
      </c>
      <c r="C4929" s="162" t="s">
        <v>11068</v>
      </c>
      <c r="D4929" s="162" t="s">
        <v>11069</v>
      </c>
      <c r="F4929" s="162">
        <v>500</v>
      </c>
      <c r="G4929" s="162">
        <v>1</v>
      </c>
    </row>
    <row r="4930" spans="2:7" ht="28.8">
      <c r="B4930" s="162" t="s">
        <v>697</v>
      </c>
      <c r="C4930" s="162" t="s">
        <v>11070</v>
      </c>
      <c r="D4930" s="162" t="s">
        <v>11071</v>
      </c>
      <c r="F4930" s="162">
        <v>30</v>
      </c>
      <c r="G4930" s="162">
        <v>1</v>
      </c>
    </row>
    <row r="4931" spans="2:7" ht="28.8">
      <c r="B4931" s="162" t="s">
        <v>697</v>
      </c>
      <c r="C4931" s="162" t="s">
        <v>10607</v>
      </c>
      <c r="D4931" s="162" t="s">
        <v>10961</v>
      </c>
      <c r="F4931" s="162">
        <v>1118</v>
      </c>
      <c r="G4931" s="162">
        <v>1</v>
      </c>
    </row>
    <row r="4932" spans="2:7" ht="28.8">
      <c r="B4932" s="162" t="s">
        <v>697</v>
      </c>
      <c r="C4932" s="162" t="s">
        <v>10970</v>
      </c>
      <c r="D4932" s="162" t="s">
        <v>10971</v>
      </c>
      <c r="F4932" s="162">
        <v>792</v>
      </c>
      <c r="G4932" s="162">
        <v>1</v>
      </c>
    </row>
    <row r="4933" spans="2:7" ht="57.6">
      <c r="B4933" s="162" t="s">
        <v>697</v>
      </c>
      <c r="C4933" s="162" t="s">
        <v>10739</v>
      </c>
      <c r="D4933" s="162" t="s">
        <v>10740</v>
      </c>
      <c r="F4933" s="162">
        <v>5500</v>
      </c>
      <c r="G4933" s="162">
        <v>1</v>
      </c>
    </row>
    <row r="4934" spans="2:7" ht="57.6">
      <c r="B4934" s="162" t="s">
        <v>697</v>
      </c>
      <c r="C4934" s="162" t="s">
        <v>10741</v>
      </c>
      <c r="D4934" s="162" t="s">
        <v>10742</v>
      </c>
      <c r="F4934" s="162">
        <v>2300</v>
      </c>
      <c r="G4934" s="162">
        <v>1</v>
      </c>
    </row>
    <row r="4935" spans="2:7" ht="28.8">
      <c r="B4935" s="162" t="s">
        <v>697</v>
      </c>
      <c r="C4935" s="162" t="s">
        <v>11072</v>
      </c>
      <c r="D4935" s="162" t="s">
        <v>11073</v>
      </c>
      <c r="F4935" s="162">
        <v>7194</v>
      </c>
      <c r="G4935" s="162">
        <v>1</v>
      </c>
    </row>
    <row r="4936" spans="2:7" ht="28.8">
      <c r="B4936" s="162" t="s">
        <v>697</v>
      </c>
      <c r="C4936" s="162" t="s">
        <v>11074</v>
      </c>
      <c r="D4936" s="162" t="s">
        <v>11075</v>
      </c>
      <c r="F4936" s="162">
        <v>7194</v>
      </c>
      <c r="G4936" s="162">
        <v>1</v>
      </c>
    </row>
    <row r="4937" spans="2:7" ht="28.8">
      <c r="B4937" s="162" t="s">
        <v>697</v>
      </c>
      <c r="C4937" s="162" t="s">
        <v>11076</v>
      </c>
      <c r="D4937" s="162" t="s">
        <v>11077</v>
      </c>
      <c r="F4937" s="162">
        <v>7378</v>
      </c>
      <c r="G4937" s="162">
        <v>1</v>
      </c>
    </row>
    <row r="4938" spans="2:7" ht="28.8">
      <c r="B4938" s="162" t="s">
        <v>697</v>
      </c>
      <c r="C4938" s="162" t="s">
        <v>11078</v>
      </c>
      <c r="D4938" s="162" t="s">
        <v>11079</v>
      </c>
      <c r="F4938" s="162">
        <v>7914</v>
      </c>
      <c r="G4938" s="162">
        <v>1</v>
      </c>
    </row>
    <row r="4939" spans="2:7" ht="28.8">
      <c r="B4939" s="162" t="s">
        <v>697</v>
      </c>
      <c r="C4939" s="162" t="s">
        <v>11080</v>
      </c>
      <c r="D4939" s="162" t="s">
        <v>11081</v>
      </c>
      <c r="F4939" s="162">
        <v>7914</v>
      </c>
      <c r="G4939" s="162">
        <v>1</v>
      </c>
    </row>
    <row r="4940" spans="2:7" ht="28.8">
      <c r="B4940" s="162" t="s">
        <v>697</v>
      </c>
      <c r="C4940" s="162" t="s">
        <v>11082</v>
      </c>
      <c r="D4940" s="162" t="s">
        <v>11073</v>
      </c>
      <c r="F4940" s="162">
        <v>7762</v>
      </c>
      <c r="G4940" s="162">
        <v>1</v>
      </c>
    </row>
    <row r="4941" spans="2:7" ht="28.8">
      <c r="B4941" s="162" t="s">
        <v>697</v>
      </c>
      <c r="C4941" s="162" t="s">
        <v>11083</v>
      </c>
      <c r="D4941" s="162" t="s">
        <v>11075</v>
      </c>
      <c r="F4941" s="162">
        <v>7762</v>
      </c>
      <c r="G4941" s="162">
        <v>1</v>
      </c>
    </row>
    <row r="4942" spans="2:7" ht="28.8">
      <c r="B4942" s="162" t="s">
        <v>697</v>
      </c>
      <c r="C4942" s="162" t="s">
        <v>11084</v>
      </c>
      <c r="D4942" s="162" t="s">
        <v>11077</v>
      </c>
      <c r="F4942" s="162">
        <v>7946</v>
      </c>
      <c r="G4942" s="162">
        <v>1</v>
      </c>
    </row>
    <row r="4943" spans="2:7" ht="28.8">
      <c r="B4943" s="162" t="s">
        <v>697</v>
      </c>
      <c r="C4943" s="162" t="s">
        <v>11085</v>
      </c>
      <c r="D4943" s="162" t="s">
        <v>11079</v>
      </c>
      <c r="F4943" s="162">
        <v>8482</v>
      </c>
      <c r="G4943" s="162">
        <v>1</v>
      </c>
    </row>
    <row r="4944" spans="2:7" ht="28.8">
      <c r="B4944" s="162" t="s">
        <v>697</v>
      </c>
      <c r="C4944" s="162" t="s">
        <v>11086</v>
      </c>
      <c r="D4944" s="162" t="s">
        <v>11081</v>
      </c>
      <c r="F4944" s="162">
        <v>8482</v>
      </c>
      <c r="G4944" s="162">
        <v>1</v>
      </c>
    </row>
    <row r="4945" spans="2:7" ht="28.8">
      <c r="B4945" s="162" t="s">
        <v>697</v>
      </c>
      <c r="C4945" s="162" t="s">
        <v>11087</v>
      </c>
      <c r="D4945" s="162" t="s">
        <v>11088</v>
      </c>
      <c r="F4945" s="162">
        <v>8666</v>
      </c>
      <c r="G4945" s="162">
        <v>1</v>
      </c>
    </row>
    <row r="4946" spans="2:7" ht="28.8">
      <c r="B4946" s="162" t="s">
        <v>697</v>
      </c>
      <c r="C4946" s="162" t="s">
        <v>11089</v>
      </c>
      <c r="D4946" s="162" t="s">
        <v>11073</v>
      </c>
      <c r="F4946" s="162">
        <v>7762</v>
      </c>
      <c r="G4946" s="162">
        <v>1</v>
      </c>
    </row>
    <row r="4947" spans="2:7" ht="28.8">
      <c r="B4947" s="162" t="s">
        <v>697</v>
      </c>
      <c r="C4947" s="162" t="s">
        <v>11090</v>
      </c>
      <c r="D4947" s="162" t="s">
        <v>11075</v>
      </c>
      <c r="F4947" s="162">
        <v>7762</v>
      </c>
      <c r="G4947" s="162">
        <v>1</v>
      </c>
    </row>
    <row r="4948" spans="2:7" ht="28.8">
      <c r="B4948" s="162" t="s">
        <v>697</v>
      </c>
      <c r="C4948" s="162" t="s">
        <v>11091</v>
      </c>
      <c r="D4948" s="162" t="s">
        <v>11077</v>
      </c>
      <c r="F4948" s="162">
        <v>7946</v>
      </c>
      <c r="G4948" s="162">
        <v>1</v>
      </c>
    </row>
    <row r="4949" spans="2:7" ht="28.8">
      <c r="B4949" s="162" t="s">
        <v>697</v>
      </c>
      <c r="C4949" s="162" t="s">
        <v>11092</v>
      </c>
      <c r="D4949" s="162" t="s">
        <v>11079</v>
      </c>
      <c r="F4949" s="162">
        <v>8482</v>
      </c>
      <c r="G4949" s="162">
        <v>1</v>
      </c>
    </row>
    <row r="4950" spans="2:7" ht="28.8">
      <c r="B4950" s="162" t="s">
        <v>697</v>
      </c>
      <c r="C4950" s="162" t="s">
        <v>11093</v>
      </c>
      <c r="D4950" s="162" t="s">
        <v>11081</v>
      </c>
      <c r="F4950" s="162">
        <v>8482</v>
      </c>
      <c r="G4950" s="162">
        <v>1</v>
      </c>
    </row>
    <row r="4951" spans="2:7" ht="28.8">
      <c r="B4951" s="162" t="s">
        <v>697</v>
      </c>
      <c r="C4951" s="162" t="s">
        <v>11094</v>
      </c>
      <c r="D4951" s="162" t="s">
        <v>11088</v>
      </c>
      <c r="F4951" s="162">
        <v>8666</v>
      </c>
      <c r="G4951" s="162">
        <v>1</v>
      </c>
    </row>
    <row r="4952" spans="2:7" ht="28.8">
      <c r="B4952" s="162" t="s">
        <v>697</v>
      </c>
      <c r="C4952" s="162" t="s">
        <v>11095</v>
      </c>
      <c r="D4952" s="162" t="s">
        <v>11096</v>
      </c>
      <c r="F4952" s="162">
        <v>5238</v>
      </c>
      <c r="G4952" s="162">
        <v>1</v>
      </c>
    </row>
    <row r="4953" spans="2:7" ht="28.8">
      <c r="B4953" s="162" t="s">
        <v>697</v>
      </c>
      <c r="C4953" s="162" t="s">
        <v>11097</v>
      </c>
      <c r="D4953" s="162" t="s">
        <v>11098</v>
      </c>
      <c r="F4953" s="162">
        <v>5238</v>
      </c>
      <c r="G4953" s="162">
        <v>1</v>
      </c>
    </row>
    <row r="4954" spans="2:7" ht="28.8">
      <c r="B4954" s="162" t="s">
        <v>697</v>
      </c>
      <c r="C4954" s="162" t="s">
        <v>11099</v>
      </c>
      <c r="D4954" s="162" t="s">
        <v>11100</v>
      </c>
      <c r="F4954" s="162">
        <v>5420</v>
      </c>
      <c r="G4954" s="162">
        <v>1</v>
      </c>
    </row>
    <row r="4955" spans="2:7" ht="28.8">
      <c r="B4955" s="162" t="s">
        <v>697</v>
      </c>
      <c r="C4955" s="162" t="s">
        <v>11101</v>
      </c>
      <c r="D4955" s="162" t="s">
        <v>11102</v>
      </c>
      <c r="F4955" s="162">
        <v>5606</v>
      </c>
      <c r="G4955" s="162">
        <v>1</v>
      </c>
    </row>
    <row r="4956" spans="2:7" ht="28.8">
      <c r="B4956" s="162" t="s">
        <v>697</v>
      </c>
      <c r="C4956" s="162" t="s">
        <v>11103</v>
      </c>
      <c r="D4956" s="162" t="s">
        <v>11104</v>
      </c>
      <c r="F4956" s="162">
        <v>5606</v>
      </c>
      <c r="G4956" s="162">
        <v>1</v>
      </c>
    </row>
    <row r="4957" spans="2:7" ht="28.8">
      <c r="B4957" s="162" t="s">
        <v>697</v>
      </c>
      <c r="C4957" s="162" t="s">
        <v>11105</v>
      </c>
      <c r="D4957" s="162" t="s">
        <v>11106</v>
      </c>
      <c r="F4957" s="162">
        <v>5790</v>
      </c>
      <c r="G4957" s="162">
        <v>1</v>
      </c>
    </row>
    <row r="4958" spans="2:7" ht="28.8">
      <c r="B4958" s="162" t="s">
        <v>697</v>
      </c>
      <c r="C4958" s="162" t="s">
        <v>11107</v>
      </c>
      <c r="D4958" s="162" t="s">
        <v>11108</v>
      </c>
      <c r="F4958" s="162">
        <v>192</v>
      </c>
      <c r="G4958" s="162">
        <v>1</v>
      </c>
    </row>
    <row r="4959" spans="2:7" ht="43.2">
      <c r="B4959" s="162" t="s">
        <v>697</v>
      </c>
      <c r="C4959" s="162" t="s">
        <v>11109</v>
      </c>
      <c r="D4959" s="162" t="s">
        <v>11110</v>
      </c>
      <c r="F4959" s="162">
        <v>140</v>
      </c>
      <c r="G4959" s="162">
        <v>1</v>
      </c>
    </row>
    <row r="4960" spans="2:7" ht="57.6">
      <c r="B4960" s="162" t="s">
        <v>697</v>
      </c>
      <c r="C4960" s="162" t="s">
        <v>11111</v>
      </c>
      <c r="D4960" s="162" t="s">
        <v>11112</v>
      </c>
      <c r="F4960" s="162">
        <v>430</v>
      </c>
      <c r="G4960" s="162">
        <v>1</v>
      </c>
    </row>
    <row r="4961" spans="2:7" ht="57.6">
      <c r="B4961" s="162" t="s">
        <v>697</v>
      </c>
      <c r="C4961" s="162" t="s">
        <v>11113</v>
      </c>
      <c r="D4961" s="162" t="s">
        <v>11114</v>
      </c>
      <c r="F4961" s="162">
        <v>218</v>
      </c>
      <c r="G4961" s="162">
        <v>1</v>
      </c>
    </row>
    <row r="4962" spans="2:7" ht="57.6">
      <c r="B4962" s="162" t="s">
        <v>697</v>
      </c>
      <c r="C4962" s="162" t="s">
        <v>11115</v>
      </c>
      <c r="D4962" s="162" t="s">
        <v>11116</v>
      </c>
      <c r="F4962" s="162">
        <v>510</v>
      </c>
      <c r="G4962" s="162">
        <v>1</v>
      </c>
    </row>
    <row r="4963" spans="2:7" ht="57.6">
      <c r="B4963" s="162" t="s">
        <v>697</v>
      </c>
      <c r="C4963" s="162" t="s">
        <v>11117</v>
      </c>
      <c r="D4963" s="162" t="s">
        <v>11118</v>
      </c>
      <c r="F4963" s="162">
        <v>258</v>
      </c>
      <c r="G4963" s="162">
        <v>1</v>
      </c>
    </row>
    <row r="4964" spans="2:7" ht="28.8">
      <c r="B4964" s="162" t="s">
        <v>697</v>
      </c>
      <c r="C4964" s="162" t="s">
        <v>11119</v>
      </c>
      <c r="D4964" s="162" t="s">
        <v>11120</v>
      </c>
      <c r="F4964" s="162">
        <v>866</v>
      </c>
      <c r="G4964" s="162">
        <v>1</v>
      </c>
    </row>
    <row r="4965" spans="2:7" ht="115.2">
      <c r="B4965" s="162" t="s">
        <v>697</v>
      </c>
      <c r="C4965" s="162" t="s">
        <v>11121</v>
      </c>
      <c r="D4965" s="162" t="s">
        <v>11122</v>
      </c>
      <c r="F4965" s="162">
        <v>560</v>
      </c>
      <c r="G4965" s="162">
        <v>1</v>
      </c>
    </row>
    <row r="4966" spans="2:7" ht="43.2">
      <c r="B4966" s="162" t="s">
        <v>697</v>
      </c>
      <c r="C4966" s="162" t="s">
        <v>11123</v>
      </c>
      <c r="D4966" s="162" t="s">
        <v>11124</v>
      </c>
      <c r="F4966" s="162">
        <v>560</v>
      </c>
      <c r="G4966" s="162">
        <v>1</v>
      </c>
    </row>
    <row r="4967" spans="2:7" ht="57.6">
      <c r="B4967" s="162" t="s">
        <v>697</v>
      </c>
      <c r="C4967" s="162" t="s">
        <v>11125</v>
      </c>
      <c r="D4967" s="162" t="s">
        <v>11126</v>
      </c>
      <c r="F4967" s="162">
        <v>1220</v>
      </c>
      <c r="G4967" s="162">
        <v>1</v>
      </c>
    </row>
    <row r="4968" spans="2:7" ht="57.6">
      <c r="B4968" s="162" t="s">
        <v>697</v>
      </c>
      <c r="C4968" s="162" t="s">
        <v>10605</v>
      </c>
      <c r="D4968" s="162" t="s">
        <v>10690</v>
      </c>
      <c r="F4968" s="162">
        <v>210</v>
      </c>
      <c r="G4968" s="162">
        <v>1</v>
      </c>
    </row>
    <row r="4969" spans="2:7" ht="43.2">
      <c r="B4969" s="162" t="s">
        <v>697</v>
      </c>
      <c r="C4969" s="162" t="s">
        <v>11127</v>
      </c>
      <c r="D4969" s="162" t="s">
        <v>11128</v>
      </c>
      <c r="F4969" s="162">
        <v>64</v>
      </c>
      <c r="G4969" s="162">
        <v>1</v>
      </c>
    </row>
    <row r="4970" spans="2:7" ht="43.2">
      <c r="B4970" s="162" t="s">
        <v>697</v>
      </c>
      <c r="C4970" s="162" t="s">
        <v>11129</v>
      </c>
      <c r="D4970" s="162" t="s">
        <v>11130</v>
      </c>
      <c r="F4970" s="162">
        <v>122</v>
      </c>
      <c r="G4970" s="162">
        <v>1</v>
      </c>
    </row>
    <row r="4971" spans="2:7" ht="43.2">
      <c r="B4971" s="162" t="s">
        <v>697</v>
      </c>
      <c r="C4971" s="162" t="s">
        <v>11131</v>
      </c>
      <c r="D4971" s="162" t="s">
        <v>11132</v>
      </c>
      <c r="F4971" s="162">
        <v>140</v>
      </c>
      <c r="G4971" s="162">
        <v>1</v>
      </c>
    </row>
    <row r="4972" spans="2:7" ht="43.2">
      <c r="B4972" s="162" t="s">
        <v>697</v>
      </c>
      <c r="C4972" s="162" t="s">
        <v>11133</v>
      </c>
      <c r="D4972" s="162" t="s">
        <v>11134</v>
      </c>
      <c r="F4972" s="162">
        <v>126</v>
      </c>
      <c r="G4972" s="162">
        <v>1</v>
      </c>
    </row>
    <row r="4973" spans="2:7" ht="43.2">
      <c r="B4973" s="162" t="s">
        <v>697</v>
      </c>
      <c r="C4973" s="162" t="s">
        <v>11135</v>
      </c>
      <c r="D4973" s="162" t="s">
        <v>11136</v>
      </c>
      <c r="F4973" s="162">
        <v>240</v>
      </c>
      <c r="G4973" s="162">
        <v>1</v>
      </c>
    </row>
    <row r="4974" spans="2:7" ht="43.2">
      <c r="B4974" s="162" t="s">
        <v>697</v>
      </c>
      <c r="C4974" s="162" t="s">
        <v>11137</v>
      </c>
      <c r="D4974" s="162" t="s">
        <v>11138</v>
      </c>
      <c r="F4974" s="162">
        <v>280</v>
      </c>
      <c r="G4974" s="162">
        <v>1</v>
      </c>
    </row>
    <row r="4975" spans="2:7" ht="28.8">
      <c r="B4975" s="162" t="s">
        <v>697</v>
      </c>
      <c r="C4975" s="162" t="s">
        <v>11139</v>
      </c>
      <c r="D4975" s="162" t="s">
        <v>11140</v>
      </c>
      <c r="F4975" s="162">
        <v>340</v>
      </c>
      <c r="G4975" s="162">
        <v>1</v>
      </c>
    </row>
    <row r="4976" spans="2:7" ht="28.8">
      <c r="B4976" s="162" t="s">
        <v>697</v>
      </c>
      <c r="C4976" s="162" t="s">
        <v>11141</v>
      </c>
      <c r="D4976" s="162" t="s">
        <v>11142</v>
      </c>
      <c r="F4976" s="162">
        <v>420</v>
      </c>
      <c r="G4976" s="162">
        <v>1</v>
      </c>
    </row>
    <row r="4977" spans="2:7" ht="28.8">
      <c r="B4977" s="162" t="s">
        <v>697</v>
      </c>
      <c r="C4977" s="162" t="s">
        <v>11143</v>
      </c>
      <c r="D4977" s="162" t="s">
        <v>11144</v>
      </c>
      <c r="F4977" s="162">
        <v>420</v>
      </c>
      <c r="G4977" s="162">
        <v>1</v>
      </c>
    </row>
    <row r="4978" spans="2:7" ht="28.8">
      <c r="B4978" s="162" t="s">
        <v>697</v>
      </c>
      <c r="C4978" s="162" t="s">
        <v>11145</v>
      </c>
      <c r="D4978" s="162" t="s">
        <v>11146</v>
      </c>
      <c r="F4978" s="162">
        <v>420</v>
      </c>
      <c r="G4978" s="162">
        <v>1</v>
      </c>
    </row>
    <row r="4979" spans="2:7" ht="28.8">
      <c r="B4979" s="162" t="s">
        <v>697</v>
      </c>
      <c r="C4979" s="162" t="s">
        <v>11147</v>
      </c>
      <c r="D4979" s="162" t="s">
        <v>11148</v>
      </c>
      <c r="F4979" s="162">
        <v>8258</v>
      </c>
      <c r="G4979" s="162">
        <v>1</v>
      </c>
    </row>
    <row r="4980" spans="2:7" ht="28.8">
      <c r="B4980" s="162" t="s">
        <v>697</v>
      </c>
      <c r="C4980" s="162" t="s">
        <v>11149</v>
      </c>
      <c r="D4980" s="162" t="s">
        <v>11150</v>
      </c>
      <c r="F4980" s="162">
        <v>8258</v>
      </c>
      <c r="G4980" s="162">
        <v>1</v>
      </c>
    </row>
    <row r="4981" spans="2:7" ht="28.8">
      <c r="B4981" s="162" t="s">
        <v>697</v>
      </c>
      <c r="C4981" s="162" t="s">
        <v>11151</v>
      </c>
      <c r="D4981" s="162" t="s">
        <v>11152</v>
      </c>
      <c r="F4981" s="162">
        <v>8440</v>
      </c>
      <c r="G4981" s="162">
        <v>1</v>
      </c>
    </row>
    <row r="4982" spans="2:7" ht="28.8">
      <c r="B4982" s="162" t="s">
        <v>697</v>
      </c>
      <c r="C4982" s="162" t="s">
        <v>11153</v>
      </c>
      <c r="D4982" s="162" t="s">
        <v>11154</v>
      </c>
      <c r="F4982" s="162">
        <v>8978</v>
      </c>
      <c r="G4982" s="162">
        <v>1</v>
      </c>
    </row>
    <row r="4983" spans="2:7" ht="28.8">
      <c r="B4983" s="162" t="s">
        <v>697</v>
      </c>
      <c r="C4983" s="162" t="s">
        <v>11155</v>
      </c>
      <c r="D4983" s="162" t="s">
        <v>11156</v>
      </c>
      <c r="F4983" s="162">
        <v>8978</v>
      </c>
      <c r="G4983" s="162">
        <v>1</v>
      </c>
    </row>
    <row r="4984" spans="2:7" ht="43.2">
      <c r="B4984" s="162" t="s">
        <v>697</v>
      </c>
      <c r="C4984" s="162" t="s">
        <v>11157</v>
      </c>
      <c r="D4984" s="162" t="s">
        <v>11158</v>
      </c>
      <c r="F4984" s="162">
        <v>9160</v>
      </c>
      <c r="G4984" s="162">
        <v>1</v>
      </c>
    </row>
    <row r="4985" spans="2:7" ht="28.8">
      <c r="B4985" s="162" t="s">
        <v>697</v>
      </c>
      <c r="C4985" s="162" t="s">
        <v>11159</v>
      </c>
      <c r="D4985" s="162" t="s">
        <v>11148</v>
      </c>
      <c r="F4985" s="162">
        <v>8826</v>
      </c>
      <c r="G4985" s="162">
        <v>1</v>
      </c>
    </row>
    <row r="4986" spans="2:7" ht="28.8">
      <c r="B4986" s="162" t="s">
        <v>697</v>
      </c>
      <c r="C4986" s="162" t="s">
        <v>11160</v>
      </c>
      <c r="D4986" s="162" t="s">
        <v>11150</v>
      </c>
      <c r="F4986" s="162">
        <v>8826</v>
      </c>
      <c r="G4986" s="162">
        <v>1</v>
      </c>
    </row>
    <row r="4987" spans="2:7" ht="28.8">
      <c r="B4987" s="162" t="s">
        <v>697</v>
      </c>
      <c r="C4987" s="162" t="s">
        <v>11161</v>
      </c>
      <c r="D4987" s="162" t="s">
        <v>11152</v>
      </c>
      <c r="F4987" s="162">
        <v>9010</v>
      </c>
      <c r="G4987" s="162">
        <v>1</v>
      </c>
    </row>
    <row r="4988" spans="2:7" ht="28.8">
      <c r="B4988" s="162" t="s">
        <v>697</v>
      </c>
      <c r="C4988" s="162" t="s">
        <v>11162</v>
      </c>
      <c r="D4988" s="162" t="s">
        <v>11154</v>
      </c>
      <c r="F4988" s="162">
        <v>9546</v>
      </c>
      <c r="G4988" s="162">
        <v>1</v>
      </c>
    </row>
    <row r="4989" spans="2:7" ht="28.8">
      <c r="B4989" s="162" t="s">
        <v>697</v>
      </c>
      <c r="C4989" s="162" t="s">
        <v>11163</v>
      </c>
      <c r="D4989" s="162" t="s">
        <v>11156</v>
      </c>
      <c r="F4989" s="162">
        <v>9546</v>
      </c>
      <c r="G4989" s="162">
        <v>1</v>
      </c>
    </row>
    <row r="4990" spans="2:7" ht="43.2">
      <c r="B4990" s="162" t="s">
        <v>697</v>
      </c>
      <c r="C4990" s="162" t="s">
        <v>11164</v>
      </c>
      <c r="D4990" s="162" t="s">
        <v>11165</v>
      </c>
      <c r="F4990" s="162">
        <v>9730</v>
      </c>
      <c r="G4990" s="162">
        <v>1</v>
      </c>
    </row>
    <row r="4991" spans="2:7" ht="28.8">
      <c r="B4991" s="162" t="s">
        <v>697</v>
      </c>
      <c r="C4991" s="162" t="s">
        <v>11166</v>
      </c>
      <c r="D4991" s="162" t="s">
        <v>11148</v>
      </c>
      <c r="F4991" s="162">
        <v>8826</v>
      </c>
      <c r="G4991" s="162">
        <v>1</v>
      </c>
    </row>
    <row r="4992" spans="2:7" ht="28.8">
      <c r="B4992" s="162" t="s">
        <v>697</v>
      </c>
      <c r="C4992" s="162" t="s">
        <v>11167</v>
      </c>
      <c r="D4992" s="162" t="s">
        <v>11150</v>
      </c>
      <c r="F4992" s="162">
        <v>8826</v>
      </c>
      <c r="G4992" s="162">
        <v>1</v>
      </c>
    </row>
    <row r="4993" spans="2:7" ht="28.8">
      <c r="B4993" s="162" t="s">
        <v>697</v>
      </c>
      <c r="C4993" s="162" t="s">
        <v>11168</v>
      </c>
      <c r="D4993" s="162" t="s">
        <v>11152</v>
      </c>
      <c r="F4993" s="162">
        <v>9010</v>
      </c>
      <c r="G4993" s="162">
        <v>1</v>
      </c>
    </row>
    <row r="4994" spans="2:7" ht="28.8">
      <c r="B4994" s="162" t="s">
        <v>697</v>
      </c>
      <c r="C4994" s="162" t="s">
        <v>11169</v>
      </c>
      <c r="D4994" s="162" t="s">
        <v>11154</v>
      </c>
      <c r="F4994" s="162">
        <v>9546</v>
      </c>
      <c r="G4994" s="162">
        <v>1</v>
      </c>
    </row>
    <row r="4995" spans="2:7" ht="28.8">
      <c r="B4995" s="162" t="s">
        <v>697</v>
      </c>
      <c r="C4995" s="162" t="s">
        <v>11170</v>
      </c>
      <c r="D4995" s="162" t="s">
        <v>11156</v>
      </c>
      <c r="F4995" s="162">
        <v>9546</v>
      </c>
      <c r="G4995" s="162">
        <v>1</v>
      </c>
    </row>
    <row r="4996" spans="2:7" ht="43.2">
      <c r="B4996" s="162" t="s">
        <v>697</v>
      </c>
      <c r="C4996" s="162" t="s">
        <v>11171</v>
      </c>
      <c r="D4996" s="162" t="s">
        <v>11165</v>
      </c>
      <c r="F4996" s="162">
        <v>9730</v>
      </c>
      <c r="G4996" s="162">
        <v>1</v>
      </c>
    </row>
    <row r="4997" spans="2:7" ht="28.8">
      <c r="B4997" s="162" t="s">
        <v>697</v>
      </c>
      <c r="C4997" s="162" t="s">
        <v>11172</v>
      </c>
      <c r="D4997" s="162" t="s">
        <v>11173</v>
      </c>
      <c r="F4997" s="162">
        <v>6496</v>
      </c>
      <c r="G4997" s="162">
        <v>1</v>
      </c>
    </row>
    <row r="4998" spans="2:7" ht="28.8">
      <c r="B4998" s="162" t="s">
        <v>697</v>
      </c>
      <c r="C4998" s="162" t="s">
        <v>11174</v>
      </c>
      <c r="D4998" s="162" t="s">
        <v>11175</v>
      </c>
      <c r="F4998" s="162">
        <v>6496</v>
      </c>
      <c r="G4998" s="162">
        <v>1</v>
      </c>
    </row>
    <row r="4999" spans="2:7" ht="28.8">
      <c r="B4999" s="162" t="s">
        <v>697</v>
      </c>
      <c r="C4999" s="162" t="s">
        <v>11176</v>
      </c>
      <c r="D4999" s="162" t="s">
        <v>11177</v>
      </c>
      <c r="F4999" s="162">
        <v>6680</v>
      </c>
      <c r="G4999" s="162">
        <v>1</v>
      </c>
    </row>
    <row r="5000" spans="2:7" ht="28.8">
      <c r="B5000" s="162" t="s">
        <v>697</v>
      </c>
      <c r="C5000" s="162" t="s">
        <v>11178</v>
      </c>
      <c r="D5000" s="162" t="s">
        <v>11179</v>
      </c>
      <c r="F5000" s="162">
        <v>6864</v>
      </c>
      <c r="G5000" s="162">
        <v>1</v>
      </c>
    </row>
    <row r="5001" spans="2:7" ht="28.8">
      <c r="B5001" s="162" t="s">
        <v>697</v>
      </c>
      <c r="C5001" s="162" t="s">
        <v>11180</v>
      </c>
      <c r="D5001" s="162" t="s">
        <v>11181</v>
      </c>
      <c r="F5001" s="162">
        <v>6864</v>
      </c>
      <c r="G5001" s="162">
        <v>1</v>
      </c>
    </row>
    <row r="5002" spans="2:7" ht="28.8">
      <c r="B5002" s="162" t="s">
        <v>697</v>
      </c>
      <c r="C5002" s="162" t="s">
        <v>11182</v>
      </c>
      <c r="D5002" s="162" t="s">
        <v>11183</v>
      </c>
      <c r="F5002" s="162">
        <v>7048</v>
      </c>
      <c r="G5002" s="162">
        <v>1</v>
      </c>
    </row>
    <row r="5003" spans="2:7" ht="57.6">
      <c r="B5003" s="162" t="s">
        <v>697</v>
      </c>
      <c r="C5003" s="162" t="s">
        <v>10739</v>
      </c>
      <c r="D5003" s="162" t="s">
        <v>10740</v>
      </c>
      <c r="F5003" s="162">
        <v>5500</v>
      </c>
      <c r="G5003" s="162">
        <v>1</v>
      </c>
    </row>
    <row r="5004" spans="2:7" ht="57.6">
      <c r="B5004" s="162" t="s">
        <v>697</v>
      </c>
      <c r="C5004" s="162" t="s">
        <v>10741</v>
      </c>
      <c r="D5004" s="162" t="s">
        <v>10742</v>
      </c>
      <c r="F5004" s="162">
        <v>2300</v>
      </c>
      <c r="G5004" s="162">
        <v>1</v>
      </c>
    </row>
    <row r="5005" spans="2:7" ht="28.8">
      <c r="B5005" s="162" t="s">
        <v>697</v>
      </c>
      <c r="C5005" s="162" t="s">
        <v>11184</v>
      </c>
      <c r="D5005" s="162" t="s">
        <v>11185</v>
      </c>
      <c r="F5005" s="162">
        <v>4150</v>
      </c>
      <c r="G5005" s="162">
        <v>1</v>
      </c>
    </row>
    <row r="5006" spans="2:7" ht="28.8">
      <c r="B5006" s="162" t="s">
        <v>697</v>
      </c>
      <c r="C5006" s="162" t="s">
        <v>11186</v>
      </c>
      <c r="D5006" s="162" t="s">
        <v>11187</v>
      </c>
      <c r="F5006" s="162">
        <v>4150</v>
      </c>
      <c r="G5006" s="162">
        <v>1</v>
      </c>
    </row>
    <row r="5007" spans="2:7" ht="28.8">
      <c r="B5007" s="162" t="s">
        <v>697</v>
      </c>
      <c r="C5007" s="162" t="s">
        <v>11188</v>
      </c>
      <c r="D5007" s="162" t="s">
        <v>11189</v>
      </c>
      <c r="F5007" s="162">
        <v>4150</v>
      </c>
      <c r="G5007" s="162">
        <v>1</v>
      </c>
    </row>
    <row r="5008" spans="2:7" ht="28.8">
      <c r="B5008" s="162" t="s">
        <v>697</v>
      </c>
      <c r="C5008" s="162" t="s">
        <v>11190</v>
      </c>
      <c r="D5008" s="162" t="s">
        <v>11191</v>
      </c>
      <c r="F5008" s="162">
        <v>4150</v>
      </c>
      <c r="G5008" s="162">
        <v>1</v>
      </c>
    </row>
    <row r="5009" spans="2:7" ht="28.8">
      <c r="B5009" s="162" t="s">
        <v>697</v>
      </c>
      <c r="C5009" s="162" t="s">
        <v>11192</v>
      </c>
      <c r="D5009" s="162" t="s">
        <v>11193</v>
      </c>
      <c r="F5009" s="162">
        <v>4150</v>
      </c>
      <c r="G5009" s="162">
        <v>1</v>
      </c>
    </row>
    <row r="5010" spans="2:7" ht="28.8">
      <c r="B5010" s="162" t="s">
        <v>697</v>
      </c>
      <c r="C5010" s="162" t="s">
        <v>11194</v>
      </c>
      <c r="D5010" s="162" t="s">
        <v>11195</v>
      </c>
      <c r="F5010" s="162">
        <v>6130</v>
      </c>
      <c r="G5010" s="162">
        <v>1</v>
      </c>
    </row>
    <row r="5011" spans="2:7" ht="28.8">
      <c r="B5011" s="162" t="s">
        <v>697</v>
      </c>
      <c r="C5011" s="162" t="s">
        <v>11196</v>
      </c>
      <c r="D5011" s="162" t="s">
        <v>11197</v>
      </c>
      <c r="F5011" s="162">
        <v>6130</v>
      </c>
      <c r="G5011" s="162">
        <v>1</v>
      </c>
    </row>
    <row r="5012" spans="2:7" ht="28.8">
      <c r="B5012" s="162" t="s">
        <v>697</v>
      </c>
      <c r="C5012" s="162" t="s">
        <v>11198</v>
      </c>
      <c r="D5012" s="162" t="s">
        <v>11199</v>
      </c>
      <c r="F5012" s="162">
        <v>6130</v>
      </c>
      <c r="G5012" s="162">
        <v>1</v>
      </c>
    </row>
    <row r="5013" spans="2:7" ht="28.8">
      <c r="B5013" s="162" t="s">
        <v>697</v>
      </c>
      <c r="C5013" s="162" t="s">
        <v>11200</v>
      </c>
      <c r="D5013" s="162" t="s">
        <v>11201</v>
      </c>
      <c r="F5013" s="162">
        <v>6130</v>
      </c>
      <c r="G5013" s="162">
        <v>1</v>
      </c>
    </row>
    <row r="5014" spans="2:7" ht="28.8">
      <c r="B5014" s="162" t="s">
        <v>697</v>
      </c>
      <c r="C5014" s="162" t="s">
        <v>11202</v>
      </c>
      <c r="D5014" s="162" t="s">
        <v>11203</v>
      </c>
      <c r="F5014" s="162">
        <v>6130</v>
      </c>
      <c r="G5014" s="162">
        <v>1</v>
      </c>
    </row>
    <row r="5015" spans="2:7" ht="28.8">
      <c r="B5015" s="162" t="s">
        <v>697</v>
      </c>
      <c r="C5015" s="162" t="s">
        <v>11204</v>
      </c>
      <c r="D5015" s="162" t="s">
        <v>11205</v>
      </c>
      <c r="F5015" s="162">
        <v>6496</v>
      </c>
      <c r="G5015" s="162">
        <v>1</v>
      </c>
    </row>
    <row r="5016" spans="2:7" ht="28.8">
      <c r="B5016" s="162" t="s">
        <v>697</v>
      </c>
      <c r="C5016" s="162" t="s">
        <v>11206</v>
      </c>
      <c r="D5016" s="162" t="s">
        <v>11207</v>
      </c>
      <c r="F5016" s="162">
        <v>6496</v>
      </c>
      <c r="G5016" s="162">
        <v>1</v>
      </c>
    </row>
    <row r="5017" spans="2:7" ht="28.8">
      <c r="B5017" s="162" t="s">
        <v>697</v>
      </c>
      <c r="C5017" s="162" t="s">
        <v>11208</v>
      </c>
      <c r="D5017" s="162" t="s">
        <v>11209</v>
      </c>
      <c r="F5017" s="162">
        <v>6496</v>
      </c>
      <c r="G5017" s="162">
        <v>1</v>
      </c>
    </row>
    <row r="5018" spans="2:7" ht="28.8">
      <c r="B5018" s="162" t="s">
        <v>697</v>
      </c>
      <c r="C5018" s="162" t="s">
        <v>11210</v>
      </c>
      <c r="D5018" s="162" t="s">
        <v>11211</v>
      </c>
      <c r="F5018" s="162">
        <v>6496</v>
      </c>
      <c r="G5018" s="162">
        <v>1</v>
      </c>
    </row>
    <row r="5019" spans="2:7" ht="28.8">
      <c r="B5019" s="162" t="s">
        <v>697</v>
      </c>
      <c r="C5019" s="162" t="s">
        <v>11212</v>
      </c>
      <c r="D5019" s="162" t="s">
        <v>11213</v>
      </c>
      <c r="F5019" s="162">
        <v>6496</v>
      </c>
      <c r="G5019" s="162">
        <v>1</v>
      </c>
    </row>
    <row r="5020" spans="2:7" ht="28.8">
      <c r="B5020" s="162" t="s">
        <v>697</v>
      </c>
      <c r="C5020" s="162" t="s">
        <v>11214</v>
      </c>
      <c r="D5020" s="162" t="s">
        <v>11215</v>
      </c>
      <c r="F5020" s="162">
        <v>392</v>
      </c>
      <c r="G5020" s="162">
        <v>1</v>
      </c>
    </row>
    <row r="5021" spans="2:7" ht="28.8">
      <c r="B5021" s="162" t="s">
        <v>697</v>
      </c>
      <c r="C5021" s="162" t="s">
        <v>11216</v>
      </c>
      <c r="D5021" s="162" t="s">
        <v>11217</v>
      </c>
      <c r="F5021" s="162">
        <v>100</v>
      </c>
      <c r="G5021" s="162">
        <v>1</v>
      </c>
    </row>
    <row r="5022" spans="2:7" ht="28.8">
      <c r="B5022" s="162" t="s">
        <v>697</v>
      </c>
      <c r="C5022" s="162" t="s">
        <v>11218</v>
      </c>
      <c r="D5022" s="162" t="s">
        <v>11219</v>
      </c>
      <c r="F5022" s="162">
        <v>100</v>
      </c>
      <c r="G5022" s="162">
        <v>1</v>
      </c>
    </row>
    <row r="5023" spans="2:7" ht="28.8">
      <c r="B5023" s="162" t="s">
        <v>697</v>
      </c>
      <c r="C5023" s="162" t="s">
        <v>11220</v>
      </c>
      <c r="D5023" s="162" t="s">
        <v>11185</v>
      </c>
      <c r="F5023" s="162">
        <v>4150</v>
      </c>
      <c r="G5023" s="162">
        <v>1</v>
      </c>
    </row>
    <row r="5024" spans="2:7" ht="28.8">
      <c r="B5024" s="162" t="s">
        <v>697</v>
      </c>
      <c r="C5024" s="162" t="s">
        <v>11221</v>
      </c>
      <c r="D5024" s="162" t="s">
        <v>11187</v>
      </c>
      <c r="F5024" s="162">
        <v>4150</v>
      </c>
      <c r="G5024" s="162">
        <v>1</v>
      </c>
    </row>
    <row r="5025" spans="2:7" ht="28.8">
      <c r="B5025" s="162" t="s">
        <v>697</v>
      </c>
      <c r="C5025" s="162" t="s">
        <v>11222</v>
      </c>
      <c r="D5025" s="162" t="s">
        <v>11189</v>
      </c>
      <c r="F5025" s="162">
        <v>4150</v>
      </c>
      <c r="G5025" s="162">
        <v>1</v>
      </c>
    </row>
    <row r="5026" spans="2:7" ht="28.8">
      <c r="B5026" s="162" t="s">
        <v>697</v>
      </c>
      <c r="C5026" s="162" t="s">
        <v>11223</v>
      </c>
      <c r="D5026" s="162" t="s">
        <v>11191</v>
      </c>
      <c r="F5026" s="162">
        <v>4150</v>
      </c>
      <c r="G5026" s="162">
        <v>1</v>
      </c>
    </row>
    <row r="5027" spans="2:7" ht="28.8">
      <c r="B5027" s="162" t="s">
        <v>697</v>
      </c>
      <c r="C5027" s="162" t="s">
        <v>11224</v>
      </c>
      <c r="D5027" s="162" t="s">
        <v>11193</v>
      </c>
      <c r="F5027" s="162">
        <v>4150</v>
      </c>
      <c r="G5027" s="162">
        <v>1</v>
      </c>
    </row>
    <row r="5028" spans="2:7" ht="28.8">
      <c r="B5028" s="162" t="s">
        <v>697</v>
      </c>
      <c r="C5028" s="162" t="s">
        <v>11225</v>
      </c>
      <c r="D5028" s="162" t="s">
        <v>11195</v>
      </c>
      <c r="F5028" s="162">
        <v>6130</v>
      </c>
      <c r="G5028" s="162">
        <v>1</v>
      </c>
    </row>
    <row r="5029" spans="2:7" ht="28.8">
      <c r="B5029" s="162" t="s">
        <v>697</v>
      </c>
      <c r="C5029" s="162" t="s">
        <v>11226</v>
      </c>
      <c r="D5029" s="162" t="s">
        <v>11197</v>
      </c>
      <c r="F5029" s="162">
        <v>6130</v>
      </c>
      <c r="G5029" s="162">
        <v>1</v>
      </c>
    </row>
    <row r="5030" spans="2:7" ht="28.8">
      <c r="B5030" s="162" t="s">
        <v>697</v>
      </c>
      <c r="C5030" s="162" t="s">
        <v>11227</v>
      </c>
      <c r="D5030" s="162" t="s">
        <v>11199</v>
      </c>
      <c r="F5030" s="162">
        <v>6130</v>
      </c>
      <c r="G5030" s="162">
        <v>1</v>
      </c>
    </row>
    <row r="5031" spans="2:7" ht="28.8">
      <c r="B5031" s="162" t="s">
        <v>697</v>
      </c>
      <c r="C5031" s="162" t="s">
        <v>11228</v>
      </c>
      <c r="D5031" s="162" t="s">
        <v>11201</v>
      </c>
      <c r="F5031" s="162">
        <v>6130</v>
      </c>
      <c r="G5031" s="162">
        <v>1</v>
      </c>
    </row>
    <row r="5032" spans="2:7" ht="28.8">
      <c r="B5032" s="162" t="s">
        <v>697</v>
      </c>
      <c r="C5032" s="162" t="s">
        <v>11229</v>
      </c>
      <c r="D5032" s="162" t="s">
        <v>11203</v>
      </c>
      <c r="F5032" s="162">
        <v>6130</v>
      </c>
      <c r="G5032" s="162">
        <v>1</v>
      </c>
    </row>
    <row r="5033" spans="2:7" ht="28.8">
      <c r="B5033" s="162" t="s">
        <v>697</v>
      </c>
      <c r="C5033" s="162" t="s">
        <v>11230</v>
      </c>
      <c r="D5033" s="162" t="s">
        <v>11205</v>
      </c>
      <c r="F5033" s="162">
        <v>6496</v>
      </c>
      <c r="G5033" s="162">
        <v>1</v>
      </c>
    </row>
    <row r="5034" spans="2:7" ht="28.8">
      <c r="B5034" s="162" t="s">
        <v>697</v>
      </c>
      <c r="C5034" s="162" t="s">
        <v>11231</v>
      </c>
      <c r="D5034" s="162" t="s">
        <v>11207</v>
      </c>
      <c r="F5034" s="162">
        <v>6496</v>
      </c>
      <c r="G5034" s="162">
        <v>1</v>
      </c>
    </row>
    <row r="5035" spans="2:7" ht="28.8">
      <c r="B5035" s="162" t="s">
        <v>697</v>
      </c>
      <c r="C5035" s="162" t="s">
        <v>11232</v>
      </c>
      <c r="D5035" s="162" t="s">
        <v>11209</v>
      </c>
      <c r="F5035" s="162">
        <v>6496</v>
      </c>
      <c r="G5035" s="162">
        <v>1</v>
      </c>
    </row>
    <row r="5036" spans="2:7" ht="28.8">
      <c r="B5036" s="162" t="s">
        <v>697</v>
      </c>
      <c r="C5036" s="162" t="s">
        <v>11233</v>
      </c>
      <c r="D5036" s="162" t="s">
        <v>11211</v>
      </c>
      <c r="F5036" s="162">
        <v>6496</v>
      </c>
      <c r="G5036" s="162">
        <v>1</v>
      </c>
    </row>
    <row r="5037" spans="2:7" ht="28.8">
      <c r="B5037" s="162" t="s">
        <v>697</v>
      </c>
      <c r="C5037" s="162" t="s">
        <v>11234</v>
      </c>
      <c r="D5037" s="162" t="s">
        <v>11213</v>
      </c>
      <c r="F5037" s="162">
        <v>6496</v>
      </c>
      <c r="G5037" s="162">
        <v>1</v>
      </c>
    </row>
    <row r="5038" spans="2:7" ht="28.8">
      <c r="B5038" s="162" t="s">
        <v>697</v>
      </c>
      <c r="C5038" s="162" t="s">
        <v>11214</v>
      </c>
      <c r="D5038" s="162" t="s">
        <v>11215</v>
      </c>
      <c r="F5038" s="162">
        <v>392</v>
      </c>
      <c r="G5038" s="162">
        <v>1</v>
      </c>
    </row>
    <row r="5039" spans="2:7" ht="28.8">
      <c r="B5039" s="162" t="s">
        <v>697</v>
      </c>
      <c r="C5039" s="162" t="s">
        <v>11235</v>
      </c>
      <c r="D5039" s="162" t="s">
        <v>11185</v>
      </c>
      <c r="F5039" s="162">
        <v>3766</v>
      </c>
      <c r="G5039" s="162">
        <v>1</v>
      </c>
    </row>
    <row r="5040" spans="2:7" ht="28.8">
      <c r="B5040" s="162" t="s">
        <v>697</v>
      </c>
      <c r="C5040" s="162" t="s">
        <v>11236</v>
      </c>
      <c r="D5040" s="162" t="s">
        <v>11187</v>
      </c>
      <c r="F5040" s="162">
        <v>3766</v>
      </c>
      <c r="G5040" s="162">
        <v>1</v>
      </c>
    </row>
    <row r="5041" spans="2:7" ht="28.8">
      <c r="B5041" s="162" t="s">
        <v>697</v>
      </c>
      <c r="C5041" s="162" t="s">
        <v>11237</v>
      </c>
      <c r="D5041" s="162" t="s">
        <v>11189</v>
      </c>
      <c r="F5041" s="162">
        <v>3766</v>
      </c>
      <c r="G5041" s="162">
        <v>1</v>
      </c>
    </row>
    <row r="5042" spans="2:7" ht="28.8">
      <c r="B5042" s="162" t="s">
        <v>697</v>
      </c>
      <c r="C5042" s="162" t="s">
        <v>11238</v>
      </c>
      <c r="D5042" s="162" t="s">
        <v>11191</v>
      </c>
      <c r="F5042" s="162">
        <v>3766</v>
      </c>
      <c r="G5042" s="162">
        <v>1</v>
      </c>
    </row>
    <row r="5043" spans="2:7" ht="28.8">
      <c r="B5043" s="162" t="s">
        <v>697</v>
      </c>
      <c r="C5043" s="162" t="s">
        <v>11239</v>
      </c>
      <c r="D5043" s="162" t="s">
        <v>11193</v>
      </c>
      <c r="F5043" s="162">
        <v>3766</v>
      </c>
      <c r="G5043" s="162">
        <v>1</v>
      </c>
    </row>
    <row r="5044" spans="2:7" ht="28.8">
      <c r="B5044" s="162" t="s">
        <v>697</v>
      </c>
      <c r="C5044" s="162" t="s">
        <v>11240</v>
      </c>
      <c r="D5044" s="162" t="s">
        <v>11241</v>
      </c>
      <c r="F5044" s="162">
        <v>3766</v>
      </c>
      <c r="G5044" s="162">
        <v>1</v>
      </c>
    </row>
    <row r="5045" spans="2:7" ht="28.8">
      <c r="B5045" s="162" t="s">
        <v>697</v>
      </c>
      <c r="C5045" s="162" t="s">
        <v>11242</v>
      </c>
      <c r="D5045" s="162" t="s">
        <v>11195</v>
      </c>
      <c r="F5045" s="162">
        <v>5744</v>
      </c>
      <c r="G5045" s="162">
        <v>1</v>
      </c>
    </row>
    <row r="5046" spans="2:7" ht="28.8">
      <c r="B5046" s="162" t="s">
        <v>697</v>
      </c>
      <c r="C5046" s="162" t="s">
        <v>11243</v>
      </c>
      <c r="D5046" s="162" t="s">
        <v>11197</v>
      </c>
      <c r="F5046" s="162">
        <v>5744</v>
      </c>
      <c r="G5046" s="162">
        <v>1</v>
      </c>
    </row>
    <row r="5047" spans="2:7" ht="28.8">
      <c r="B5047" s="162" t="s">
        <v>697</v>
      </c>
      <c r="C5047" s="162" t="s">
        <v>11244</v>
      </c>
      <c r="D5047" s="162" t="s">
        <v>11199</v>
      </c>
      <c r="F5047" s="162">
        <v>5744</v>
      </c>
      <c r="G5047" s="162">
        <v>1</v>
      </c>
    </row>
    <row r="5048" spans="2:7" ht="28.8">
      <c r="B5048" s="162" t="s">
        <v>697</v>
      </c>
      <c r="C5048" s="162" t="s">
        <v>11245</v>
      </c>
      <c r="D5048" s="162" t="s">
        <v>11201</v>
      </c>
      <c r="F5048" s="162">
        <v>5744</v>
      </c>
      <c r="G5048" s="162">
        <v>1</v>
      </c>
    </row>
    <row r="5049" spans="2:7" ht="28.8">
      <c r="B5049" s="162" t="s">
        <v>697</v>
      </c>
      <c r="C5049" s="162" t="s">
        <v>11246</v>
      </c>
      <c r="D5049" s="162" t="s">
        <v>11203</v>
      </c>
      <c r="F5049" s="162">
        <v>5744</v>
      </c>
      <c r="G5049" s="162">
        <v>1</v>
      </c>
    </row>
    <row r="5050" spans="2:7" ht="28.8">
      <c r="B5050" s="162" t="s">
        <v>697</v>
      </c>
      <c r="C5050" s="162" t="s">
        <v>11247</v>
      </c>
      <c r="D5050" s="162" t="s">
        <v>11248</v>
      </c>
      <c r="F5050" s="162">
        <v>5744</v>
      </c>
      <c r="G5050" s="162">
        <v>1</v>
      </c>
    </row>
    <row r="5051" spans="2:7" ht="28.8">
      <c r="B5051" s="162" t="s">
        <v>697</v>
      </c>
      <c r="C5051" s="162" t="s">
        <v>11249</v>
      </c>
      <c r="D5051" s="162" t="s">
        <v>11205</v>
      </c>
      <c r="F5051" s="162">
        <v>6110</v>
      </c>
      <c r="G5051" s="162">
        <v>1</v>
      </c>
    </row>
    <row r="5052" spans="2:7" ht="28.8">
      <c r="B5052" s="162" t="s">
        <v>697</v>
      </c>
      <c r="C5052" s="162" t="s">
        <v>11250</v>
      </c>
      <c r="D5052" s="162" t="s">
        <v>11207</v>
      </c>
      <c r="F5052" s="162">
        <v>6110</v>
      </c>
      <c r="G5052" s="162">
        <v>1</v>
      </c>
    </row>
    <row r="5053" spans="2:7" ht="28.8">
      <c r="B5053" s="162" t="s">
        <v>697</v>
      </c>
      <c r="C5053" s="162" t="s">
        <v>11251</v>
      </c>
      <c r="D5053" s="162" t="s">
        <v>11209</v>
      </c>
      <c r="F5053" s="162">
        <v>6110</v>
      </c>
      <c r="G5053" s="162">
        <v>1</v>
      </c>
    </row>
    <row r="5054" spans="2:7" ht="28.8">
      <c r="B5054" s="162" t="s">
        <v>697</v>
      </c>
      <c r="C5054" s="162" t="s">
        <v>11252</v>
      </c>
      <c r="D5054" s="162" t="s">
        <v>11211</v>
      </c>
      <c r="F5054" s="162">
        <v>6110</v>
      </c>
      <c r="G5054" s="162">
        <v>1</v>
      </c>
    </row>
    <row r="5055" spans="2:7" ht="28.8">
      <c r="B5055" s="162" t="s">
        <v>697</v>
      </c>
      <c r="C5055" s="162" t="s">
        <v>11253</v>
      </c>
      <c r="D5055" s="162" t="s">
        <v>11213</v>
      </c>
      <c r="F5055" s="162">
        <v>6110</v>
      </c>
      <c r="G5055" s="162">
        <v>1</v>
      </c>
    </row>
    <row r="5056" spans="2:7" ht="28.8">
      <c r="B5056" s="162" t="s">
        <v>697</v>
      </c>
      <c r="C5056" s="162" t="s">
        <v>11254</v>
      </c>
      <c r="D5056" s="162" t="s">
        <v>11255</v>
      </c>
      <c r="F5056" s="162">
        <v>6110</v>
      </c>
      <c r="G5056" s="162">
        <v>1</v>
      </c>
    </row>
    <row r="5057" spans="2:7" ht="28.8">
      <c r="B5057" s="162" t="s">
        <v>697</v>
      </c>
      <c r="C5057" s="162" t="s">
        <v>11256</v>
      </c>
      <c r="D5057" s="162" t="s">
        <v>11257</v>
      </c>
      <c r="F5057" s="162">
        <v>3766</v>
      </c>
      <c r="G5057" s="162">
        <v>1</v>
      </c>
    </row>
    <row r="5058" spans="2:7" ht="28.8">
      <c r="B5058" s="162" t="s">
        <v>697</v>
      </c>
      <c r="C5058" s="162" t="s">
        <v>11258</v>
      </c>
      <c r="D5058" s="162" t="s">
        <v>11259</v>
      </c>
      <c r="F5058" s="162">
        <v>5744</v>
      </c>
      <c r="G5058" s="162">
        <v>1</v>
      </c>
    </row>
    <row r="5059" spans="2:7" ht="28.8">
      <c r="B5059" s="162" t="s">
        <v>697</v>
      </c>
      <c r="C5059" s="162" t="s">
        <v>11260</v>
      </c>
      <c r="D5059" s="162" t="s">
        <v>11261</v>
      </c>
      <c r="F5059" s="162">
        <v>6110</v>
      </c>
      <c r="G5059" s="162">
        <v>1</v>
      </c>
    </row>
    <row r="5060" spans="2:7" ht="28.8">
      <c r="B5060" s="162" t="s">
        <v>697</v>
      </c>
      <c r="C5060" s="162" t="s">
        <v>11262</v>
      </c>
      <c r="D5060" s="162" t="s">
        <v>11185</v>
      </c>
      <c r="F5060" s="162">
        <v>4734</v>
      </c>
      <c r="G5060" s="162">
        <v>1</v>
      </c>
    </row>
    <row r="5061" spans="2:7" ht="28.8">
      <c r="B5061" s="162" t="s">
        <v>697</v>
      </c>
      <c r="C5061" s="162" t="s">
        <v>11263</v>
      </c>
      <c r="D5061" s="162" t="s">
        <v>11187</v>
      </c>
      <c r="F5061" s="162">
        <v>4734</v>
      </c>
      <c r="G5061" s="162">
        <v>1</v>
      </c>
    </row>
    <row r="5062" spans="2:7" ht="28.8">
      <c r="B5062" s="162" t="s">
        <v>697</v>
      </c>
      <c r="C5062" s="162" t="s">
        <v>11264</v>
      </c>
      <c r="D5062" s="162" t="s">
        <v>11189</v>
      </c>
      <c r="F5062" s="162">
        <v>4734</v>
      </c>
      <c r="G5062" s="162">
        <v>1</v>
      </c>
    </row>
    <row r="5063" spans="2:7" ht="28.8">
      <c r="B5063" s="162" t="s">
        <v>697</v>
      </c>
      <c r="C5063" s="162" t="s">
        <v>11265</v>
      </c>
      <c r="D5063" s="162" t="s">
        <v>11191</v>
      </c>
      <c r="F5063" s="162">
        <v>4734</v>
      </c>
      <c r="G5063" s="162">
        <v>1</v>
      </c>
    </row>
    <row r="5064" spans="2:7" ht="28.8">
      <c r="B5064" s="162" t="s">
        <v>697</v>
      </c>
      <c r="C5064" s="162" t="s">
        <v>11266</v>
      </c>
      <c r="D5064" s="162" t="s">
        <v>11193</v>
      </c>
      <c r="F5064" s="162">
        <v>4734</v>
      </c>
      <c r="G5064" s="162">
        <v>1</v>
      </c>
    </row>
    <row r="5065" spans="2:7" ht="28.8">
      <c r="B5065" s="162" t="s">
        <v>697</v>
      </c>
      <c r="C5065" s="162" t="s">
        <v>11267</v>
      </c>
      <c r="D5065" s="162" t="s">
        <v>11195</v>
      </c>
      <c r="F5065" s="162">
        <v>7146</v>
      </c>
      <c r="G5065" s="162">
        <v>1</v>
      </c>
    </row>
    <row r="5066" spans="2:7" ht="28.8">
      <c r="B5066" s="162" t="s">
        <v>697</v>
      </c>
      <c r="C5066" s="162" t="s">
        <v>11268</v>
      </c>
      <c r="D5066" s="162" t="s">
        <v>11197</v>
      </c>
      <c r="F5066" s="162">
        <v>7146</v>
      </c>
      <c r="G5066" s="162">
        <v>1</v>
      </c>
    </row>
    <row r="5067" spans="2:7" ht="28.8">
      <c r="B5067" s="162" t="s">
        <v>697</v>
      </c>
      <c r="C5067" s="162" t="s">
        <v>11269</v>
      </c>
      <c r="D5067" s="162" t="s">
        <v>11199</v>
      </c>
      <c r="F5067" s="162">
        <v>7146</v>
      </c>
      <c r="G5067" s="162">
        <v>1</v>
      </c>
    </row>
    <row r="5068" spans="2:7" ht="28.8">
      <c r="B5068" s="162" t="s">
        <v>697</v>
      </c>
      <c r="C5068" s="162" t="s">
        <v>11270</v>
      </c>
      <c r="D5068" s="162" t="s">
        <v>11201</v>
      </c>
      <c r="F5068" s="162">
        <v>7146</v>
      </c>
      <c r="G5068" s="162">
        <v>1</v>
      </c>
    </row>
    <row r="5069" spans="2:7" ht="28.8">
      <c r="B5069" s="162" t="s">
        <v>697</v>
      </c>
      <c r="C5069" s="162" t="s">
        <v>11271</v>
      </c>
      <c r="D5069" s="162" t="s">
        <v>11203</v>
      </c>
      <c r="F5069" s="162">
        <v>7146</v>
      </c>
      <c r="G5069" s="162">
        <v>1</v>
      </c>
    </row>
    <row r="5070" spans="2:7" ht="28.8">
      <c r="B5070" s="162" t="s">
        <v>697</v>
      </c>
      <c r="C5070" s="162" t="s">
        <v>11272</v>
      </c>
      <c r="D5070" s="162" t="s">
        <v>11205</v>
      </c>
      <c r="F5070" s="162">
        <v>7512</v>
      </c>
      <c r="G5070" s="162">
        <v>1</v>
      </c>
    </row>
    <row r="5071" spans="2:7" ht="28.8">
      <c r="B5071" s="162" t="s">
        <v>697</v>
      </c>
      <c r="C5071" s="162" t="s">
        <v>11273</v>
      </c>
      <c r="D5071" s="162" t="s">
        <v>11207</v>
      </c>
      <c r="F5071" s="162">
        <v>7512</v>
      </c>
      <c r="G5071" s="162">
        <v>1</v>
      </c>
    </row>
    <row r="5072" spans="2:7" ht="28.8">
      <c r="B5072" s="162" t="s">
        <v>697</v>
      </c>
      <c r="C5072" s="162" t="s">
        <v>11274</v>
      </c>
      <c r="D5072" s="162" t="s">
        <v>11209</v>
      </c>
      <c r="F5072" s="162">
        <v>7512</v>
      </c>
      <c r="G5072" s="162">
        <v>1</v>
      </c>
    </row>
    <row r="5073" spans="2:7" ht="28.8">
      <c r="B5073" s="162" t="s">
        <v>697</v>
      </c>
      <c r="C5073" s="162" t="s">
        <v>11275</v>
      </c>
      <c r="D5073" s="162" t="s">
        <v>11211</v>
      </c>
      <c r="F5073" s="162">
        <v>7512</v>
      </c>
      <c r="G5073" s="162">
        <v>1</v>
      </c>
    </row>
    <row r="5074" spans="2:7" ht="28.8">
      <c r="B5074" s="162" t="s">
        <v>697</v>
      </c>
      <c r="C5074" s="162" t="s">
        <v>11276</v>
      </c>
      <c r="D5074" s="162" t="s">
        <v>11213</v>
      </c>
      <c r="F5074" s="162">
        <v>7512</v>
      </c>
      <c r="G5074" s="162">
        <v>1</v>
      </c>
    </row>
    <row r="5075" spans="2:7" ht="28.8">
      <c r="B5075" s="162" t="s">
        <v>697</v>
      </c>
      <c r="C5075" s="162" t="s">
        <v>11214</v>
      </c>
      <c r="D5075" s="162" t="s">
        <v>11215</v>
      </c>
      <c r="F5075" s="162">
        <v>392</v>
      </c>
      <c r="G5075" s="162">
        <v>1</v>
      </c>
    </row>
    <row r="5076" spans="2:7" ht="28.8">
      <c r="B5076" s="162" t="s">
        <v>697</v>
      </c>
      <c r="C5076" s="162" t="s">
        <v>11216</v>
      </c>
      <c r="D5076" s="162" t="s">
        <v>11217</v>
      </c>
      <c r="F5076" s="162">
        <v>100</v>
      </c>
      <c r="G5076" s="162">
        <v>1</v>
      </c>
    </row>
    <row r="5077" spans="2:7" ht="28.8">
      <c r="B5077" s="162" t="s">
        <v>697</v>
      </c>
      <c r="C5077" s="162" t="s">
        <v>11218</v>
      </c>
      <c r="D5077" s="162" t="s">
        <v>11219</v>
      </c>
      <c r="F5077" s="162">
        <v>100</v>
      </c>
      <c r="G5077" s="162">
        <v>1</v>
      </c>
    </row>
    <row r="5078" spans="2:7" ht="28.8">
      <c r="B5078" s="162" t="s">
        <v>697</v>
      </c>
      <c r="C5078" s="162" t="s">
        <v>11277</v>
      </c>
      <c r="D5078" s="162" t="s">
        <v>11185</v>
      </c>
      <c r="F5078" s="162">
        <v>4734</v>
      </c>
      <c r="G5078" s="162">
        <v>1</v>
      </c>
    </row>
    <row r="5079" spans="2:7" ht="28.8">
      <c r="B5079" s="162" t="s">
        <v>697</v>
      </c>
      <c r="C5079" s="162" t="s">
        <v>11278</v>
      </c>
      <c r="D5079" s="162" t="s">
        <v>11187</v>
      </c>
      <c r="F5079" s="162">
        <v>4734</v>
      </c>
      <c r="G5079" s="162">
        <v>1</v>
      </c>
    </row>
    <row r="5080" spans="2:7" ht="28.8">
      <c r="B5080" s="162" t="s">
        <v>697</v>
      </c>
      <c r="C5080" s="162" t="s">
        <v>11279</v>
      </c>
      <c r="D5080" s="162" t="s">
        <v>11189</v>
      </c>
      <c r="F5080" s="162">
        <v>4734</v>
      </c>
      <c r="G5080" s="162">
        <v>1</v>
      </c>
    </row>
    <row r="5081" spans="2:7" ht="28.8">
      <c r="B5081" s="162" t="s">
        <v>697</v>
      </c>
      <c r="C5081" s="162" t="s">
        <v>11280</v>
      </c>
      <c r="D5081" s="162" t="s">
        <v>11191</v>
      </c>
      <c r="F5081" s="162">
        <v>4734</v>
      </c>
      <c r="G5081" s="162">
        <v>1</v>
      </c>
    </row>
    <row r="5082" spans="2:7" ht="28.8">
      <c r="B5082" s="162" t="s">
        <v>697</v>
      </c>
      <c r="C5082" s="162" t="s">
        <v>11281</v>
      </c>
      <c r="D5082" s="162" t="s">
        <v>11193</v>
      </c>
      <c r="F5082" s="162">
        <v>4734</v>
      </c>
      <c r="G5082" s="162">
        <v>1</v>
      </c>
    </row>
    <row r="5083" spans="2:7" ht="28.8">
      <c r="B5083" s="162" t="s">
        <v>697</v>
      </c>
      <c r="C5083" s="162" t="s">
        <v>11282</v>
      </c>
      <c r="D5083" s="162" t="s">
        <v>11195</v>
      </c>
      <c r="F5083" s="162">
        <v>7146</v>
      </c>
      <c r="G5083" s="162">
        <v>1</v>
      </c>
    </row>
    <row r="5084" spans="2:7" ht="28.8">
      <c r="B5084" s="162" t="s">
        <v>697</v>
      </c>
      <c r="C5084" s="162" t="s">
        <v>11283</v>
      </c>
      <c r="D5084" s="162" t="s">
        <v>11197</v>
      </c>
      <c r="F5084" s="162">
        <v>7146</v>
      </c>
      <c r="G5084" s="162">
        <v>1</v>
      </c>
    </row>
    <row r="5085" spans="2:7" ht="28.8">
      <c r="B5085" s="162" t="s">
        <v>697</v>
      </c>
      <c r="C5085" s="162" t="s">
        <v>11284</v>
      </c>
      <c r="D5085" s="162" t="s">
        <v>11199</v>
      </c>
      <c r="F5085" s="162">
        <v>7146</v>
      </c>
      <c r="G5085" s="162">
        <v>1</v>
      </c>
    </row>
    <row r="5086" spans="2:7" ht="28.8">
      <c r="B5086" s="162" t="s">
        <v>697</v>
      </c>
      <c r="C5086" s="162" t="s">
        <v>11285</v>
      </c>
      <c r="D5086" s="162" t="s">
        <v>11201</v>
      </c>
      <c r="F5086" s="162">
        <v>7146</v>
      </c>
      <c r="G5086" s="162">
        <v>1</v>
      </c>
    </row>
    <row r="5087" spans="2:7" ht="28.8">
      <c r="B5087" s="162" t="s">
        <v>697</v>
      </c>
      <c r="C5087" s="162" t="s">
        <v>11286</v>
      </c>
      <c r="D5087" s="162" t="s">
        <v>11203</v>
      </c>
      <c r="F5087" s="162">
        <v>7146</v>
      </c>
      <c r="G5087" s="162">
        <v>1</v>
      </c>
    </row>
    <row r="5088" spans="2:7" ht="28.8">
      <c r="B5088" s="162" t="s">
        <v>697</v>
      </c>
      <c r="C5088" s="162" t="s">
        <v>11287</v>
      </c>
      <c r="D5088" s="162" t="s">
        <v>11205</v>
      </c>
      <c r="F5088" s="162">
        <v>7512</v>
      </c>
      <c r="G5088" s="162">
        <v>1</v>
      </c>
    </row>
    <row r="5089" spans="2:7" ht="28.8">
      <c r="B5089" s="162" t="s">
        <v>697</v>
      </c>
      <c r="C5089" s="162" t="s">
        <v>11288</v>
      </c>
      <c r="D5089" s="162" t="s">
        <v>11207</v>
      </c>
      <c r="F5089" s="162">
        <v>7512</v>
      </c>
      <c r="G5089" s="162">
        <v>1</v>
      </c>
    </row>
    <row r="5090" spans="2:7" ht="28.8">
      <c r="B5090" s="162" t="s">
        <v>697</v>
      </c>
      <c r="C5090" s="162" t="s">
        <v>11289</v>
      </c>
      <c r="D5090" s="162" t="s">
        <v>11209</v>
      </c>
      <c r="F5090" s="162">
        <v>7512</v>
      </c>
      <c r="G5090" s="162">
        <v>1</v>
      </c>
    </row>
    <row r="5091" spans="2:7" ht="28.8">
      <c r="B5091" s="162" t="s">
        <v>697</v>
      </c>
      <c r="C5091" s="162" t="s">
        <v>11290</v>
      </c>
      <c r="D5091" s="162" t="s">
        <v>11211</v>
      </c>
      <c r="F5091" s="162">
        <v>7512</v>
      </c>
      <c r="G5091" s="162">
        <v>1</v>
      </c>
    </row>
    <row r="5092" spans="2:7" ht="28.8">
      <c r="B5092" s="162" t="s">
        <v>697</v>
      </c>
      <c r="C5092" s="162" t="s">
        <v>11291</v>
      </c>
      <c r="D5092" s="162" t="s">
        <v>11213</v>
      </c>
      <c r="F5092" s="162">
        <v>7512</v>
      </c>
      <c r="G5092" s="162">
        <v>1</v>
      </c>
    </row>
    <row r="5093" spans="2:7" ht="28.8">
      <c r="B5093" s="162" t="s">
        <v>697</v>
      </c>
      <c r="C5093" s="162" t="s">
        <v>11214</v>
      </c>
      <c r="D5093" s="162" t="s">
        <v>11215</v>
      </c>
      <c r="F5093" s="162">
        <v>392</v>
      </c>
      <c r="G5093" s="162">
        <v>1</v>
      </c>
    </row>
    <row r="5094" spans="2:7" ht="28.8">
      <c r="B5094" s="162" t="s">
        <v>697</v>
      </c>
      <c r="C5094" s="162" t="s">
        <v>11292</v>
      </c>
      <c r="D5094" s="162" t="s">
        <v>11185</v>
      </c>
      <c r="F5094" s="162">
        <v>4350</v>
      </c>
      <c r="G5094" s="162">
        <v>1</v>
      </c>
    </row>
    <row r="5095" spans="2:7" ht="28.8">
      <c r="B5095" s="162" t="s">
        <v>697</v>
      </c>
      <c r="C5095" s="162" t="s">
        <v>11293</v>
      </c>
      <c r="D5095" s="162" t="s">
        <v>11187</v>
      </c>
      <c r="F5095" s="162">
        <v>4350</v>
      </c>
      <c r="G5095" s="162">
        <v>1</v>
      </c>
    </row>
    <row r="5096" spans="2:7" ht="28.8">
      <c r="B5096" s="162" t="s">
        <v>697</v>
      </c>
      <c r="C5096" s="162" t="s">
        <v>11294</v>
      </c>
      <c r="D5096" s="162" t="s">
        <v>11189</v>
      </c>
      <c r="F5096" s="162">
        <v>4350</v>
      </c>
      <c r="G5096" s="162">
        <v>1</v>
      </c>
    </row>
    <row r="5097" spans="2:7" ht="28.8">
      <c r="B5097" s="162" t="s">
        <v>697</v>
      </c>
      <c r="C5097" s="162" t="s">
        <v>11295</v>
      </c>
      <c r="D5097" s="162" t="s">
        <v>11191</v>
      </c>
      <c r="F5097" s="162">
        <v>4350</v>
      </c>
      <c r="G5097" s="162">
        <v>1</v>
      </c>
    </row>
    <row r="5098" spans="2:7" ht="28.8">
      <c r="B5098" s="162" t="s">
        <v>697</v>
      </c>
      <c r="C5098" s="162" t="s">
        <v>11296</v>
      </c>
      <c r="D5098" s="162" t="s">
        <v>11193</v>
      </c>
      <c r="F5098" s="162">
        <v>4350</v>
      </c>
      <c r="G5098" s="162">
        <v>1</v>
      </c>
    </row>
    <row r="5099" spans="2:7" ht="28.8">
      <c r="B5099" s="162" t="s">
        <v>697</v>
      </c>
      <c r="C5099" s="162" t="s">
        <v>11297</v>
      </c>
      <c r="D5099" s="162" t="s">
        <v>11241</v>
      </c>
      <c r="F5099" s="162">
        <v>4350</v>
      </c>
      <c r="G5099" s="162">
        <v>1</v>
      </c>
    </row>
    <row r="5100" spans="2:7" ht="28.8">
      <c r="B5100" s="162" t="s">
        <v>697</v>
      </c>
      <c r="C5100" s="162" t="s">
        <v>11298</v>
      </c>
      <c r="D5100" s="162" t="s">
        <v>11195</v>
      </c>
      <c r="F5100" s="162">
        <v>6760</v>
      </c>
      <c r="G5100" s="162">
        <v>1</v>
      </c>
    </row>
    <row r="5101" spans="2:7" ht="28.8">
      <c r="B5101" s="162" t="s">
        <v>697</v>
      </c>
      <c r="C5101" s="162" t="s">
        <v>11299</v>
      </c>
      <c r="D5101" s="162" t="s">
        <v>11197</v>
      </c>
      <c r="F5101" s="162">
        <v>6760</v>
      </c>
      <c r="G5101" s="162">
        <v>1</v>
      </c>
    </row>
    <row r="5102" spans="2:7" ht="28.8">
      <c r="B5102" s="162" t="s">
        <v>697</v>
      </c>
      <c r="C5102" s="162" t="s">
        <v>11300</v>
      </c>
      <c r="D5102" s="162" t="s">
        <v>11199</v>
      </c>
      <c r="F5102" s="162">
        <v>6760</v>
      </c>
      <c r="G5102" s="162">
        <v>1</v>
      </c>
    </row>
    <row r="5103" spans="2:7" ht="28.8">
      <c r="B5103" s="162" t="s">
        <v>697</v>
      </c>
      <c r="C5103" s="162" t="s">
        <v>11301</v>
      </c>
      <c r="D5103" s="162" t="s">
        <v>11201</v>
      </c>
      <c r="F5103" s="162">
        <v>6760</v>
      </c>
      <c r="G5103" s="162">
        <v>1</v>
      </c>
    </row>
    <row r="5104" spans="2:7" ht="28.8">
      <c r="B5104" s="162" t="s">
        <v>697</v>
      </c>
      <c r="C5104" s="162" t="s">
        <v>11302</v>
      </c>
      <c r="D5104" s="162" t="s">
        <v>11203</v>
      </c>
      <c r="F5104" s="162">
        <v>6760</v>
      </c>
      <c r="G5104" s="162">
        <v>1</v>
      </c>
    </row>
    <row r="5105" spans="2:7" ht="28.8">
      <c r="B5105" s="162" t="s">
        <v>697</v>
      </c>
      <c r="C5105" s="162" t="s">
        <v>11303</v>
      </c>
      <c r="D5105" s="162" t="s">
        <v>11248</v>
      </c>
      <c r="F5105" s="162">
        <v>6760</v>
      </c>
      <c r="G5105" s="162">
        <v>1</v>
      </c>
    </row>
    <row r="5106" spans="2:7" ht="28.8">
      <c r="B5106" s="162" t="s">
        <v>697</v>
      </c>
      <c r="C5106" s="162" t="s">
        <v>11304</v>
      </c>
      <c r="D5106" s="162" t="s">
        <v>11205</v>
      </c>
      <c r="F5106" s="162">
        <v>7128</v>
      </c>
      <c r="G5106" s="162">
        <v>1</v>
      </c>
    </row>
    <row r="5107" spans="2:7" ht="28.8">
      <c r="B5107" s="162" t="s">
        <v>697</v>
      </c>
      <c r="C5107" s="162" t="s">
        <v>11305</v>
      </c>
      <c r="D5107" s="162" t="s">
        <v>11207</v>
      </c>
      <c r="F5107" s="162">
        <v>7128</v>
      </c>
      <c r="G5107" s="162">
        <v>1</v>
      </c>
    </row>
    <row r="5108" spans="2:7" ht="28.8">
      <c r="B5108" s="162" t="s">
        <v>697</v>
      </c>
      <c r="C5108" s="162" t="s">
        <v>11306</v>
      </c>
      <c r="D5108" s="162" t="s">
        <v>11209</v>
      </c>
      <c r="F5108" s="162">
        <v>7128</v>
      </c>
      <c r="G5108" s="162">
        <v>1</v>
      </c>
    </row>
    <row r="5109" spans="2:7" ht="28.8">
      <c r="B5109" s="162" t="s">
        <v>697</v>
      </c>
      <c r="C5109" s="162" t="s">
        <v>11307</v>
      </c>
      <c r="D5109" s="162" t="s">
        <v>11211</v>
      </c>
      <c r="F5109" s="162">
        <v>7128</v>
      </c>
      <c r="G5109" s="162">
        <v>1</v>
      </c>
    </row>
    <row r="5110" spans="2:7" ht="28.8">
      <c r="B5110" s="162" t="s">
        <v>697</v>
      </c>
      <c r="C5110" s="162" t="s">
        <v>11308</v>
      </c>
      <c r="D5110" s="162" t="s">
        <v>11213</v>
      </c>
      <c r="F5110" s="162">
        <v>7128</v>
      </c>
      <c r="G5110" s="162">
        <v>1</v>
      </c>
    </row>
    <row r="5111" spans="2:7" ht="28.8">
      <c r="B5111" s="162" t="s">
        <v>697</v>
      </c>
      <c r="C5111" s="162" t="s">
        <v>11309</v>
      </c>
      <c r="D5111" s="162" t="s">
        <v>11255</v>
      </c>
      <c r="F5111" s="162">
        <v>7128</v>
      </c>
      <c r="G5111" s="162">
        <v>1</v>
      </c>
    </row>
    <row r="5112" spans="2:7" ht="28.8">
      <c r="B5112" s="162" t="s">
        <v>697</v>
      </c>
      <c r="C5112" s="162" t="s">
        <v>11214</v>
      </c>
      <c r="D5112" s="162" t="s">
        <v>11215</v>
      </c>
      <c r="F5112" s="162">
        <v>392</v>
      </c>
      <c r="G5112" s="162">
        <v>1</v>
      </c>
    </row>
    <row r="5113" spans="2:7" ht="28.8">
      <c r="B5113" s="162" t="s">
        <v>697</v>
      </c>
      <c r="C5113" s="162" t="s">
        <v>11310</v>
      </c>
      <c r="D5113" s="162" t="s">
        <v>11257</v>
      </c>
      <c r="F5113" s="162">
        <v>4490</v>
      </c>
      <c r="G5113" s="162">
        <v>1</v>
      </c>
    </row>
    <row r="5114" spans="2:7" ht="28.8">
      <c r="B5114" s="162" t="s">
        <v>697</v>
      </c>
      <c r="C5114" s="162" t="s">
        <v>11311</v>
      </c>
      <c r="D5114" s="162" t="s">
        <v>11259</v>
      </c>
      <c r="F5114" s="162">
        <v>6902</v>
      </c>
      <c r="G5114" s="162">
        <v>1</v>
      </c>
    </row>
    <row r="5115" spans="2:7" ht="28.8">
      <c r="B5115" s="162" t="s">
        <v>697</v>
      </c>
      <c r="C5115" s="162" t="s">
        <v>11312</v>
      </c>
      <c r="D5115" s="162" t="s">
        <v>11261</v>
      </c>
      <c r="F5115" s="162">
        <v>7270</v>
      </c>
      <c r="G5115" s="162">
        <v>1</v>
      </c>
    </row>
    <row r="5116" spans="2:7" ht="28.8">
      <c r="B5116" s="162" t="s">
        <v>697</v>
      </c>
      <c r="C5116" s="162" t="s">
        <v>11313</v>
      </c>
      <c r="D5116" s="162" t="s">
        <v>11314</v>
      </c>
      <c r="F5116" s="162">
        <v>1410</v>
      </c>
      <c r="G5116" s="162">
        <v>1</v>
      </c>
    </row>
    <row r="5117" spans="2:7" ht="43.2">
      <c r="B5117" s="162" t="s">
        <v>697</v>
      </c>
      <c r="C5117" s="162" t="s">
        <v>11315</v>
      </c>
      <c r="D5117" s="162" t="s">
        <v>11316</v>
      </c>
      <c r="F5117" s="162">
        <v>342</v>
      </c>
      <c r="G5117" s="162">
        <v>1</v>
      </c>
    </row>
    <row r="5118" spans="2:7" ht="43.2">
      <c r="B5118" s="162" t="s">
        <v>697</v>
      </c>
      <c r="C5118" s="162" t="s">
        <v>11317</v>
      </c>
      <c r="D5118" s="162" t="s">
        <v>11318</v>
      </c>
      <c r="F5118" s="162">
        <v>100</v>
      </c>
      <c r="G5118" s="162">
        <v>1</v>
      </c>
    </row>
    <row r="5119" spans="2:7" ht="28.8">
      <c r="B5119" s="162" t="s">
        <v>697</v>
      </c>
      <c r="C5119" s="162" t="s">
        <v>11216</v>
      </c>
      <c r="D5119" s="162" t="s">
        <v>11217</v>
      </c>
      <c r="F5119" s="162">
        <v>100</v>
      </c>
      <c r="G5119" s="162">
        <v>1</v>
      </c>
    </row>
    <row r="5120" spans="2:7" ht="28.8">
      <c r="B5120" s="162" t="s">
        <v>697</v>
      </c>
      <c r="C5120" s="162" t="s">
        <v>11218</v>
      </c>
      <c r="D5120" s="162" t="s">
        <v>11219</v>
      </c>
      <c r="F5120" s="162">
        <v>100</v>
      </c>
      <c r="G5120" s="162">
        <v>1</v>
      </c>
    </row>
    <row r="5121" spans="2:7" ht="28.8">
      <c r="B5121" s="162" t="s">
        <v>697</v>
      </c>
      <c r="C5121" s="162" t="s">
        <v>11319</v>
      </c>
      <c r="D5121" s="162" t="s">
        <v>11320</v>
      </c>
      <c r="F5121" s="162">
        <v>250</v>
      </c>
      <c r="G5121" s="162">
        <v>1</v>
      </c>
    </row>
    <row r="5122" spans="2:7" ht="28.8">
      <c r="B5122" s="162" t="s">
        <v>697</v>
      </c>
      <c r="C5122" s="162" t="s">
        <v>11214</v>
      </c>
      <c r="D5122" s="162" t="s">
        <v>11215</v>
      </c>
      <c r="F5122" s="162">
        <v>392</v>
      </c>
      <c r="G5122" s="162">
        <v>1</v>
      </c>
    </row>
    <row r="5123" spans="2:7" ht="28.8">
      <c r="B5123" s="162" t="s">
        <v>697</v>
      </c>
      <c r="C5123" s="162" t="s">
        <v>11070</v>
      </c>
      <c r="D5123" s="162" t="s">
        <v>11321</v>
      </c>
      <c r="F5123" s="162">
        <v>34</v>
      </c>
      <c r="G5123" s="162">
        <v>1</v>
      </c>
    </row>
    <row r="5124" spans="2:7" ht="28.8">
      <c r="B5124" s="162" t="s">
        <v>697</v>
      </c>
      <c r="C5124" s="162" t="s">
        <v>10607</v>
      </c>
      <c r="D5124" s="162" t="s">
        <v>10961</v>
      </c>
      <c r="F5124" s="162">
        <v>1118</v>
      </c>
      <c r="G5124" s="162">
        <v>1</v>
      </c>
    </row>
    <row r="5125" spans="2:7" ht="28.8">
      <c r="B5125" s="162" t="s">
        <v>697</v>
      </c>
      <c r="C5125" s="162" t="s">
        <v>10615</v>
      </c>
      <c r="D5125" s="162" t="s">
        <v>11322</v>
      </c>
      <c r="F5125" s="162">
        <v>118</v>
      </c>
      <c r="G5125" s="162">
        <v>1</v>
      </c>
    </row>
    <row r="5126" spans="2:7" ht="28.8">
      <c r="B5126" s="162" t="s">
        <v>697</v>
      </c>
      <c r="C5126" s="162" t="s">
        <v>11323</v>
      </c>
      <c r="D5126" s="162" t="s">
        <v>11324</v>
      </c>
      <c r="F5126" s="162">
        <v>200</v>
      </c>
      <c r="G5126" s="162">
        <v>1</v>
      </c>
    </row>
    <row r="5127" spans="2:7" ht="28.8">
      <c r="B5127" s="162" t="s">
        <v>697</v>
      </c>
      <c r="C5127" s="162" t="s">
        <v>11325</v>
      </c>
      <c r="D5127" s="162" t="s">
        <v>11326</v>
      </c>
      <c r="F5127" s="162">
        <v>4120</v>
      </c>
      <c r="G5127" s="162">
        <v>1</v>
      </c>
    </row>
    <row r="5128" spans="2:7" ht="28.8">
      <c r="B5128" s="162" t="s">
        <v>697</v>
      </c>
      <c r="C5128" s="162" t="s">
        <v>11327</v>
      </c>
      <c r="D5128" s="162" t="s">
        <v>11328</v>
      </c>
      <c r="F5128" s="162">
        <v>6278</v>
      </c>
      <c r="G5128" s="162">
        <v>1</v>
      </c>
    </row>
    <row r="5129" spans="2:7" ht="28.8">
      <c r="B5129" s="162" t="s">
        <v>697</v>
      </c>
      <c r="C5129" s="162" t="s">
        <v>11329</v>
      </c>
      <c r="D5129" s="162" t="s">
        <v>11330</v>
      </c>
      <c r="F5129" s="162">
        <v>6534</v>
      </c>
      <c r="G5129" s="162">
        <v>1</v>
      </c>
    </row>
    <row r="5130" spans="2:7" ht="28.8">
      <c r="B5130" s="162" t="s">
        <v>697</v>
      </c>
      <c r="C5130" s="162" t="s">
        <v>11331</v>
      </c>
      <c r="D5130" s="162" t="s">
        <v>11332</v>
      </c>
      <c r="F5130" s="162">
        <v>4686</v>
      </c>
      <c r="G5130" s="162">
        <v>1</v>
      </c>
    </row>
    <row r="5131" spans="2:7" ht="28.8">
      <c r="B5131" s="162" t="s">
        <v>697</v>
      </c>
      <c r="C5131" s="162" t="s">
        <v>11333</v>
      </c>
      <c r="D5131" s="162" t="s">
        <v>11334</v>
      </c>
      <c r="F5131" s="162">
        <v>7270</v>
      </c>
      <c r="G5131" s="162">
        <v>1</v>
      </c>
    </row>
    <row r="5132" spans="2:7" ht="28.8">
      <c r="B5132" s="162" t="s">
        <v>697</v>
      </c>
      <c r="C5132" s="162" t="s">
        <v>11335</v>
      </c>
      <c r="D5132" s="162" t="s">
        <v>11336</v>
      </c>
      <c r="F5132" s="162">
        <v>7526</v>
      </c>
      <c r="G5132" s="162">
        <v>1</v>
      </c>
    </row>
    <row r="5133" spans="2:7" ht="28.8">
      <c r="B5133" s="162" t="s">
        <v>697</v>
      </c>
      <c r="C5133" s="162" t="s">
        <v>11337</v>
      </c>
      <c r="D5133" s="162" t="s">
        <v>11338</v>
      </c>
      <c r="F5133" s="162">
        <v>60</v>
      </c>
      <c r="G5133" s="162">
        <v>1</v>
      </c>
    </row>
    <row r="5134" spans="2:7" ht="28.8">
      <c r="B5134" s="162" t="s">
        <v>697</v>
      </c>
      <c r="C5134" s="162" t="s">
        <v>11339</v>
      </c>
      <c r="D5134" s="162" t="s">
        <v>11340</v>
      </c>
      <c r="F5134" s="162">
        <v>384</v>
      </c>
      <c r="G5134" s="162">
        <v>1</v>
      </c>
    </row>
    <row r="5135" spans="2:7" ht="43.2">
      <c r="B5135" s="162" t="s">
        <v>697</v>
      </c>
      <c r="C5135" s="162" t="s">
        <v>11341</v>
      </c>
      <c r="D5135" s="162" t="s">
        <v>11342</v>
      </c>
      <c r="F5135" s="162">
        <v>1000</v>
      </c>
      <c r="G5135" s="162">
        <v>1</v>
      </c>
    </row>
    <row r="5136" spans="2:7" ht="28.8">
      <c r="B5136" s="162" t="s">
        <v>697</v>
      </c>
      <c r="C5136" s="162" t="s">
        <v>11343</v>
      </c>
      <c r="D5136" s="162" t="s">
        <v>11344</v>
      </c>
      <c r="F5136" s="162">
        <v>568</v>
      </c>
      <c r="G5136" s="162">
        <v>1</v>
      </c>
    </row>
    <row r="5137" spans="2:7" ht="43.2">
      <c r="B5137" s="162" t="s">
        <v>697</v>
      </c>
      <c r="C5137" s="162" t="s">
        <v>11345</v>
      </c>
      <c r="D5137" s="162" t="s">
        <v>11346</v>
      </c>
      <c r="F5137" s="162">
        <v>500</v>
      </c>
      <c r="G5137" s="162">
        <v>1</v>
      </c>
    </row>
    <row r="5138" spans="2:7" ht="28.8">
      <c r="B5138" s="162" t="s">
        <v>697</v>
      </c>
      <c r="C5138" s="162" t="s">
        <v>1759</v>
      </c>
      <c r="D5138" s="162" t="s">
        <v>11347</v>
      </c>
      <c r="F5138" s="162">
        <v>1840</v>
      </c>
      <c r="G5138" s="162">
        <v>1</v>
      </c>
    </row>
    <row r="5139" spans="2:7" ht="28.8">
      <c r="B5139" s="162" t="s">
        <v>697</v>
      </c>
      <c r="C5139" s="162" t="s">
        <v>11348</v>
      </c>
      <c r="D5139" s="162" t="s">
        <v>11349</v>
      </c>
      <c r="F5139" s="162">
        <v>2472</v>
      </c>
      <c r="G5139" s="162">
        <v>1</v>
      </c>
    </row>
    <row r="5140" spans="2:7" ht="28.8">
      <c r="B5140" s="162" t="s">
        <v>697</v>
      </c>
      <c r="C5140" s="162" t="s">
        <v>11350</v>
      </c>
      <c r="D5140" s="162" t="s">
        <v>11351</v>
      </c>
      <c r="F5140" s="162">
        <v>3818</v>
      </c>
      <c r="G5140" s="162">
        <v>1</v>
      </c>
    </row>
    <row r="5141" spans="2:7" ht="28.8">
      <c r="B5141" s="162" t="s">
        <v>697</v>
      </c>
      <c r="C5141" s="162" t="s">
        <v>11352</v>
      </c>
      <c r="D5141" s="162" t="s">
        <v>11353</v>
      </c>
      <c r="F5141" s="162">
        <v>4884</v>
      </c>
      <c r="G5141" s="162">
        <v>1</v>
      </c>
    </row>
    <row r="5142" spans="2:7" ht="28.8">
      <c r="B5142" s="162" t="s">
        <v>697</v>
      </c>
      <c r="C5142" s="162" t="s">
        <v>11354</v>
      </c>
      <c r="D5142" s="162" t="s">
        <v>11355</v>
      </c>
      <c r="F5142" s="162">
        <v>4184</v>
      </c>
      <c r="G5142" s="162">
        <v>1</v>
      </c>
    </row>
    <row r="5143" spans="2:7" ht="43.2">
      <c r="B5143" s="162" t="s">
        <v>697</v>
      </c>
      <c r="C5143" s="162" t="s">
        <v>11356</v>
      </c>
      <c r="D5143" s="162" t="s">
        <v>11357</v>
      </c>
      <c r="F5143" s="162">
        <v>5250</v>
      </c>
      <c r="G5143" s="162">
        <v>1</v>
      </c>
    </row>
    <row r="5144" spans="2:7" ht="28.8">
      <c r="B5144" s="162" t="s">
        <v>697</v>
      </c>
      <c r="C5144" s="162" t="s">
        <v>1760</v>
      </c>
      <c r="D5144" s="162" t="s">
        <v>11358</v>
      </c>
      <c r="F5144" s="162">
        <v>1932</v>
      </c>
      <c r="G5144" s="162">
        <v>1</v>
      </c>
    </row>
    <row r="5145" spans="2:7" ht="28.8">
      <c r="B5145" s="162" t="s">
        <v>697</v>
      </c>
      <c r="C5145" s="162" t="s">
        <v>11359</v>
      </c>
      <c r="D5145" s="162" t="s">
        <v>11360</v>
      </c>
      <c r="F5145" s="162">
        <v>2566</v>
      </c>
      <c r="G5145" s="162">
        <v>1</v>
      </c>
    </row>
    <row r="5146" spans="2:7" ht="28.8">
      <c r="B5146" s="162" t="s">
        <v>697</v>
      </c>
      <c r="C5146" s="162" t="s">
        <v>11361</v>
      </c>
      <c r="D5146" s="162" t="s">
        <v>11362</v>
      </c>
      <c r="F5146" s="162">
        <v>4158</v>
      </c>
      <c r="G5146" s="162">
        <v>1</v>
      </c>
    </row>
    <row r="5147" spans="2:7" ht="28.8">
      <c r="B5147" s="162" t="s">
        <v>697</v>
      </c>
      <c r="C5147" s="162" t="s">
        <v>11363</v>
      </c>
      <c r="D5147" s="162" t="s">
        <v>11364</v>
      </c>
      <c r="F5147" s="162">
        <v>5224</v>
      </c>
      <c r="G5147" s="162">
        <v>1</v>
      </c>
    </row>
    <row r="5148" spans="2:7" ht="28.8">
      <c r="B5148" s="162" t="s">
        <v>697</v>
      </c>
      <c r="C5148" s="162" t="s">
        <v>11365</v>
      </c>
      <c r="D5148" s="162" t="s">
        <v>11366</v>
      </c>
      <c r="F5148" s="162">
        <v>4526</v>
      </c>
      <c r="G5148" s="162">
        <v>1</v>
      </c>
    </row>
    <row r="5149" spans="2:7" ht="43.2">
      <c r="B5149" s="162" t="s">
        <v>697</v>
      </c>
      <c r="C5149" s="162" t="s">
        <v>11367</v>
      </c>
      <c r="D5149" s="162" t="s">
        <v>11368</v>
      </c>
      <c r="F5149" s="162">
        <v>5592</v>
      </c>
      <c r="G5149" s="162">
        <v>1</v>
      </c>
    </row>
    <row r="5150" spans="2:7" ht="28.8">
      <c r="B5150" s="162" t="s">
        <v>697</v>
      </c>
      <c r="C5150" s="162" t="s">
        <v>1761</v>
      </c>
      <c r="D5150" s="162" t="s">
        <v>11369</v>
      </c>
      <c r="F5150" s="162">
        <v>2924</v>
      </c>
      <c r="G5150" s="162">
        <v>1</v>
      </c>
    </row>
    <row r="5151" spans="2:7" ht="28.8">
      <c r="B5151" s="162" t="s">
        <v>697</v>
      </c>
      <c r="C5151" s="162" t="s">
        <v>11370</v>
      </c>
      <c r="D5151" s="162" t="s">
        <v>11371</v>
      </c>
      <c r="F5151" s="162">
        <v>3750</v>
      </c>
      <c r="G5151" s="162">
        <v>1</v>
      </c>
    </row>
    <row r="5152" spans="2:7" ht="28.8">
      <c r="B5152" s="162" t="s">
        <v>697</v>
      </c>
      <c r="C5152" s="162" t="s">
        <v>11372</v>
      </c>
      <c r="D5152" s="162" t="s">
        <v>11362</v>
      </c>
      <c r="F5152" s="162">
        <v>5150</v>
      </c>
      <c r="G5152" s="162">
        <v>1</v>
      </c>
    </row>
    <row r="5153" spans="2:7" ht="28.8">
      <c r="B5153" s="162" t="s">
        <v>697</v>
      </c>
      <c r="C5153" s="162" t="s">
        <v>11373</v>
      </c>
      <c r="D5153" s="162" t="s">
        <v>11364</v>
      </c>
      <c r="F5153" s="162">
        <v>6408</v>
      </c>
      <c r="G5153" s="162">
        <v>1</v>
      </c>
    </row>
    <row r="5154" spans="2:7" ht="28.8">
      <c r="B5154" s="162" t="s">
        <v>697</v>
      </c>
      <c r="C5154" s="162" t="s">
        <v>11374</v>
      </c>
      <c r="D5154" s="162" t="s">
        <v>11366</v>
      </c>
      <c r="F5154" s="162">
        <v>5518</v>
      </c>
      <c r="G5154" s="162">
        <v>1</v>
      </c>
    </row>
    <row r="5155" spans="2:7" ht="43.2">
      <c r="B5155" s="162" t="s">
        <v>697</v>
      </c>
      <c r="C5155" s="162" t="s">
        <v>11375</v>
      </c>
      <c r="D5155" s="162" t="s">
        <v>11368</v>
      </c>
      <c r="F5155" s="162">
        <v>6776</v>
      </c>
      <c r="G5155" s="162">
        <v>1</v>
      </c>
    </row>
    <row r="5156" spans="2:7" ht="28.8">
      <c r="B5156" s="162" t="s">
        <v>697</v>
      </c>
      <c r="C5156" s="162" t="s">
        <v>11145</v>
      </c>
      <c r="D5156" s="162" t="s">
        <v>11146</v>
      </c>
      <c r="F5156" s="162">
        <v>400</v>
      </c>
      <c r="G5156" s="162">
        <v>1</v>
      </c>
    </row>
    <row r="5157" spans="2:7" ht="43.2">
      <c r="B5157" s="162" t="s">
        <v>697</v>
      </c>
      <c r="C5157" s="162" t="s">
        <v>11376</v>
      </c>
      <c r="D5157" s="162" t="s">
        <v>11377</v>
      </c>
      <c r="F5157" s="162">
        <v>9126</v>
      </c>
      <c r="G5157" s="162">
        <v>1</v>
      </c>
    </row>
    <row r="5158" spans="2:7" ht="43.2">
      <c r="B5158" s="162" t="s">
        <v>697</v>
      </c>
      <c r="C5158" s="162" t="s">
        <v>11378</v>
      </c>
      <c r="D5158" s="162" t="s">
        <v>11379</v>
      </c>
      <c r="F5158" s="162">
        <v>9494</v>
      </c>
      <c r="G5158" s="162">
        <v>1</v>
      </c>
    </row>
    <row r="5159" spans="2:7" ht="28.8">
      <c r="B5159" s="162" t="s">
        <v>697</v>
      </c>
      <c r="C5159" s="162" t="s">
        <v>11380</v>
      </c>
      <c r="D5159" s="162" t="s">
        <v>11381</v>
      </c>
      <c r="F5159" s="162">
        <v>10478</v>
      </c>
      <c r="G5159" s="162">
        <v>1</v>
      </c>
    </row>
    <row r="5160" spans="2:7" ht="28.8">
      <c r="B5160" s="162" t="s">
        <v>697</v>
      </c>
      <c r="C5160" s="162" t="s">
        <v>11382</v>
      </c>
      <c r="D5160" s="162" t="s">
        <v>11383</v>
      </c>
      <c r="F5160" s="162">
        <v>10844</v>
      </c>
      <c r="G5160" s="162">
        <v>1</v>
      </c>
    </row>
    <row r="5161" spans="2:7" ht="28.8">
      <c r="B5161" s="162" t="s">
        <v>697</v>
      </c>
      <c r="C5161" s="162" t="s">
        <v>11384</v>
      </c>
      <c r="D5161" s="162" t="s">
        <v>11385</v>
      </c>
      <c r="F5161" s="162">
        <v>3594</v>
      </c>
      <c r="G5161" s="162">
        <v>1</v>
      </c>
    </row>
    <row r="5162" spans="2:7" ht="28.8">
      <c r="B5162" s="162" t="s">
        <v>697</v>
      </c>
      <c r="C5162" s="162" t="s">
        <v>11386</v>
      </c>
      <c r="D5162" s="162" t="s">
        <v>11387</v>
      </c>
      <c r="F5162" s="162">
        <v>4510</v>
      </c>
      <c r="G5162" s="162">
        <v>1</v>
      </c>
    </row>
    <row r="5163" spans="2:7" ht="28.8">
      <c r="B5163" s="162" t="s">
        <v>697</v>
      </c>
      <c r="C5163" s="162" t="s">
        <v>11388</v>
      </c>
      <c r="D5163" s="162" t="s">
        <v>11389</v>
      </c>
      <c r="F5163" s="162">
        <v>5542</v>
      </c>
      <c r="G5163" s="162">
        <v>1</v>
      </c>
    </row>
    <row r="5164" spans="2:7" ht="28.8">
      <c r="B5164" s="162" t="s">
        <v>697</v>
      </c>
      <c r="C5164" s="162" t="s">
        <v>11390</v>
      </c>
      <c r="D5164" s="162" t="s">
        <v>11391</v>
      </c>
      <c r="F5164" s="162">
        <v>6892</v>
      </c>
      <c r="G5164" s="162">
        <v>1</v>
      </c>
    </row>
    <row r="5165" spans="2:7" ht="43.2">
      <c r="B5165" s="162" t="s">
        <v>697</v>
      </c>
      <c r="C5165" s="162" t="s">
        <v>11392</v>
      </c>
      <c r="D5165" s="162" t="s">
        <v>11393</v>
      </c>
      <c r="F5165" s="162">
        <v>5820</v>
      </c>
      <c r="G5165" s="162">
        <v>1</v>
      </c>
    </row>
    <row r="5166" spans="2:7" ht="43.2">
      <c r="B5166" s="162" t="s">
        <v>697</v>
      </c>
      <c r="C5166" s="162" t="s">
        <v>11394</v>
      </c>
      <c r="D5166" s="162" t="s">
        <v>11395</v>
      </c>
      <c r="F5166" s="162">
        <v>7170</v>
      </c>
      <c r="G5166" s="162">
        <v>1</v>
      </c>
    </row>
    <row r="5167" spans="2:7" ht="43.2">
      <c r="B5167" s="162" t="s">
        <v>697</v>
      </c>
      <c r="C5167" s="162" t="s">
        <v>11396</v>
      </c>
      <c r="D5167" s="162" t="s">
        <v>11397</v>
      </c>
      <c r="F5167" s="162">
        <v>6188</v>
      </c>
      <c r="G5167" s="162">
        <v>1</v>
      </c>
    </row>
    <row r="5168" spans="2:7" ht="57.6">
      <c r="B5168" s="162" t="s">
        <v>697</v>
      </c>
      <c r="C5168" s="162" t="s">
        <v>11398</v>
      </c>
      <c r="D5168" s="162" t="s">
        <v>11399</v>
      </c>
      <c r="F5168" s="162">
        <v>7538</v>
      </c>
      <c r="G5168" s="162">
        <v>1</v>
      </c>
    </row>
    <row r="5169" spans="2:7" ht="28.8">
      <c r="B5169" s="162" t="s">
        <v>697</v>
      </c>
      <c r="C5169" s="162" t="s">
        <v>11400</v>
      </c>
      <c r="D5169" s="162" t="s">
        <v>11401</v>
      </c>
      <c r="F5169" s="162">
        <v>2842</v>
      </c>
      <c r="G5169" s="162">
        <v>1</v>
      </c>
    </row>
    <row r="5170" spans="2:7" ht="28.8">
      <c r="B5170" s="162" t="s">
        <v>697</v>
      </c>
      <c r="C5170" s="162" t="s">
        <v>11402</v>
      </c>
      <c r="D5170" s="162" t="s">
        <v>11403</v>
      </c>
      <c r="F5170" s="162">
        <v>3668</v>
      </c>
      <c r="G5170" s="162">
        <v>1</v>
      </c>
    </row>
    <row r="5171" spans="2:7" ht="28.8">
      <c r="B5171" s="162" t="s">
        <v>697</v>
      </c>
      <c r="C5171" s="162" t="s">
        <v>11404</v>
      </c>
      <c r="D5171" s="162" t="s">
        <v>11405</v>
      </c>
      <c r="F5171" s="162">
        <v>4544</v>
      </c>
      <c r="G5171" s="162">
        <v>1</v>
      </c>
    </row>
    <row r="5172" spans="2:7" ht="28.8">
      <c r="B5172" s="162" t="s">
        <v>697</v>
      </c>
      <c r="C5172" s="162" t="s">
        <v>11406</v>
      </c>
      <c r="D5172" s="162" t="s">
        <v>11407</v>
      </c>
      <c r="F5172" s="162">
        <v>5802</v>
      </c>
      <c r="G5172" s="162">
        <v>1</v>
      </c>
    </row>
    <row r="5173" spans="2:7" ht="43.2">
      <c r="B5173" s="162" t="s">
        <v>697</v>
      </c>
      <c r="C5173" s="162" t="s">
        <v>11408</v>
      </c>
      <c r="D5173" s="162" t="s">
        <v>11409</v>
      </c>
      <c r="F5173" s="162">
        <v>4820</v>
      </c>
      <c r="G5173" s="162">
        <v>1</v>
      </c>
    </row>
    <row r="5174" spans="2:7" ht="43.2">
      <c r="B5174" s="162" t="s">
        <v>697</v>
      </c>
      <c r="C5174" s="162" t="s">
        <v>11410</v>
      </c>
      <c r="D5174" s="162" t="s">
        <v>11411</v>
      </c>
      <c r="F5174" s="162">
        <v>6080</v>
      </c>
      <c r="G5174" s="162">
        <v>1</v>
      </c>
    </row>
    <row r="5175" spans="2:7" ht="43.2">
      <c r="B5175" s="162" t="s">
        <v>697</v>
      </c>
      <c r="C5175" s="162" t="s">
        <v>11412</v>
      </c>
      <c r="D5175" s="162" t="s">
        <v>11413</v>
      </c>
      <c r="F5175" s="162">
        <v>5188</v>
      </c>
      <c r="G5175" s="162">
        <v>1</v>
      </c>
    </row>
    <row r="5176" spans="2:7" ht="57.6">
      <c r="B5176" s="162" t="s">
        <v>697</v>
      </c>
      <c r="C5176" s="162" t="s">
        <v>11414</v>
      </c>
      <c r="D5176" s="162" t="s">
        <v>11415</v>
      </c>
      <c r="F5176" s="162">
        <v>6446</v>
      </c>
      <c r="G5176" s="162">
        <v>1</v>
      </c>
    </row>
    <row r="5177" spans="2:7" ht="28.8">
      <c r="B5177" s="162" t="s">
        <v>697</v>
      </c>
      <c r="C5177" s="162" t="s">
        <v>11416</v>
      </c>
      <c r="D5177" s="162" t="s">
        <v>11417</v>
      </c>
      <c r="F5177" s="162">
        <v>134</v>
      </c>
      <c r="G5177" s="162">
        <v>1</v>
      </c>
    </row>
    <row r="5178" spans="2:7" ht="28.8">
      <c r="B5178" s="162" t="s">
        <v>697</v>
      </c>
      <c r="C5178" s="162" t="s">
        <v>11418</v>
      </c>
      <c r="D5178" s="162" t="s">
        <v>11419</v>
      </c>
      <c r="F5178" s="162">
        <v>450</v>
      </c>
      <c r="G5178" s="162">
        <v>1</v>
      </c>
    </row>
    <row r="5179" spans="2:7" ht="57.6">
      <c r="B5179" s="162" t="s">
        <v>697</v>
      </c>
      <c r="C5179" s="162" t="s">
        <v>10605</v>
      </c>
      <c r="D5179" s="162" t="s">
        <v>10690</v>
      </c>
      <c r="F5179" s="162">
        <v>210</v>
      </c>
      <c r="G5179" s="162">
        <v>1</v>
      </c>
    </row>
    <row r="5180" spans="2:7" ht="57.6">
      <c r="B5180" s="162" t="s">
        <v>697</v>
      </c>
      <c r="C5180" s="162" t="s">
        <v>10603</v>
      </c>
      <c r="D5180" s="162" t="s">
        <v>10658</v>
      </c>
      <c r="F5180" s="162">
        <v>70</v>
      </c>
      <c r="G5180" s="162">
        <v>1</v>
      </c>
    </row>
    <row r="5181" spans="2:7" ht="43.2">
      <c r="B5181" s="162" t="s">
        <v>697</v>
      </c>
      <c r="C5181" s="162" t="s">
        <v>10586</v>
      </c>
      <c r="D5181" s="162" t="s">
        <v>11420</v>
      </c>
      <c r="F5181" s="162">
        <v>368</v>
      </c>
      <c r="G5181" s="162">
        <v>1</v>
      </c>
    </row>
    <row r="5182" spans="2:7" ht="43.2">
      <c r="B5182" s="162" t="s">
        <v>697</v>
      </c>
      <c r="C5182" s="162" t="s">
        <v>11421</v>
      </c>
      <c r="D5182" s="162" t="s">
        <v>11422</v>
      </c>
      <c r="F5182" s="162">
        <v>392</v>
      </c>
      <c r="G5182" s="162">
        <v>1</v>
      </c>
    </row>
    <row r="5183" spans="2:7" ht="28.8">
      <c r="B5183" s="162" t="s">
        <v>697</v>
      </c>
      <c r="C5183" s="162" t="s">
        <v>10607</v>
      </c>
      <c r="D5183" s="162" t="s">
        <v>10961</v>
      </c>
      <c r="F5183" s="162">
        <v>1118</v>
      </c>
      <c r="G5183" s="162">
        <v>1</v>
      </c>
    </row>
    <row r="5184" spans="2:7" ht="43.2">
      <c r="B5184" s="162" t="s">
        <v>697</v>
      </c>
      <c r="C5184" s="162" t="s">
        <v>10613</v>
      </c>
      <c r="D5184" s="162" t="s">
        <v>11423</v>
      </c>
      <c r="F5184" s="162">
        <v>100</v>
      </c>
      <c r="G5184" s="162">
        <v>1</v>
      </c>
    </row>
    <row r="5185" spans="2:7" ht="43.2">
      <c r="B5185" s="162" t="s">
        <v>697</v>
      </c>
      <c r="C5185" s="162" t="s">
        <v>10615</v>
      </c>
      <c r="D5185" s="162" t="s">
        <v>11424</v>
      </c>
      <c r="F5185" s="162">
        <v>118</v>
      </c>
      <c r="G5185" s="162">
        <v>1</v>
      </c>
    </row>
    <row r="5186" spans="2:7" ht="57.6">
      <c r="B5186" s="162" t="s">
        <v>697</v>
      </c>
      <c r="C5186" s="162" t="s">
        <v>11425</v>
      </c>
      <c r="D5186" s="162" t="s">
        <v>11426</v>
      </c>
      <c r="F5186" s="162">
        <v>134</v>
      </c>
      <c r="G5186" s="162">
        <v>1</v>
      </c>
    </row>
    <row r="5187" spans="2:7" ht="28.8">
      <c r="B5187" s="162" t="s">
        <v>697</v>
      </c>
      <c r="C5187" s="162" t="s">
        <v>11427</v>
      </c>
      <c r="D5187" s="162" t="s">
        <v>11428</v>
      </c>
      <c r="F5187" s="162">
        <v>1260</v>
      </c>
      <c r="G5187" s="162">
        <v>1</v>
      </c>
    </row>
    <row r="5188" spans="2:7" ht="43.2">
      <c r="B5188" s="162" t="s">
        <v>697</v>
      </c>
      <c r="C5188" s="162" t="s">
        <v>11429</v>
      </c>
      <c r="D5188" s="162" t="s">
        <v>11430</v>
      </c>
      <c r="F5188" s="162">
        <v>1538</v>
      </c>
      <c r="G5188" s="162">
        <v>1</v>
      </c>
    </row>
    <row r="5189" spans="2:7" ht="43.2">
      <c r="B5189" s="162" t="s">
        <v>697</v>
      </c>
      <c r="C5189" s="162" t="s">
        <v>11431</v>
      </c>
      <c r="D5189" s="162" t="s">
        <v>11432</v>
      </c>
      <c r="F5189" s="162">
        <v>1906</v>
      </c>
      <c r="G5189" s="162">
        <v>1</v>
      </c>
    </row>
    <row r="5190" spans="2:7" ht="28.8">
      <c r="B5190" s="162" t="s">
        <v>697</v>
      </c>
      <c r="C5190" s="162" t="s">
        <v>11433</v>
      </c>
      <c r="D5190" s="162" t="s">
        <v>11434</v>
      </c>
      <c r="F5190" s="162">
        <v>1702</v>
      </c>
      <c r="G5190" s="162">
        <v>1</v>
      </c>
    </row>
    <row r="5191" spans="2:7" ht="43.2">
      <c r="B5191" s="162" t="s">
        <v>697</v>
      </c>
      <c r="C5191" s="162" t="s">
        <v>11435</v>
      </c>
      <c r="D5191" s="162" t="s">
        <v>11436</v>
      </c>
      <c r="F5191" s="162">
        <v>1980</v>
      </c>
      <c r="G5191" s="162">
        <v>1</v>
      </c>
    </row>
    <row r="5192" spans="2:7" ht="43.2">
      <c r="B5192" s="162" t="s">
        <v>697</v>
      </c>
      <c r="C5192" s="162" t="s">
        <v>11437</v>
      </c>
      <c r="D5192" s="162" t="s">
        <v>11438</v>
      </c>
      <c r="F5192" s="162">
        <v>2346</v>
      </c>
      <c r="G5192" s="162">
        <v>1</v>
      </c>
    </row>
    <row r="5193" spans="2:7" ht="28.8">
      <c r="B5193" s="162" t="s">
        <v>697</v>
      </c>
      <c r="C5193" s="162" t="s">
        <v>11439</v>
      </c>
      <c r="D5193" s="162" t="s">
        <v>11440</v>
      </c>
      <c r="F5193" s="162">
        <v>1950</v>
      </c>
      <c r="G5193" s="162">
        <v>1</v>
      </c>
    </row>
    <row r="5194" spans="2:7" ht="43.2">
      <c r="B5194" s="162" t="s">
        <v>697</v>
      </c>
      <c r="C5194" s="162" t="s">
        <v>11441</v>
      </c>
      <c r="D5194" s="162" t="s">
        <v>11442</v>
      </c>
      <c r="F5194" s="162">
        <v>2226</v>
      </c>
      <c r="G5194" s="162">
        <v>1</v>
      </c>
    </row>
    <row r="5195" spans="2:7" ht="57.6">
      <c r="B5195" s="162" t="s">
        <v>697</v>
      </c>
      <c r="C5195" s="162" t="s">
        <v>11443</v>
      </c>
      <c r="D5195" s="162" t="s">
        <v>11444</v>
      </c>
      <c r="F5195" s="162">
        <v>2594</v>
      </c>
      <c r="G5195" s="162">
        <v>1</v>
      </c>
    </row>
    <row r="5196" spans="2:7" ht="28.8">
      <c r="B5196" s="162" t="s">
        <v>697</v>
      </c>
      <c r="C5196" s="162" t="s">
        <v>11445</v>
      </c>
      <c r="D5196" s="162" t="s">
        <v>11446</v>
      </c>
      <c r="F5196" s="162">
        <v>434</v>
      </c>
      <c r="G5196" s="162">
        <v>1</v>
      </c>
    </row>
    <row r="5197" spans="2:7" ht="28.8">
      <c r="B5197" s="162" t="s">
        <v>697</v>
      </c>
      <c r="C5197" s="162" t="s">
        <v>11447</v>
      </c>
      <c r="D5197" s="162" t="s">
        <v>11448</v>
      </c>
      <c r="F5197" s="162">
        <v>30</v>
      </c>
      <c r="G5197" s="162">
        <v>1</v>
      </c>
    </row>
    <row r="5198" spans="2:7" ht="28.8">
      <c r="B5198" s="162" t="s">
        <v>697</v>
      </c>
      <c r="C5198" s="162" t="s">
        <v>11070</v>
      </c>
      <c r="D5198" s="162" t="s">
        <v>11449</v>
      </c>
      <c r="F5198" s="162">
        <v>30</v>
      </c>
      <c r="G5198" s="162">
        <v>1</v>
      </c>
    </row>
    <row r="5199" spans="2:7" ht="28.8">
      <c r="B5199" s="162" t="s">
        <v>697</v>
      </c>
      <c r="C5199" s="162" t="s">
        <v>11450</v>
      </c>
      <c r="D5199" s="162" t="s">
        <v>11451</v>
      </c>
      <c r="F5199" s="162">
        <v>20</v>
      </c>
      <c r="G5199" s="162">
        <v>1</v>
      </c>
    </row>
    <row r="5200" spans="2:7" ht="28.8">
      <c r="B5200" s="162" t="s">
        <v>697</v>
      </c>
      <c r="C5200" s="162" t="s">
        <v>11452</v>
      </c>
      <c r="D5200" s="162" t="s">
        <v>11453</v>
      </c>
      <c r="F5200" s="162">
        <v>22</v>
      </c>
      <c r="G5200" s="162">
        <v>1</v>
      </c>
    </row>
    <row r="5201" spans="2:7" ht="28.8">
      <c r="B5201" s="162" t="s">
        <v>697</v>
      </c>
      <c r="C5201" s="162" t="s">
        <v>11454</v>
      </c>
      <c r="D5201" s="162" t="s">
        <v>11455</v>
      </c>
      <c r="F5201" s="162">
        <v>28</v>
      </c>
      <c r="G5201" s="162">
        <v>1</v>
      </c>
    </row>
    <row r="5202" spans="2:7" ht="28.8">
      <c r="B5202" s="162" t="s">
        <v>697</v>
      </c>
      <c r="C5202" s="162" t="s">
        <v>11456</v>
      </c>
      <c r="D5202" s="162" t="s">
        <v>11457</v>
      </c>
      <c r="F5202" s="162">
        <v>34</v>
      </c>
      <c r="G5202" s="162">
        <v>1</v>
      </c>
    </row>
    <row r="5203" spans="2:7" ht="28.8">
      <c r="B5203" s="162" t="s">
        <v>697</v>
      </c>
      <c r="C5203" s="162" t="s">
        <v>11458</v>
      </c>
      <c r="D5203" s="162" t="s">
        <v>11459</v>
      </c>
      <c r="F5203" s="162">
        <v>40</v>
      </c>
      <c r="G5203" s="162">
        <v>1</v>
      </c>
    </row>
    <row r="5204" spans="2:7" ht="28.8">
      <c r="B5204" s="162" t="s">
        <v>697</v>
      </c>
      <c r="C5204" s="162" t="s">
        <v>11460</v>
      </c>
      <c r="D5204" s="162" t="s">
        <v>11461</v>
      </c>
      <c r="F5204" s="162">
        <v>60</v>
      </c>
      <c r="G5204" s="162">
        <v>1</v>
      </c>
    </row>
    <row r="5205" spans="2:7" ht="28.8">
      <c r="B5205" s="162" t="s">
        <v>697</v>
      </c>
      <c r="C5205" s="162" t="s">
        <v>11462</v>
      </c>
      <c r="D5205" s="162" t="s">
        <v>11463</v>
      </c>
      <c r="F5205" s="162">
        <v>112</v>
      </c>
      <c r="G5205" s="162">
        <v>1</v>
      </c>
    </row>
    <row r="5206" spans="2:7" ht="28.8">
      <c r="B5206" s="162" t="s">
        <v>697</v>
      </c>
      <c r="C5206" s="162" t="s">
        <v>11464</v>
      </c>
      <c r="D5206" s="162" t="s">
        <v>11465</v>
      </c>
      <c r="F5206" s="162">
        <v>70</v>
      </c>
      <c r="G5206" s="162">
        <v>1</v>
      </c>
    </row>
    <row r="5207" spans="2:7" ht="43.2">
      <c r="B5207" s="162" t="s">
        <v>697</v>
      </c>
      <c r="C5207" s="162" t="s">
        <v>11466</v>
      </c>
      <c r="D5207" s="162" t="s">
        <v>11467</v>
      </c>
      <c r="F5207" s="162">
        <v>136</v>
      </c>
      <c r="G5207" s="162">
        <v>1</v>
      </c>
    </row>
    <row r="5208" spans="2:7" ht="28.8">
      <c r="B5208" s="162" t="s">
        <v>697</v>
      </c>
      <c r="C5208" s="162" t="s">
        <v>11468</v>
      </c>
      <c r="D5208" s="162" t="s">
        <v>11469</v>
      </c>
      <c r="F5208" s="162">
        <v>136</v>
      </c>
      <c r="G5208" s="162">
        <v>1</v>
      </c>
    </row>
    <row r="5209" spans="2:7" ht="57.6">
      <c r="B5209" s="162" t="s">
        <v>697</v>
      </c>
      <c r="C5209" s="162" t="s">
        <v>11470</v>
      </c>
      <c r="D5209" s="162" t="s">
        <v>11471</v>
      </c>
      <c r="F5209" s="162">
        <v>166</v>
      </c>
      <c r="G5209" s="162">
        <v>1</v>
      </c>
    </row>
    <row r="5210" spans="2:7" ht="28.8">
      <c r="B5210" s="162" t="s">
        <v>697</v>
      </c>
      <c r="C5210" s="162" t="s">
        <v>11472</v>
      </c>
      <c r="D5210" s="162" t="s">
        <v>11473</v>
      </c>
      <c r="F5210" s="162">
        <v>128</v>
      </c>
      <c r="G5210" s="162">
        <v>1</v>
      </c>
    </row>
    <row r="5211" spans="2:7" ht="28.8">
      <c r="B5211" s="162" t="s">
        <v>697</v>
      </c>
      <c r="C5211" s="162" t="s">
        <v>11474</v>
      </c>
      <c r="D5211" s="162" t="s">
        <v>11475</v>
      </c>
      <c r="F5211" s="162">
        <v>88</v>
      </c>
      <c r="G5211" s="162">
        <v>1</v>
      </c>
    </row>
    <row r="5212" spans="2:7" ht="43.2">
      <c r="B5212" s="162" t="s">
        <v>697</v>
      </c>
      <c r="C5212" s="162" t="s">
        <v>11476</v>
      </c>
      <c r="D5212" s="162" t="s">
        <v>11477</v>
      </c>
      <c r="F5212" s="162">
        <v>250</v>
      </c>
      <c r="G5212" s="162">
        <v>1</v>
      </c>
    </row>
    <row r="5213" spans="2:7" ht="28.8">
      <c r="B5213" s="162" t="s">
        <v>697</v>
      </c>
      <c r="C5213" s="162" t="s">
        <v>11478</v>
      </c>
      <c r="D5213" s="162" t="s">
        <v>11479</v>
      </c>
      <c r="F5213" s="162">
        <v>130</v>
      </c>
      <c r="G5213" s="162">
        <v>1</v>
      </c>
    </row>
    <row r="5214" spans="2:7" ht="43.2">
      <c r="B5214" s="162" t="s">
        <v>697</v>
      </c>
      <c r="C5214" s="162" t="s">
        <v>11480</v>
      </c>
      <c r="D5214" s="162" t="s">
        <v>11481</v>
      </c>
      <c r="F5214" s="162">
        <v>410</v>
      </c>
      <c r="G5214" s="162">
        <v>1</v>
      </c>
    </row>
    <row r="5215" spans="2:7" ht="28.8">
      <c r="B5215" s="162" t="s">
        <v>697</v>
      </c>
      <c r="C5215" s="162" t="s">
        <v>11482</v>
      </c>
      <c r="D5215" s="162" t="s">
        <v>11483</v>
      </c>
      <c r="F5215" s="162">
        <v>150</v>
      </c>
      <c r="G5215" s="162">
        <v>1</v>
      </c>
    </row>
    <row r="5216" spans="2:7" ht="28.8">
      <c r="B5216" s="162" t="s">
        <v>697</v>
      </c>
      <c r="C5216" s="162" t="s">
        <v>11484</v>
      </c>
      <c r="D5216" s="162" t="s">
        <v>11485</v>
      </c>
      <c r="F5216" s="162">
        <v>400</v>
      </c>
      <c r="G5216" s="162">
        <v>1</v>
      </c>
    </row>
    <row r="5217" spans="2:7" ht="28.8">
      <c r="B5217" s="162" t="s">
        <v>697</v>
      </c>
      <c r="C5217" s="162" t="s">
        <v>11486</v>
      </c>
      <c r="D5217" s="162" t="s">
        <v>11487</v>
      </c>
      <c r="F5217" s="162">
        <v>420</v>
      </c>
      <c r="G5217" s="162">
        <v>1</v>
      </c>
    </row>
    <row r="5218" spans="2:7" ht="28.8">
      <c r="B5218" s="162" t="s">
        <v>697</v>
      </c>
      <c r="C5218" s="162" t="s">
        <v>11488</v>
      </c>
      <c r="D5218" s="162" t="s">
        <v>11489</v>
      </c>
      <c r="F5218" s="162">
        <v>336</v>
      </c>
      <c r="G5218" s="162">
        <v>1</v>
      </c>
    </row>
    <row r="5219" spans="2:7" ht="28.8">
      <c r="B5219" s="162" t="s">
        <v>697</v>
      </c>
      <c r="C5219" s="162" t="s">
        <v>11490</v>
      </c>
      <c r="D5219" s="162" t="s">
        <v>11491</v>
      </c>
      <c r="F5219" s="162">
        <v>706</v>
      </c>
      <c r="G5219" s="162">
        <v>1</v>
      </c>
    </row>
    <row r="5220" spans="2:7" ht="28.8">
      <c r="B5220" s="162" t="s">
        <v>697</v>
      </c>
      <c r="C5220" s="162" t="s">
        <v>11492</v>
      </c>
      <c r="D5220" s="162" t="s">
        <v>11493</v>
      </c>
      <c r="F5220" s="162">
        <v>854</v>
      </c>
      <c r="G5220" s="162">
        <v>1</v>
      </c>
    </row>
    <row r="5221" spans="2:7" ht="43.2">
      <c r="B5221" s="162" t="s">
        <v>697</v>
      </c>
      <c r="C5221" s="162" t="s">
        <v>11494</v>
      </c>
      <c r="D5221" s="162" t="s">
        <v>11495</v>
      </c>
      <c r="F5221" s="162" t="s">
        <v>146</v>
      </c>
      <c r="G5221" s="162">
        <v>1</v>
      </c>
    </row>
    <row r="5222" spans="2:7" ht="43.2">
      <c r="B5222" s="162" t="s">
        <v>697</v>
      </c>
      <c r="C5222" s="162" t="s">
        <v>11496</v>
      </c>
      <c r="D5222" s="162" t="s">
        <v>11497</v>
      </c>
      <c r="F5222" s="162">
        <v>1086</v>
      </c>
      <c r="G5222" s="162">
        <v>1</v>
      </c>
    </row>
    <row r="5223" spans="2:7" ht="28.8">
      <c r="B5223" s="162" t="s">
        <v>697</v>
      </c>
      <c r="C5223" s="162" t="s">
        <v>11498</v>
      </c>
      <c r="D5223" s="162" t="s">
        <v>11499</v>
      </c>
      <c r="F5223" s="162">
        <v>70</v>
      </c>
      <c r="G5223" s="162">
        <v>1</v>
      </c>
    </row>
    <row r="5224" spans="2:7" ht="28.8">
      <c r="B5224" s="162" t="s">
        <v>697</v>
      </c>
      <c r="C5224" s="162" t="s">
        <v>11500</v>
      </c>
      <c r="D5224" s="162" t="s">
        <v>11501</v>
      </c>
      <c r="F5224" s="162">
        <v>100</v>
      </c>
      <c r="G5224" s="162">
        <v>1</v>
      </c>
    </row>
    <row r="5225" spans="2:7" ht="28.8">
      <c r="B5225" s="162" t="s">
        <v>697</v>
      </c>
      <c r="C5225" s="162" t="s">
        <v>11502</v>
      </c>
      <c r="D5225" s="162" t="s">
        <v>11503</v>
      </c>
      <c r="F5225" s="162">
        <v>112</v>
      </c>
      <c r="G5225" s="162">
        <v>1</v>
      </c>
    </row>
    <row r="5226" spans="2:7" ht="28.8">
      <c r="B5226" s="162" t="s">
        <v>697</v>
      </c>
      <c r="C5226" s="162" t="s">
        <v>11504</v>
      </c>
      <c r="D5226" s="162" t="s">
        <v>11505</v>
      </c>
      <c r="F5226" s="162">
        <v>100</v>
      </c>
      <c r="G5226" s="162">
        <v>1</v>
      </c>
    </row>
    <row r="5227" spans="2:7" ht="28.8">
      <c r="B5227" s="162" t="s">
        <v>697</v>
      </c>
      <c r="C5227" s="162" t="s">
        <v>11506</v>
      </c>
      <c r="D5227" s="162" t="s">
        <v>11507</v>
      </c>
      <c r="F5227" s="162">
        <v>100</v>
      </c>
      <c r="G5227" s="162">
        <v>1</v>
      </c>
    </row>
    <row r="5228" spans="2:7" ht="28.8">
      <c r="B5228" s="162" t="s">
        <v>697</v>
      </c>
      <c r="C5228" s="162" t="s">
        <v>11508</v>
      </c>
      <c r="D5228" s="162" t="s">
        <v>11509</v>
      </c>
      <c r="F5228" s="162">
        <v>100</v>
      </c>
      <c r="G5228" s="162">
        <v>1</v>
      </c>
    </row>
    <row r="5229" spans="2:7" ht="28.8">
      <c r="B5229" s="162" t="s">
        <v>697</v>
      </c>
      <c r="C5229" s="162" t="s">
        <v>11510</v>
      </c>
      <c r="D5229" s="162" t="s">
        <v>11511</v>
      </c>
      <c r="F5229" s="162">
        <v>124</v>
      </c>
      <c r="G5229" s="162">
        <v>1</v>
      </c>
    </row>
    <row r="5230" spans="2:7" ht="28.8">
      <c r="B5230" s="162" t="s">
        <v>697</v>
      </c>
      <c r="C5230" s="162" t="s">
        <v>11512</v>
      </c>
      <c r="D5230" s="162" t="s">
        <v>11513</v>
      </c>
      <c r="F5230" s="162">
        <v>124</v>
      </c>
      <c r="G5230" s="162">
        <v>1</v>
      </c>
    </row>
    <row r="5231" spans="2:7" ht="28.8">
      <c r="B5231" s="162" t="s">
        <v>697</v>
      </c>
      <c r="C5231" s="162" t="s">
        <v>11514</v>
      </c>
      <c r="D5231" s="162" t="s">
        <v>11515</v>
      </c>
      <c r="F5231" s="162">
        <v>242</v>
      </c>
      <c r="G5231" s="162">
        <v>1</v>
      </c>
    </row>
    <row r="5232" spans="2:7" ht="28.8">
      <c r="B5232" s="162" t="s">
        <v>697</v>
      </c>
      <c r="C5232" s="162" t="s">
        <v>11516</v>
      </c>
      <c r="D5232" s="162" t="s">
        <v>11517</v>
      </c>
      <c r="F5232" s="162">
        <v>100</v>
      </c>
      <c r="G5232" s="162">
        <v>1</v>
      </c>
    </row>
    <row r="5233" spans="2:7" ht="28.8">
      <c r="B5233" s="162" t="s">
        <v>697</v>
      </c>
      <c r="C5233" s="162" t="s">
        <v>11518</v>
      </c>
      <c r="D5233" s="162" t="s">
        <v>11519</v>
      </c>
      <c r="F5233" s="162">
        <v>134</v>
      </c>
      <c r="G5233" s="162">
        <v>1</v>
      </c>
    </row>
    <row r="5234" spans="2:7" ht="28.8">
      <c r="B5234" s="162" t="s">
        <v>697</v>
      </c>
      <c r="C5234" s="162" t="s">
        <v>11520</v>
      </c>
      <c r="D5234" s="162" t="s">
        <v>11521</v>
      </c>
      <c r="F5234" s="162">
        <v>134</v>
      </c>
      <c r="G5234" s="162">
        <v>1</v>
      </c>
    </row>
    <row r="5235" spans="2:7" ht="28.8">
      <c r="B5235" s="162" t="s">
        <v>697</v>
      </c>
      <c r="C5235" s="162" t="s">
        <v>11522</v>
      </c>
      <c r="D5235" s="162" t="s">
        <v>11523</v>
      </c>
      <c r="F5235" s="162">
        <v>134</v>
      </c>
      <c r="G5235" s="162">
        <v>1</v>
      </c>
    </row>
    <row r="5236" spans="2:7" ht="28.8">
      <c r="B5236" s="162" t="s">
        <v>697</v>
      </c>
      <c r="C5236" s="162" t="s">
        <v>11524</v>
      </c>
      <c r="D5236" s="162" t="s">
        <v>11525</v>
      </c>
      <c r="F5236" s="162">
        <v>226</v>
      </c>
      <c r="G5236" s="162">
        <v>1</v>
      </c>
    </row>
    <row r="5237" spans="2:7" ht="28.8">
      <c r="B5237" s="162" t="s">
        <v>697</v>
      </c>
      <c r="C5237" s="162" t="s">
        <v>11526</v>
      </c>
      <c r="D5237" s="162" t="s">
        <v>11527</v>
      </c>
      <c r="F5237" s="162">
        <v>192</v>
      </c>
      <c r="G5237" s="162">
        <v>1</v>
      </c>
    </row>
    <row r="5238" spans="2:7" ht="28.8">
      <c r="B5238" s="162" t="s">
        <v>697</v>
      </c>
      <c r="C5238" s="162" t="s">
        <v>11528</v>
      </c>
      <c r="D5238" s="162" t="s">
        <v>11529</v>
      </c>
      <c r="F5238" s="162">
        <v>166</v>
      </c>
      <c r="G5238" s="162">
        <v>1</v>
      </c>
    </row>
    <row r="5239" spans="2:7" ht="28.8">
      <c r="B5239" s="162" t="s">
        <v>697</v>
      </c>
      <c r="C5239" s="162" t="s">
        <v>11530</v>
      </c>
      <c r="D5239" s="162" t="s">
        <v>11531</v>
      </c>
      <c r="F5239" s="162">
        <v>230</v>
      </c>
      <c r="G5239" s="162">
        <v>1</v>
      </c>
    </row>
    <row r="5240" spans="2:7" ht="28.8">
      <c r="B5240" s="162" t="s">
        <v>697</v>
      </c>
      <c r="C5240" s="162" t="s">
        <v>11532</v>
      </c>
      <c r="D5240" s="162" t="s">
        <v>11533</v>
      </c>
      <c r="F5240" s="162">
        <v>316</v>
      </c>
      <c r="G5240" s="162">
        <v>1</v>
      </c>
    </row>
    <row r="5241" spans="2:7" ht="28.8">
      <c r="B5241" s="162" t="s">
        <v>697</v>
      </c>
      <c r="C5241" s="162" t="s">
        <v>11534</v>
      </c>
      <c r="D5241" s="162" t="s">
        <v>11535</v>
      </c>
      <c r="F5241" s="162">
        <v>164</v>
      </c>
      <c r="G5241" s="162">
        <v>1</v>
      </c>
    </row>
    <row r="5242" spans="2:7" ht="57.6">
      <c r="B5242" s="162" t="s">
        <v>697</v>
      </c>
      <c r="C5242" s="162" t="s">
        <v>11536</v>
      </c>
      <c r="D5242" s="162" t="s">
        <v>11537</v>
      </c>
      <c r="F5242" s="162">
        <v>640</v>
      </c>
      <c r="G5242" s="162">
        <v>1</v>
      </c>
    </row>
    <row r="5243" spans="2:7" ht="43.2">
      <c r="B5243" s="162" t="s">
        <v>697</v>
      </c>
      <c r="C5243" s="162" t="s">
        <v>11538</v>
      </c>
      <c r="D5243" s="162" t="s">
        <v>11539</v>
      </c>
      <c r="F5243" s="162">
        <v>1100</v>
      </c>
      <c r="G5243" s="162">
        <v>1</v>
      </c>
    </row>
    <row r="5244" spans="2:7" ht="28.8">
      <c r="B5244" s="162" t="s">
        <v>697</v>
      </c>
      <c r="C5244" s="162" t="s">
        <v>11540</v>
      </c>
      <c r="D5244" s="162" t="s">
        <v>11541</v>
      </c>
      <c r="F5244" s="162">
        <v>1224</v>
      </c>
      <c r="G5244" s="162">
        <v>1</v>
      </c>
    </row>
    <row r="5245" spans="2:7" ht="57.6">
      <c r="B5245" s="162" t="s">
        <v>697</v>
      </c>
      <c r="C5245" s="162" t="s">
        <v>11542</v>
      </c>
      <c r="D5245" s="162" t="s">
        <v>11543</v>
      </c>
      <c r="F5245" s="162">
        <v>1638</v>
      </c>
      <c r="G5245" s="162">
        <v>1</v>
      </c>
    </row>
    <row r="5246" spans="2:7" ht="57.6">
      <c r="B5246" s="162" t="s">
        <v>697</v>
      </c>
      <c r="C5246" s="162" t="s">
        <v>11544</v>
      </c>
      <c r="D5246" s="162" t="s">
        <v>11545</v>
      </c>
      <c r="F5246" s="162">
        <v>1638</v>
      </c>
      <c r="G5246" s="162">
        <v>1</v>
      </c>
    </row>
    <row r="5247" spans="2:7" ht="57.6">
      <c r="B5247" s="162" t="s">
        <v>697</v>
      </c>
      <c r="C5247" s="162" t="s">
        <v>11546</v>
      </c>
      <c r="D5247" s="162" t="s">
        <v>11547</v>
      </c>
      <c r="F5247" s="162">
        <v>1328</v>
      </c>
      <c r="G5247" s="162">
        <v>1</v>
      </c>
    </row>
    <row r="5248" spans="2:7" ht="57.6">
      <c r="B5248" s="162" t="s">
        <v>697</v>
      </c>
      <c r="C5248" s="162" t="s">
        <v>11548</v>
      </c>
      <c r="D5248" s="162" t="s">
        <v>11549</v>
      </c>
      <c r="F5248" s="162">
        <v>1328</v>
      </c>
      <c r="G5248" s="162">
        <v>1</v>
      </c>
    </row>
    <row r="5249" spans="2:7" ht="28.8">
      <c r="B5249" s="162" t="s">
        <v>697</v>
      </c>
      <c r="C5249" s="162" t="s">
        <v>11550</v>
      </c>
      <c r="D5249" s="162" t="s">
        <v>11551</v>
      </c>
      <c r="F5249" s="162">
        <v>420</v>
      </c>
      <c r="G5249" s="162">
        <v>1</v>
      </c>
    </row>
    <row r="5250" spans="2:7" ht="28.8">
      <c r="B5250" s="162" t="s">
        <v>697</v>
      </c>
      <c r="C5250" s="162" t="s">
        <v>11552</v>
      </c>
      <c r="D5250" s="162" t="s">
        <v>11553</v>
      </c>
      <c r="F5250" s="162">
        <v>68</v>
      </c>
      <c r="G5250" s="162">
        <v>1</v>
      </c>
    </row>
    <row r="5251" spans="2:7" ht="28.8">
      <c r="B5251" s="162" t="s">
        <v>697</v>
      </c>
      <c r="C5251" s="162" t="s">
        <v>11554</v>
      </c>
      <c r="D5251" s="162" t="s">
        <v>11555</v>
      </c>
      <c r="F5251" s="162">
        <v>50</v>
      </c>
      <c r="G5251" s="162">
        <v>1</v>
      </c>
    </row>
    <row r="5252" spans="2:7" ht="28.8">
      <c r="B5252" s="162" t="s">
        <v>697</v>
      </c>
      <c r="C5252" s="162" t="s">
        <v>11556</v>
      </c>
      <c r="D5252" s="162" t="s">
        <v>11557</v>
      </c>
      <c r="F5252" s="162">
        <v>68</v>
      </c>
      <c r="G5252" s="162">
        <v>1</v>
      </c>
    </row>
    <row r="5253" spans="2:7" ht="28.8">
      <c r="B5253" s="162" t="s">
        <v>697</v>
      </c>
      <c r="C5253" s="162" t="s">
        <v>11558</v>
      </c>
      <c r="D5253" s="162" t="s">
        <v>11559</v>
      </c>
      <c r="F5253" s="162">
        <v>108</v>
      </c>
      <c r="G5253" s="162">
        <v>1</v>
      </c>
    </row>
    <row r="5254" spans="2:7" ht="43.2">
      <c r="B5254" s="162" t="s">
        <v>697</v>
      </c>
      <c r="C5254" s="162" t="s">
        <v>11560</v>
      </c>
      <c r="D5254" s="162" t="s">
        <v>11561</v>
      </c>
      <c r="F5254" s="162">
        <v>112</v>
      </c>
      <c r="G5254" s="162">
        <v>1</v>
      </c>
    </row>
    <row r="5255" spans="2:7" ht="43.2">
      <c r="B5255" s="162" t="s">
        <v>697</v>
      </c>
      <c r="C5255" s="162" t="s">
        <v>11562</v>
      </c>
      <c r="D5255" s="162" t="s">
        <v>11563</v>
      </c>
      <c r="F5255" s="162">
        <v>112</v>
      </c>
      <c r="G5255" s="162">
        <v>1</v>
      </c>
    </row>
    <row r="5256" spans="2:7" ht="28.8">
      <c r="B5256" s="162" t="s">
        <v>697</v>
      </c>
      <c r="C5256" s="162" t="s">
        <v>11564</v>
      </c>
      <c r="D5256" s="162" t="s">
        <v>11565</v>
      </c>
      <c r="F5256" s="162">
        <v>112</v>
      </c>
      <c r="G5256" s="162">
        <v>1</v>
      </c>
    </row>
    <row r="5257" spans="2:7" ht="28.8">
      <c r="B5257" s="162" t="s">
        <v>697</v>
      </c>
      <c r="C5257" s="162" t="s">
        <v>11566</v>
      </c>
      <c r="D5257" s="162" t="s">
        <v>11567</v>
      </c>
      <c r="F5257" s="162" t="s">
        <v>146</v>
      </c>
      <c r="G5257" s="162">
        <v>1</v>
      </c>
    </row>
    <row r="5258" spans="2:7" ht="43.2">
      <c r="B5258" s="162" t="s">
        <v>697</v>
      </c>
      <c r="C5258" s="162" t="s">
        <v>11568</v>
      </c>
      <c r="D5258" s="162" t="s">
        <v>11569</v>
      </c>
      <c r="F5258" s="162">
        <v>112</v>
      </c>
      <c r="G5258" s="162">
        <v>1</v>
      </c>
    </row>
    <row r="5259" spans="2:7" ht="28.8">
      <c r="B5259" s="162" t="s">
        <v>697</v>
      </c>
      <c r="C5259" s="162" t="s">
        <v>11570</v>
      </c>
      <c r="D5259" s="162" t="s">
        <v>11571</v>
      </c>
      <c r="F5259" s="162">
        <v>112</v>
      </c>
      <c r="G5259" s="162">
        <v>1</v>
      </c>
    </row>
    <row r="5260" spans="2:7" ht="28.8">
      <c r="B5260" s="162" t="s">
        <v>697</v>
      </c>
      <c r="C5260" s="162" t="s">
        <v>11572</v>
      </c>
      <c r="D5260" s="162" t="s">
        <v>11573</v>
      </c>
      <c r="F5260" s="162">
        <v>70</v>
      </c>
      <c r="G5260" s="162">
        <v>1</v>
      </c>
    </row>
    <row r="5261" spans="2:7" ht="57.6">
      <c r="B5261" s="162" t="s">
        <v>697</v>
      </c>
      <c r="C5261" s="162" t="s">
        <v>11574</v>
      </c>
      <c r="D5261" s="162" t="s">
        <v>11575</v>
      </c>
      <c r="F5261" s="162">
        <v>120</v>
      </c>
      <c r="G5261" s="162">
        <v>1</v>
      </c>
    </row>
    <row r="5262" spans="2:7" ht="43.2">
      <c r="B5262" s="162" t="s">
        <v>697</v>
      </c>
      <c r="C5262" s="162" t="s">
        <v>11576</v>
      </c>
      <c r="D5262" s="162" t="s">
        <v>11577</v>
      </c>
      <c r="F5262" s="162">
        <v>306</v>
      </c>
      <c r="G5262" s="162">
        <v>1</v>
      </c>
    </row>
    <row r="5263" spans="2:7" ht="57.6">
      <c r="B5263" s="162" t="s">
        <v>697</v>
      </c>
      <c r="C5263" s="162" t="s">
        <v>11578</v>
      </c>
      <c r="D5263" s="162" t="s">
        <v>11579</v>
      </c>
      <c r="F5263" s="162">
        <v>306</v>
      </c>
      <c r="G5263" s="162">
        <v>1</v>
      </c>
    </row>
    <row r="5264" spans="2:7" ht="43.2">
      <c r="B5264" s="162" t="s">
        <v>697</v>
      </c>
      <c r="C5264" s="162" t="s">
        <v>11580</v>
      </c>
      <c r="D5264" s="162" t="s">
        <v>11581</v>
      </c>
      <c r="F5264" s="162">
        <v>190</v>
      </c>
      <c r="G5264" s="162">
        <v>1</v>
      </c>
    </row>
    <row r="5265" spans="2:7" ht="28.8">
      <c r="B5265" s="162" t="s">
        <v>697</v>
      </c>
      <c r="C5265" s="162" t="s">
        <v>11582</v>
      </c>
      <c r="D5265" s="162" t="s">
        <v>11583</v>
      </c>
      <c r="F5265" s="162">
        <v>432</v>
      </c>
      <c r="G5265" s="162">
        <v>1</v>
      </c>
    </row>
    <row r="5266" spans="2:7" ht="28.8">
      <c r="B5266" s="162" t="s">
        <v>697</v>
      </c>
      <c r="C5266" s="162" t="s">
        <v>11584</v>
      </c>
      <c r="D5266" s="162" t="s">
        <v>11585</v>
      </c>
      <c r="F5266" s="162">
        <v>58</v>
      </c>
      <c r="G5266" s="162">
        <v>1</v>
      </c>
    </row>
    <row r="5267" spans="2:7" ht="28.8">
      <c r="B5267" s="162" t="s">
        <v>697</v>
      </c>
      <c r="C5267" s="162" t="s">
        <v>11586</v>
      </c>
      <c r="D5267" s="162" t="s">
        <v>11587</v>
      </c>
      <c r="F5267" s="162">
        <v>34</v>
      </c>
      <c r="G5267" s="162">
        <v>1</v>
      </c>
    </row>
    <row r="5268" spans="2:7" ht="28.8">
      <c r="B5268" s="162" t="s">
        <v>697</v>
      </c>
      <c r="C5268" s="162" t="s">
        <v>11588</v>
      </c>
      <c r="D5268" s="162" t="s">
        <v>11589</v>
      </c>
      <c r="F5268" s="162">
        <v>52</v>
      </c>
      <c r="G5268" s="162">
        <v>1</v>
      </c>
    </row>
    <row r="5269" spans="2:7" ht="43.2">
      <c r="B5269" s="162" t="s">
        <v>697</v>
      </c>
      <c r="C5269" s="162" t="s">
        <v>11590</v>
      </c>
      <c r="D5269" s="162" t="s">
        <v>11591</v>
      </c>
      <c r="F5269" s="162">
        <v>226</v>
      </c>
      <c r="G5269" s="162">
        <v>1</v>
      </c>
    </row>
    <row r="5270" spans="2:7" ht="28.8">
      <c r="B5270" s="162" t="s">
        <v>697</v>
      </c>
      <c r="C5270" s="162" t="s">
        <v>11592</v>
      </c>
      <c r="D5270" s="162" t="s">
        <v>11593</v>
      </c>
      <c r="F5270" s="162">
        <v>102</v>
      </c>
      <c r="G5270" s="162">
        <v>1</v>
      </c>
    </row>
    <row r="5271" spans="2:7" ht="28.8">
      <c r="B5271" s="162" t="s">
        <v>697</v>
      </c>
      <c r="C5271" s="162" t="s">
        <v>11594</v>
      </c>
      <c r="D5271" s="162" t="s">
        <v>11595</v>
      </c>
      <c r="F5271" s="162">
        <v>58</v>
      </c>
      <c r="G5271" s="162">
        <v>1</v>
      </c>
    </row>
    <row r="5272" spans="2:7" ht="43.2">
      <c r="B5272" s="162" t="s">
        <v>697</v>
      </c>
      <c r="C5272" s="162" t="s">
        <v>11596</v>
      </c>
      <c r="D5272" s="162" t="s">
        <v>11597</v>
      </c>
      <c r="F5272" s="162">
        <v>134</v>
      </c>
      <c r="G5272" s="162">
        <v>1</v>
      </c>
    </row>
    <row r="5273" spans="2:7" ht="43.2">
      <c r="B5273" s="162" t="s">
        <v>697</v>
      </c>
      <c r="C5273" s="162" t="s">
        <v>11598</v>
      </c>
      <c r="D5273" s="162" t="s">
        <v>11599</v>
      </c>
      <c r="F5273" s="162">
        <v>154</v>
      </c>
      <c r="G5273" s="162">
        <v>1</v>
      </c>
    </row>
    <row r="5274" spans="2:7" ht="43.2">
      <c r="B5274" s="162" t="s">
        <v>697</v>
      </c>
      <c r="C5274" s="162" t="s">
        <v>11600</v>
      </c>
      <c r="D5274" s="162" t="s">
        <v>11601</v>
      </c>
      <c r="F5274" s="162">
        <v>166</v>
      </c>
      <c r="G5274" s="162">
        <v>1</v>
      </c>
    </row>
    <row r="5275" spans="2:7" ht="43.2">
      <c r="B5275" s="162" t="s">
        <v>697</v>
      </c>
      <c r="C5275" s="162" t="s">
        <v>11602</v>
      </c>
      <c r="D5275" s="162" t="s">
        <v>11603</v>
      </c>
      <c r="F5275" s="162">
        <v>124</v>
      </c>
      <c r="G5275" s="162">
        <v>1</v>
      </c>
    </row>
    <row r="5276" spans="2:7" ht="28.8">
      <c r="B5276" s="162" t="s">
        <v>697</v>
      </c>
      <c r="C5276" s="162" t="s">
        <v>11604</v>
      </c>
      <c r="D5276" s="162" t="s">
        <v>11605</v>
      </c>
      <c r="F5276" s="162">
        <v>200</v>
      </c>
      <c r="G5276" s="162">
        <v>1</v>
      </c>
    </row>
    <row r="5277" spans="2:7" ht="28.8">
      <c r="B5277" s="162" t="s">
        <v>697</v>
      </c>
      <c r="C5277" s="162" t="s">
        <v>11606</v>
      </c>
      <c r="D5277" s="162" t="s">
        <v>11607</v>
      </c>
      <c r="F5277" s="162">
        <v>78</v>
      </c>
      <c r="G5277" s="162">
        <v>1</v>
      </c>
    </row>
    <row r="5278" spans="2:7" ht="28.8">
      <c r="B5278" s="162" t="s">
        <v>697</v>
      </c>
      <c r="C5278" s="162" t="s">
        <v>11608</v>
      </c>
      <c r="D5278" s="162" t="s">
        <v>11609</v>
      </c>
      <c r="F5278" s="162">
        <v>138</v>
      </c>
      <c r="G5278" s="162">
        <v>1</v>
      </c>
    </row>
    <row r="5279" spans="2:7" ht="28.8">
      <c r="B5279" s="162" t="s">
        <v>697</v>
      </c>
      <c r="C5279" s="162" t="s">
        <v>11610</v>
      </c>
      <c r="D5279" s="162" t="s">
        <v>11611</v>
      </c>
      <c r="F5279" s="162">
        <v>72</v>
      </c>
      <c r="G5279" s="162">
        <v>1</v>
      </c>
    </row>
    <row r="5280" spans="2:7" ht="28.8">
      <c r="B5280" s="162" t="s">
        <v>697</v>
      </c>
      <c r="C5280" s="162" t="s">
        <v>11612</v>
      </c>
      <c r="D5280" s="162" t="s">
        <v>11613</v>
      </c>
      <c r="F5280" s="162">
        <v>320</v>
      </c>
      <c r="G5280" s="162">
        <v>1</v>
      </c>
    </row>
    <row r="5281" spans="2:7" ht="28.8">
      <c r="B5281" s="162" t="s">
        <v>697</v>
      </c>
      <c r="C5281" s="162" t="s">
        <v>11614</v>
      </c>
      <c r="D5281" s="162" t="s">
        <v>11615</v>
      </c>
      <c r="F5281" s="162">
        <v>188</v>
      </c>
      <c r="G5281" s="162">
        <v>1</v>
      </c>
    </row>
    <row r="5282" spans="2:7" ht="43.2">
      <c r="B5282" s="162" t="s">
        <v>697</v>
      </c>
      <c r="C5282" s="162" t="s">
        <v>11616</v>
      </c>
      <c r="D5282" s="162" t="s">
        <v>11617</v>
      </c>
      <c r="F5282" s="162">
        <v>432</v>
      </c>
      <c r="G5282" s="162">
        <v>1</v>
      </c>
    </row>
    <row r="5283" spans="2:7" ht="43.2">
      <c r="B5283" s="162" t="s">
        <v>697</v>
      </c>
      <c r="C5283" s="162" t="s">
        <v>11618</v>
      </c>
      <c r="D5283" s="162" t="s">
        <v>11619</v>
      </c>
      <c r="F5283" s="162">
        <v>968</v>
      </c>
      <c r="G5283" s="162">
        <v>1</v>
      </c>
    </row>
    <row r="5284" spans="2:7" ht="43.2">
      <c r="B5284" s="162" t="s">
        <v>697</v>
      </c>
      <c r="C5284" s="162" t="s">
        <v>11620</v>
      </c>
      <c r="D5284" s="162" t="s">
        <v>11621</v>
      </c>
      <c r="F5284" s="162">
        <v>968</v>
      </c>
      <c r="G5284" s="162">
        <v>1</v>
      </c>
    </row>
    <row r="5285" spans="2:7" ht="43.2">
      <c r="B5285" s="162" t="s">
        <v>697</v>
      </c>
      <c r="C5285" s="162" t="s">
        <v>11622</v>
      </c>
      <c r="D5285" s="162" t="s">
        <v>11623</v>
      </c>
      <c r="F5285" s="162">
        <v>262</v>
      </c>
      <c r="G5285" s="162">
        <v>1</v>
      </c>
    </row>
    <row r="5286" spans="2:7" ht="28.8">
      <c r="B5286" s="162" t="s">
        <v>697</v>
      </c>
      <c r="C5286" s="162" t="s">
        <v>11624</v>
      </c>
      <c r="D5286" s="162" t="s">
        <v>11625</v>
      </c>
      <c r="F5286" s="162">
        <v>262</v>
      </c>
      <c r="G5286" s="162">
        <v>1</v>
      </c>
    </row>
    <row r="5287" spans="2:7" ht="57.6">
      <c r="B5287" s="162" t="s">
        <v>697</v>
      </c>
      <c r="C5287" s="162" t="s">
        <v>11626</v>
      </c>
      <c r="D5287" s="162" t="s">
        <v>11627</v>
      </c>
      <c r="F5287" s="162">
        <v>602</v>
      </c>
      <c r="G5287" s="162">
        <v>1</v>
      </c>
    </row>
    <row r="5288" spans="2:7" ht="72">
      <c r="B5288" s="162" t="s">
        <v>697</v>
      </c>
      <c r="C5288" s="162" t="s">
        <v>11628</v>
      </c>
      <c r="D5288" s="162" t="s">
        <v>11629</v>
      </c>
      <c r="F5288" s="162">
        <v>602</v>
      </c>
      <c r="G5288" s="162">
        <v>1</v>
      </c>
    </row>
    <row r="5289" spans="2:7" ht="72">
      <c r="B5289" s="162" t="s">
        <v>697</v>
      </c>
      <c r="C5289" s="162" t="s">
        <v>11630</v>
      </c>
      <c r="D5289" s="162" t="s">
        <v>11631</v>
      </c>
      <c r="F5289" s="162">
        <v>602</v>
      </c>
      <c r="G5289" s="162">
        <v>1</v>
      </c>
    </row>
    <row r="5290" spans="2:7" ht="57.6">
      <c r="B5290" s="162" t="s">
        <v>697</v>
      </c>
      <c r="C5290" s="162" t="s">
        <v>11632</v>
      </c>
      <c r="D5290" s="162" t="s">
        <v>11633</v>
      </c>
      <c r="F5290" s="162">
        <v>602</v>
      </c>
      <c r="G5290" s="162">
        <v>1</v>
      </c>
    </row>
    <row r="5291" spans="2:7" ht="28.8">
      <c r="B5291" s="162" t="s">
        <v>697</v>
      </c>
      <c r="C5291" s="162" t="s">
        <v>11634</v>
      </c>
      <c r="D5291" s="162" t="s">
        <v>11635</v>
      </c>
      <c r="F5291" s="162">
        <v>704</v>
      </c>
      <c r="G5291" s="162">
        <v>1</v>
      </c>
    </row>
    <row r="5292" spans="2:7" ht="43.2">
      <c r="B5292" s="162" t="s">
        <v>697</v>
      </c>
      <c r="C5292" s="162" t="s">
        <v>11636</v>
      </c>
      <c r="D5292" s="162" t="s">
        <v>11637</v>
      </c>
      <c r="F5292" s="162">
        <v>380</v>
      </c>
      <c r="G5292" s="162">
        <v>1</v>
      </c>
    </row>
    <row r="5293" spans="2:7" ht="43.2">
      <c r="B5293" s="162" t="s">
        <v>697</v>
      </c>
      <c r="C5293" s="162" t="s">
        <v>11638</v>
      </c>
      <c r="D5293" s="162" t="s">
        <v>11639</v>
      </c>
      <c r="F5293" s="162">
        <v>380</v>
      </c>
      <c r="G5293" s="162">
        <v>1</v>
      </c>
    </row>
    <row r="5294" spans="2:7" ht="28.8">
      <c r="B5294" s="162" t="s">
        <v>697</v>
      </c>
      <c r="C5294" s="162" t="s">
        <v>11640</v>
      </c>
      <c r="D5294" s="162" t="s">
        <v>11641</v>
      </c>
      <c r="F5294" s="162">
        <v>250</v>
      </c>
      <c r="G5294" s="162">
        <v>1</v>
      </c>
    </row>
    <row r="5295" spans="2:7" ht="72">
      <c r="B5295" s="162" t="s">
        <v>697</v>
      </c>
      <c r="C5295" s="162" t="s">
        <v>11642</v>
      </c>
      <c r="D5295" s="162" t="s">
        <v>11643</v>
      </c>
      <c r="F5295" s="162">
        <v>454</v>
      </c>
      <c r="G5295" s="162">
        <v>1</v>
      </c>
    </row>
    <row r="5296" spans="2:7" ht="28.8">
      <c r="B5296" s="162" t="s">
        <v>697</v>
      </c>
      <c r="C5296" s="162" t="s">
        <v>11644</v>
      </c>
      <c r="D5296" s="162" t="s">
        <v>11645</v>
      </c>
      <c r="F5296" s="162">
        <v>246</v>
      </c>
      <c r="G5296" s="162">
        <v>1</v>
      </c>
    </row>
    <row r="5297" spans="2:7" ht="28.8">
      <c r="B5297" s="162" t="s">
        <v>697</v>
      </c>
      <c r="C5297" s="162" t="s">
        <v>11646</v>
      </c>
      <c r="D5297" s="162" t="s">
        <v>11647</v>
      </c>
      <c r="F5297" s="162">
        <v>220</v>
      </c>
      <c r="G5297" s="162">
        <v>1</v>
      </c>
    </row>
    <row r="5298" spans="2:7" ht="43.2">
      <c r="B5298" s="162" t="s">
        <v>697</v>
      </c>
      <c r="C5298" s="162" t="s">
        <v>11648</v>
      </c>
      <c r="D5298" s="162" t="s">
        <v>11649</v>
      </c>
      <c r="F5298" s="162">
        <v>670</v>
      </c>
      <c r="G5298" s="162">
        <v>1</v>
      </c>
    </row>
    <row r="5299" spans="2:7" ht="28.8">
      <c r="B5299" s="162" t="s">
        <v>697</v>
      </c>
      <c r="C5299" s="162" t="s">
        <v>11650</v>
      </c>
      <c r="D5299" s="162" t="s">
        <v>11651</v>
      </c>
      <c r="F5299" s="162">
        <v>302</v>
      </c>
      <c r="G5299" s="162">
        <v>1</v>
      </c>
    </row>
    <row r="5300" spans="2:7" ht="28.8">
      <c r="B5300" s="162" t="s">
        <v>697</v>
      </c>
      <c r="C5300" s="162" t="s">
        <v>11652</v>
      </c>
      <c r="D5300" s="162" t="s">
        <v>11653</v>
      </c>
      <c r="F5300" s="162">
        <v>246</v>
      </c>
      <c r="G5300" s="162">
        <v>1</v>
      </c>
    </row>
    <row r="5301" spans="2:7" ht="28.8">
      <c r="B5301" s="162" t="s">
        <v>697</v>
      </c>
      <c r="C5301" s="162" t="s">
        <v>11654</v>
      </c>
      <c r="D5301" s="162" t="s">
        <v>11655</v>
      </c>
      <c r="F5301" s="162">
        <v>246</v>
      </c>
      <c r="G5301" s="162">
        <v>1</v>
      </c>
    </row>
    <row r="5302" spans="2:7" ht="28.8">
      <c r="B5302" s="162" t="s">
        <v>697</v>
      </c>
      <c r="C5302" s="162" t="s">
        <v>11656</v>
      </c>
      <c r="D5302" s="162" t="s">
        <v>11657</v>
      </c>
      <c r="F5302" s="162">
        <v>246</v>
      </c>
      <c r="G5302" s="162">
        <v>1</v>
      </c>
    </row>
    <row r="5303" spans="2:7" ht="28.8">
      <c r="B5303" s="162" t="s">
        <v>697</v>
      </c>
      <c r="C5303" s="162" t="s">
        <v>11658</v>
      </c>
      <c r="D5303" s="162" t="s">
        <v>11659</v>
      </c>
      <c r="F5303" s="162">
        <v>260</v>
      </c>
      <c r="G5303" s="162">
        <v>1</v>
      </c>
    </row>
    <row r="5304" spans="2:7" ht="28.8">
      <c r="B5304" s="162" t="s">
        <v>697</v>
      </c>
      <c r="C5304" s="162" t="s">
        <v>11660</v>
      </c>
      <c r="D5304" s="162" t="s">
        <v>11661</v>
      </c>
      <c r="F5304" s="162">
        <v>1160</v>
      </c>
      <c r="G5304" s="162">
        <v>1</v>
      </c>
    </row>
    <row r="5305" spans="2:7" ht="28.8">
      <c r="B5305" s="162" t="s">
        <v>697</v>
      </c>
      <c r="C5305" s="162" t="s">
        <v>11662</v>
      </c>
      <c r="D5305" s="162" t="s">
        <v>11663</v>
      </c>
      <c r="F5305" s="162">
        <v>798</v>
      </c>
      <c r="G5305" s="162">
        <v>1</v>
      </c>
    </row>
    <row r="5306" spans="2:7" ht="43.2">
      <c r="B5306" s="162" t="s">
        <v>697</v>
      </c>
      <c r="C5306" s="162" t="s">
        <v>11664</v>
      </c>
      <c r="D5306" s="162" t="s">
        <v>11665</v>
      </c>
      <c r="F5306" s="162">
        <v>646</v>
      </c>
      <c r="G5306" s="162">
        <v>1</v>
      </c>
    </row>
    <row r="5307" spans="2:7" ht="28.8">
      <c r="B5307" s="162" t="s">
        <v>697</v>
      </c>
      <c r="C5307" s="162" t="s">
        <v>11666</v>
      </c>
      <c r="D5307" s="162" t="s">
        <v>11667</v>
      </c>
      <c r="F5307" s="162">
        <v>646</v>
      </c>
      <c r="G5307" s="162">
        <v>1</v>
      </c>
    </row>
    <row r="5308" spans="2:7" ht="28.8">
      <c r="B5308" s="162" t="s">
        <v>697</v>
      </c>
      <c r="C5308" s="162" t="s">
        <v>11668</v>
      </c>
      <c r="D5308" s="162" t="s">
        <v>11669</v>
      </c>
      <c r="F5308" s="162">
        <v>646</v>
      </c>
      <c r="G5308" s="162">
        <v>1</v>
      </c>
    </row>
    <row r="5309" spans="2:7" ht="28.8">
      <c r="B5309" s="162" t="s">
        <v>697</v>
      </c>
      <c r="C5309" s="162" t="s">
        <v>11670</v>
      </c>
      <c r="D5309" s="162" t="s">
        <v>11671</v>
      </c>
      <c r="F5309" s="162">
        <v>270</v>
      </c>
      <c r="G5309" s="162">
        <v>1</v>
      </c>
    </row>
    <row r="5310" spans="2:7" ht="28.8">
      <c r="B5310" s="162" t="s">
        <v>697</v>
      </c>
      <c r="C5310" s="162" t="s">
        <v>11672</v>
      </c>
      <c r="D5310" s="162" t="s">
        <v>11673</v>
      </c>
      <c r="F5310" s="162">
        <v>290</v>
      </c>
      <c r="G5310" s="162">
        <v>1</v>
      </c>
    </row>
    <row r="5311" spans="2:7" ht="28.8">
      <c r="B5311" s="162" t="s">
        <v>697</v>
      </c>
      <c r="C5311" s="162" t="s">
        <v>11674</v>
      </c>
      <c r="D5311" s="162" t="s">
        <v>11675</v>
      </c>
      <c r="F5311" s="162">
        <v>400</v>
      </c>
      <c r="G5311" s="162">
        <v>1</v>
      </c>
    </row>
    <row r="5312" spans="2:7" ht="28.8">
      <c r="B5312" s="162" t="s">
        <v>697</v>
      </c>
      <c r="C5312" s="162" t="s">
        <v>11676</v>
      </c>
      <c r="D5312" s="162" t="s">
        <v>11677</v>
      </c>
      <c r="F5312" s="162">
        <v>270</v>
      </c>
      <c r="G5312" s="162">
        <v>1</v>
      </c>
    </row>
    <row r="5313" spans="2:7" ht="28.8">
      <c r="B5313" s="162" t="s">
        <v>697</v>
      </c>
      <c r="C5313" s="162" t="s">
        <v>11678</v>
      </c>
      <c r="D5313" s="162" t="s">
        <v>11679</v>
      </c>
      <c r="F5313" s="162">
        <v>400</v>
      </c>
      <c r="G5313" s="162">
        <v>1</v>
      </c>
    </row>
    <row r="5314" spans="2:7" ht="28.8">
      <c r="B5314" s="162" t="s">
        <v>697</v>
      </c>
      <c r="C5314" s="162" t="s">
        <v>11680</v>
      </c>
      <c r="D5314" s="162" t="s">
        <v>11681</v>
      </c>
      <c r="F5314" s="162">
        <v>846</v>
      </c>
      <c r="G5314" s="162">
        <v>1</v>
      </c>
    </row>
    <row r="5315" spans="2:7" ht="28.8">
      <c r="B5315" s="162" t="s">
        <v>697</v>
      </c>
      <c r="C5315" s="162" t="s">
        <v>11682</v>
      </c>
      <c r="D5315" s="162" t="s">
        <v>11683</v>
      </c>
      <c r="F5315" s="162">
        <v>270</v>
      </c>
      <c r="G5315" s="162">
        <v>1</v>
      </c>
    </row>
    <row r="5316" spans="2:7" ht="43.2">
      <c r="B5316" s="162" t="s">
        <v>697</v>
      </c>
      <c r="C5316" s="162" t="s">
        <v>11684</v>
      </c>
      <c r="D5316" s="162" t="s">
        <v>11685</v>
      </c>
      <c r="F5316" s="162">
        <v>646</v>
      </c>
      <c r="G5316" s="162">
        <v>1</v>
      </c>
    </row>
    <row r="5317" spans="2:7" ht="28.8">
      <c r="B5317" s="162" t="s">
        <v>697</v>
      </c>
      <c r="C5317" s="162" t="s">
        <v>11686</v>
      </c>
      <c r="D5317" s="162" t="s">
        <v>11687</v>
      </c>
      <c r="F5317" s="162">
        <v>646</v>
      </c>
      <c r="G5317" s="162">
        <v>1</v>
      </c>
    </row>
    <row r="5318" spans="2:7" ht="28.8">
      <c r="B5318" s="162" t="s">
        <v>697</v>
      </c>
      <c r="C5318" s="162" t="s">
        <v>11688</v>
      </c>
      <c r="D5318" s="162" t="s">
        <v>11689</v>
      </c>
      <c r="F5318" s="162">
        <v>324</v>
      </c>
      <c r="G5318" s="162">
        <v>1</v>
      </c>
    </row>
    <row r="5319" spans="2:7" ht="28.8">
      <c r="B5319" s="162" t="s">
        <v>697</v>
      </c>
      <c r="C5319" s="162" t="s">
        <v>11690</v>
      </c>
      <c r="D5319" s="162" t="s">
        <v>11691</v>
      </c>
      <c r="F5319" s="162">
        <v>324</v>
      </c>
      <c r="G5319" s="162">
        <v>1</v>
      </c>
    </row>
    <row r="5320" spans="2:7" ht="28.8">
      <c r="B5320" s="162" t="s">
        <v>697</v>
      </c>
      <c r="C5320" s="162" t="s">
        <v>11692</v>
      </c>
      <c r="D5320" s="162" t="s">
        <v>11693</v>
      </c>
      <c r="F5320" s="162">
        <v>178</v>
      </c>
      <c r="G5320" s="162">
        <v>1</v>
      </c>
    </row>
    <row r="5321" spans="2:7" ht="28.8">
      <c r="B5321" s="162" t="s">
        <v>697</v>
      </c>
      <c r="C5321" s="162" t="s">
        <v>11694</v>
      </c>
      <c r="D5321" s="162" t="s">
        <v>11695</v>
      </c>
      <c r="F5321" s="162">
        <v>178</v>
      </c>
      <c r="G5321" s="162">
        <v>1</v>
      </c>
    </row>
    <row r="5322" spans="2:7" ht="28.8">
      <c r="B5322" s="162" t="s">
        <v>697</v>
      </c>
      <c r="C5322" s="162" t="s">
        <v>11696</v>
      </c>
      <c r="D5322" s="162" t="s">
        <v>11697</v>
      </c>
      <c r="F5322" s="162">
        <v>188</v>
      </c>
      <c r="G5322" s="162">
        <v>1</v>
      </c>
    </row>
    <row r="5323" spans="2:7" ht="28.8">
      <c r="B5323" s="162" t="s">
        <v>697</v>
      </c>
      <c r="C5323" s="162" t="s">
        <v>11698</v>
      </c>
      <c r="D5323" s="162" t="s">
        <v>11699</v>
      </c>
      <c r="F5323" s="162">
        <v>210</v>
      </c>
      <c r="G5323" s="162">
        <v>1</v>
      </c>
    </row>
    <row r="5324" spans="2:7" ht="28.8">
      <c r="B5324" s="162" t="s">
        <v>697</v>
      </c>
      <c r="C5324" s="162" t="s">
        <v>11700</v>
      </c>
      <c r="D5324" s="162" t="s">
        <v>11701</v>
      </c>
      <c r="F5324" s="162">
        <v>80</v>
      </c>
      <c r="G5324" s="162">
        <v>1</v>
      </c>
    </row>
    <row r="5325" spans="2:7" ht="28.8">
      <c r="B5325" s="162" t="s">
        <v>697</v>
      </c>
      <c r="C5325" s="162" t="s">
        <v>11702</v>
      </c>
      <c r="D5325" s="162" t="s">
        <v>11703</v>
      </c>
      <c r="F5325" s="162">
        <v>250</v>
      </c>
      <c r="G5325" s="162">
        <v>1</v>
      </c>
    </row>
    <row r="5326" spans="2:7" ht="28.8">
      <c r="B5326" s="162" t="s">
        <v>697</v>
      </c>
      <c r="C5326" s="162" t="s">
        <v>11704</v>
      </c>
      <c r="D5326" s="162" t="s">
        <v>11705</v>
      </c>
      <c r="F5326" s="162">
        <v>146</v>
      </c>
      <c r="G5326" s="162">
        <v>1</v>
      </c>
    </row>
    <row r="5327" spans="2:7" ht="28.8">
      <c r="B5327" s="162" t="s">
        <v>697</v>
      </c>
      <c r="C5327" s="162" t="s">
        <v>11706</v>
      </c>
      <c r="D5327" s="162" t="s">
        <v>11707</v>
      </c>
      <c r="F5327" s="162">
        <v>118</v>
      </c>
      <c r="G5327" s="162">
        <v>1</v>
      </c>
    </row>
    <row r="5328" spans="2:7" ht="28.8">
      <c r="B5328" s="162" t="s">
        <v>697</v>
      </c>
      <c r="C5328" s="162" t="s">
        <v>11708</v>
      </c>
      <c r="D5328" s="162" t="s">
        <v>11709</v>
      </c>
      <c r="F5328" s="162">
        <v>166</v>
      </c>
      <c r="G5328" s="162">
        <v>1</v>
      </c>
    </row>
    <row r="5329" spans="2:7" ht="28.8">
      <c r="B5329" s="162" t="s">
        <v>697</v>
      </c>
      <c r="C5329" s="162" t="s">
        <v>11710</v>
      </c>
      <c r="D5329" s="162" t="s">
        <v>11711</v>
      </c>
      <c r="F5329" s="162">
        <v>166</v>
      </c>
      <c r="G5329" s="162">
        <v>1</v>
      </c>
    </row>
    <row r="5330" spans="2:7" ht="28.8">
      <c r="B5330" s="162" t="s">
        <v>697</v>
      </c>
      <c r="C5330" s="162" t="s">
        <v>11712</v>
      </c>
      <c r="D5330" s="162" t="s">
        <v>11713</v>
      </c>
      <c r="F5330" s="162">
        <v>102</v>
      </c>
      <c r="G5330" s="162">
        <v>1</v>
      </c>
    </row>
    <row r="5331" spans="2:7" ht="28.8">
      <c r="B5331" s="162" t="s">
        <v>697</v>
      </c>
      <c r="C5331" s="162" t="s">
        <v>11714</v>
      </c>
      <c r="D5331" s="162" t="s">
        <v>11715</v>
      </c>
      <c r="F5331" s="162">
        <v>510</v>
      </c>
      <c r="G5331" s="162">
        <v>1</v>
      </c>
    </row>
    <row r="5332" spans="2:7" ht="28.8">
      <c r="B5332" s="162" t="s">
        <v>697</v>
      </c>
      <c r="C5332" s="162" t="s">
        <v>11716</v>
      </c>
      <c r="D5332" s="162" t="s">
        <v>11717</v>
      </c>
      <c r="F5332" s="162">
        <v>488</v>
      </c>
      <c r="G5332" s="162">
        <v>1</v>
      </c>
    </row>
    <row r="5333" spans="2:7" ht="28.8">
      <c r="B5333" s="162" t="s">
        <v>697</v>
      </c>
      <c r="C5333" s="162" t="s">
        <v>11718</v>
      </c>
      <c r="D5333" s="162" t="s">
        <v>11719</v>
      </c>
      <c r="F5333" s="162">
        <v>324</v>
      </c>
      <c r="G5333" s="162">
        <v>1</v>
      </c>
    </row>
    <row r="5334" spans="2:7" ht="28.8">
      <c r="B5334" s="162" t="s">
        <v>697</v>
      </c>
      <c r="C5334" s="162" t="s">
        <v>11720</v>
      </c>
      <c r="D5334" s="162" t="s">
        <v>11721</v>
      </c>
      <c r="F5334" s="162">
        <v>166</v>
      </c>
      <c r="G5334" s="162">
        <v>1</v>
      </c>
    </row>
    <row r="5335" spans="2:7" ht="28.8">
      <c r="B5335" s="162" t="s">
        <v>697</v>
      </c>
      <c r="C5335" s="162" t="s">
        <v>11722</v>
      </c>
      <c r="D5335" s="162" t="s">
        <v>11723</v>
      </c>
      <c r="F5335" s="162">
        <v>336</v>
      </c>
      <c r="G5335" s="162">
        <v>1</v>
      </c>
    </row>
    <row r="5336" spans="2:7" ht="28.8">
      <c r="B5336" s="162" t="s">
        <v>697</v>
      </c>
      <c r="C5336" s="162" t="s">
        <v>11724</v>
      </c>
      <c r="D5336" s="162" t="s">
        <v>11725</v>
      </c>
      <c r="F5336" s="162">
        <v>478</v>
      </c>
      <c r="G5336" s="162">
        <v>1</v>
      </c>
    </row>
    <row r="5337" spans="2:7" ht="28.8">
      <c r="B5337" s="162" t="s">
        <v>697</v>
      </c>
      <c r="C5337" s="162" t="s">
        <v>11726</v>
      </c>
      <c r="D5337" s="162" t="s">
        <v>11727</v>
      </c>
      <c r="F5337" s="162">
        <v>242</v>
      </c>
      <c r="G5337" s="162">
        <v>1</v>
      </c>
    </row>
    <row r="5338" spans="2:7" ht="28.8">
      <c r="B5338" s="162" t="s">
        <v>697</v>
      </c>
      <c r="C5338" s="162" t="s">
        <v>11728</v>
      </c>
      <c r="D5338" s="162" t="s">
        <v>11729</v>
      </c>
      <c r="F5338" s="162">
        <v>250</v>
      </c>
      <c r="G5338" s="162">
        <v>1</v>
      </c>
    </row>
    <row r="5339" spans="2:7" ht="43.2">
      <c r="B5339" s="162" t="s">
        <v>697</v>
      </c>
      <c r="C5339" s="162" t="s">
        <v>11730</v>
      </c>
      <c r="D5339" s="162" t="s">
        <v>11731</v>
      </c>
      <c r="F5339" s="162">
        <v>300</v>
      </c>
      <c r="G5339" s="162">
        <v>1</v>
      </c>
    </row>
    <row r="5340" spans="2:7" ht="43.2">
      <c r="B5340" s="162" t="s">
        <v>697</v>
      </c>
      <c r="C5340" s="162" t="s">
        <v>10505</v>
      </c>
      <c r="D5340" s="162" t="s">
        <v>11732</v>
      </c>
      <c r="F5340" s="162">
        <v>300</v>
      </c>
      <c r="G5340" s="162">
        <v>1</v>
      </c>
    </row>
    <row r="5341" spans="2:7" ht="28.8">
      <c r="B5341" s="162" t="s">
        <v>697</v>
      </c>
      <c r="C5341" s="162" t="s">
        <v>11733</v>
      </c>
      <c r="D5341" s="162" t="s">
        <v>11734</v>
      </c>
      <c r="F5341" s="162">
        <v>400</v>
      </c>
      <c r="G5341" s="162">
        <v>1</v>
      </c>
    </row>
    <row r="5342" spans="2:7" ht="28.8">
      <c r="B5342" s="162" t="s">
        <v>697</v>
      </c>
      <c r="C5342" s="162" t="s">
        <v>11735</v>
      </c>
      <c r="D5342" s="162" t="s">
        <v>11736</v>
      </c>
      <c r="F5342" s="162">
        <v>400</v>
      </c>
      <c r="G5342" s="162">
        <v>1</v>
      </c>
    </row>
    <row r="5343" spans="2:7" ht="28.8">
      <c r="B5343" s="162" t="s">
        <v>697</v>
      </c>
      <c r="C5343" s="162" t="s">
        <v>11737</v>
      </c>
      <c r="D5343" s="162" t="s">
        <v>11738</v>
      </c>
      <c r="F5343" s="162">
        <v>400</v>
      </c>
      <c r="G5343" s="162">
        <v>1</v>
      </c>
    </row>
    <row r="5344" spans="2:7" ht="72">
      <c r="B5344" s="162" t="s">
        <v>697</v>
      </c>
      <c r="C5344" s="162" t="s">
        <v>10468</v>
      </c>
      <c r="D5344" s="162" t="s">
        <v>11739</v>
      </c>
      <c r="F5344" s="162">
        <v>166</v>
      </c>
      <c r="G5344" s="162">
        <v>1</v>
      </c>
    </row>
    <row r="5345" spans="2:7" ht="43.2">
      <c r="B5345" s="162" t="s">
        <v>697</v>
      </c>
      <c r="C5345" s="162" t="s">
        <v>11740</v>
      </c>
      <c r="D5345" s="162" t="s">
        <v>11741</v>
      </c>
      <c r="F5345" s="162">
        <v>200</v>
      </c>
      <c r="G5345" s="162">
        <v>1</v>
      </c>
    </row>
    <row r="5346" spans="2:7" ht="43.2">
      <c r="B5346" s="162" t="s">
        <v>697</v>
      </c>
      <c r="C5346" s="162" t="s">
        <v>11742</v>
      </c>
      <c r="D5346" s="162" t="s">
        <v>11743</v>
      </c>
      <c r="F5346" s="162">
        <v>200</v>
      </c>
      <c r="G5346" s="162">
        <v>1</v>
      </c>
    </row>
    <row r="5347" spans="2:7" ht="57.6">
      <c r="B5347" s="162" t="s">
        <v>697</v>
      </c>
      <c r="C5347" s="162" t="s">
        <v>10487</v>
      </c>
      <c r="D5347" s="162" t="s">
        <v>11744</v>
      </c>
      <c r="F5347" s="162">
        <v>260</v>
      </c>
      <c r="G5347" s="162">
        <v>1</v>
      </c>
    </row>
    <row r="5348" spans="2:7" ht="28.8">
      <c r="B5348" s="162" t="s">
        <v>697</v>
      </c>
      <c r="C5348" s="162" t="s">
        <v>11745</v>
      </c>
      <c r="D5348" s="162" t="s">
        <v>11746</v>
      </c>
      <c r="F5348" s="162">
        <v>260</v>
      </c>
      <c r="G5348" s="162">
        <v>1</v>
      </c>
    </row>
    <row r="5349" spans="2:7" ht="28.8">
      <c r="B5349" s="162" t="s">
        <v>697</v>
      </c>
      <c r="C5349" s="162" t="s">
        <v>11747</v>
      </c>
      <c r="D5349" s="162" t="s">
        <v>11748</v>
      </c>
      <c r="F5349" s="162">
        <v>3182</v>
      </c>
      <c r="G5349" s="162">
        <v>1</v>
      </c>
    </row>
    <row r="5350" spans="2:7" ht="28.8">
      <c r="B5350" s="162" t="s">
        <v>697</v>
      </c>
      <c r="C5350" s="162" t="s">
        <v>11749</v>
      </c>
      <c r="D5350" s="162" t="s">
        <v>11750</v>
      </c>
      <c r="F5350" s="162">
        <v>4734</v>
      </c>
      <c r="G5350" s="162">
        <v>1</v>
      </c>
    </row>
    <row r="5351" spans="2:7" ht="28.8">
      <c r="B5351" s="162" t="s">
        <v>697</v>
      </c>
      <c r="C5351" s="162" t="s">
        <v>11751</v>
      </c>
      <c r="D5351" s="162" t="s">
        <v>11752</v>
      </c>
      <c r="F5351" s="162">
        <v>5058</v>
      </c>
      <c r="G5351" s="162">
        <v>1</v>
      </c>
    </row>
    <row r="5352" spans="2:7" ht="28.8">
      <c r="B5352" s="162" t="s">
        <v>697</v>
      </c>
      <c r="C5352" s="162" t="s">
        <v>11753</v>
      </c>
      <c r="D5352" s="162" t="s">
        <v>11754</v>
      </c>
      <c r="F5352" s="162">
        <v>4422</v>
      </c>
      <c r="G5352" s="162">
        <v>1</v>
      </c>
    </row>
    <row r="5353" spans="2:7" ht="28.8">
      <c r="B5353" s="162" t="s">
        <v>697</v>
      </c>
      <c r="C5353" s="162" t="s">
        <v>11755</v>
      </c>
      <c r="D5353" s="162" t="s">
        <v>11756</v>
      </c>
      <c r="F5353" s="162">
        <v>4734</v>
      </c>
      <c r="G5353" s="162">
        <v>1</v>
      </c>
    </row>
    <row r="5354" spans="2:7" ht="28.8">
      <c r="B5354" s="162" t="s">
        <v>697</v>
      </c>
      <c r="C5354" s="162" t="s">
        <v>11757</v>
      </c>
      <c r="D5354" s="162" t="s">
        <v>11758</v>
      </c>
      <c r="F5354" s="162">
        <v>5300</v>
      </c>
      <c r="G5354" s="162">
        <v>1</v>
      </c>
    </row>
    <row r="5355" spans="2:7" ht="28.8">
      <c r="B5355" s="162" t="s">
        <v>697</v>
      </c>
      <c r="C5355" s="162" t="s">
        <v>11759</v>
      </c>
      <c r="D5355" s="162" t="s">
        <v>11760</v>
      </c>
      <c r="F5355" s="162">
        <v>5624</v>
      </c>
      <c r="G5355" s="162">
        <v>1</v>
      </c>
    </row>
    <row r="5356" spans="2:7" ht="28.8">
      <c r="B5356" s="162" t="s">
        <v>697</v>
      </c>
      <c r="C5356" s="162" t="s">
        <v>11761</v>
      </c>
      <c r="D5356" s="162" t="s">
        <v>11762</v>
      </c>
      <c r="F5356" s="162">
        <v>7572</v>
      </c>
      <c r="G5356" s="162">
        <v>1</v>
      </c>
    </row>
    <row r="5357" spans="2:7" ht="28.8">
      <c r="B5357" s="162" t="s">
        <v>697</v>
      </c>
      <c r="C5357" s="162" t="s">
        <v>11763</v>
      </c>
      <c r="D5357" s="162" t="s">
        <v>11764</v>
      </c>
      <c r="F5357" s="162">
        <v>8000</v>
      </c>
      <c r="G5357" s="162">
        <v>1</v>
      </c>
    </row>
    <row r="5358" spans="2:7" ht="28.8">
      <c r="B5358" s="162" t="s">
        <v>697</v>
      </c>
      <c r="C5358" s="162" t="s">
        <v>11765</v>
      </c>
      <c r="D5358" s="162" t="s">
        <v>11766</v>
      </c>
      <c r="F5358" s="162">
        <v>7252</v>
      </c>
      <c r="G5358" s="162">
        <v>1</v>
      </c>
    </row>
    <row r="5359" spans="2:7" ht="28.8">
      <c r="B5359" s="162" t="s">
        <v>697</v>
      </c>
      <c r="C5359" s="162" t="s">
        <v>11767</v>
      </c>
      <c r="D5359" s="162" t="s">
        <v>11768</v>
      </c>
      <c r="F5359" s="162">
        <v>7688</v>
      </c>
      <c r="G5359" s="162">
        <v>1</v>
      </c>
    </row>
    <row r="5360" spans="2:7" ht="28.8">
      <c r="B5360" s="162" t="s">
        <v>697</v>
      </c>
      <c r="C5360" s="162" t="s">
        <v>11769</v>
      </c>
      <c r="D5360" s="162" t="s">
        <v>11770</v>
      </c>
      <c r="F5360" s="162">
        <v>8140</v>
      </c>
      <c r="G5360" s="162">
        <v>1</v>
      </c>
    </row>
    <row r="5361" spans="2:7" ht="28.8">
      <c r="B5361" s="162" t="s">
        <v>697</v>
      </c>
      <c r="C5361" s="162" t="s">
        <v>11771</v>
      </c>
      <c r="D5361" s="162" t="s">
        <v>11772</v>
      </c>
      <c r="F5361" s="162">
        <v>8568</v>
      </c>
      <c r="G5361" s="162">
        <v>1</v>
      </c>
    </row>
    <row r="5362" spans="2:7" ht="43.2">
      <c r="B5362" s="162" t="s">
        <v>697</v>
      </c>
      <c r="C5362" s="162" t="s">
        <v>11773</v>
      </c>
      <c r="D5362" s="162" t="s">
        <v>11774</v>
      </c>
      <c r="F5362" s="162">
        <v>5398</v>
      </c>
      <c r="G5362" s="162">
        <v>1</v>
      </c>
    </row>
    <row r="5363" spans="2:7" ht="57.6">
      <c r="B5363" s="162" t="s">
        <v>697</v>
      </c>
      <c r="C5363" s="162" t="s">
        <v>11775</v>
      </c>
      <c r="D5363" s="162" t="s">
        <v>11776</v>
      </c>
      <c r="F5363" s="162">
        <v>5578</v>
      </c>
      <c r="G5363" s="162">
        <v>1</v>
      </c>
    </row>
    <row r="5364" spans="2:7" ht="43.2">
      <c r="B5364" s="162" t="s">
        <v>697</v>
      </c>
      <c r="C5364" s="162" t="s">
        <v>11777</v>
      </c>
      <c r="D5364" s="162" t="s">
        <v>11778</v>
      </c>
      <c r="F5364" s="162">
        <v>6116</v>
      </c>
      <c r="G5364" s="162">
        <v>1</v>
      </c>
    </row>
    <row r="5365" spans="2:7" ht="57.6">
      <c r="B5365" s="162" t="s">
        <v>697</v>
      </c>
      <c r="C5365" s="162" t="s">
        <v>11779</v>
      </c>
      <c r="D5365" s="162" t="s">
        <v>11780</v>
      </c>
      <c r="F5365" s="162">
        <v>6298</v>
      </c>
      <c r="G5365" s="162">
        <v>1</v>
      </c>
    </row>
    <row r="5366" spans="2:7" ht="43.2">
      <c r="B5366" s="162" t="s">
        <v>697</v>
      </c>
      <c r="C5366" s="162" t="s">
        <v>11781</v>
      </c>
      <c r="D5366" s="162" t="s">
        <v>11782</v>
      </c>
      <c r="F5366" s="162">
        <v>6438</v>
      </c>
      <c r="G5366" s="162">
        <v>1</v>
      </c>
    </row>
    <row r="5367" spans="2:7" ht="57.6">
      <c r="B5367" s="162" t="s">
        <v>697</v>
      </c>
      <c r="C5367" s="162" t="s">
        <v>11783</v>
      </c>
      <c r="D5367" s="162" t="s">
        <v>11784</v>
      </c>
      <c r="F5367" s="162">
        <v>6618</v>
      </c>
      <c r="G5367" s="162">
        <v>1</v>
      </c>
    </row>
    <row r="5368" spans="2:7" ht="43.2">
      <c r="B5368" s="162" t="s">
        <v>697</v>
      </c>
      <c r="C5368" s="162" t="s">
        <v>11785</v>
      </c>
      <c r="D5368" s="162" t="s">
        <v>11786</v>
      </c>
      <c r="F5368" s="162">
        <v>7158</v>
      </c>
      <c r="G5368" s="162">
        <v>1</v>
      </c>
    </row>
    <row r="5369" spans="2:7" ht="57.6">
      <c r="B5369" s="162" t="s">
        <v>697</v>
      </c>
      <c r="C5369" s="162" t="s">
        <v>11787</v>
      </c>
      <c r="D5369" s="162" t="s">
        <v>11788</v>
      </c>
      <c r="F5369" s="162">
        <v>7338</v>
      </c>
      <c r="G5369" s="162">
        <v>1</v>
      </c>
    </row>
    <row r="5370" spans="2:7" ht="28.8">
      <c r="B5370" s="162" t="s">
        <v>698</v>
      </c>
      <c r="C5370" s="162" t="s">
        <v>11789</v>
      </c>
      <c r="D5370" s="162" t="s">
        <v>11790</v>
      </c>
      <c r="F5370" s="162">
        <v>110</v>
      </c>
      <c r="G5370" s="162">
        <v>1</v>
      </c>
    </row>
    <row r="5371" spans="2:7" ht="28.8">
      <c r="B5371" s="162" t="s">
        <v>698</v>
      </c>
      <c r="C5371" s="162" t="s">
        <v>11791</v>
      </c>
      <c r="D5371" s="162" t="s">
        <v>11792</v>
      </c>
      <c r="F5371" s="162">
        <v>110</v>
      </c>
      <c r="G5371" s="162">
        <v>1</v>
      </c>
    </row>
    <row r="5372" spans="2:7" ht="28.8">
      <c r="B5372" s="162" t="s">
        <v>698</v>
      </c>
      <c r="C5372" s="162" t="s">
        <v>11793</v>
      </c>
      <c r="D5372" s="162" t="s">
        <v>11794</v>
      </c>
      <c r="F5372" s="162">
        <v>95</v>
      </c>
      <c r="G5372" s="162">
        <v>1</v>
      </c>
    </row>
    <row r="5373" spans="2:7" ht="28.8">
      <c r="B5373" s="162" t="s">
        <v>698</v>
      </c>
      <c r="C5373" s="162" t="s">
        <v>11795</v>
      </c>
      <c r="D5373" s="162" t="s">
        <v>11794</v>
      </c>
      <c r="F5373" s="162">
        <v>290</v>
      </c>
      <c r="G5373" s="162">
        <v>1</v>
      </c>
    </row>
    <row r="5374" spans="2:7" ht="28.8">
      <c r="B5374" s="162" t="s">
        <v>698</v>
      </c>
      <c r="C5374" s="162" t="s">
        <v>11796</v>
      </c>
      <c r="D5374" s="162" t="s">
        <v>11797</v>
      </c>
      <c r="F5374" s="162">
        <v>95</v>
      </c>
      <c r="G5374" s="162">
        <v>1</v>
      </c>
    </row>
    <row r="5375" spans="2:7" ht="28.8">
      <c r="B5375" s="162" t="s">
        <v>698</v>
      </c>
      <c r="C5375" s="162" t="s">
        <v>11798</v>
      </c>
      <c r="D5375" s="162" t="s">
        <v>11799</v>
      </c>
      <c r="F5375" s="162">
        <v>625</v>
      </c>
      <c r="G5375" s="162">
        <v>1</v>
      </c>
    </row>
    <row r="5376" spans="2:7" ht="28.8">
      <c r="B5376" s="162" t="s">
        <v>698</v>
      </c>
      <c r="C5376" s="162" t="s">
        <v>11800</v>
      </c>
      <c r="D5376" s="162" t="s">
        <v>11801</v>
      </c>
      <c r="F5376" s="162">
        <v>390</v>
      </c>
      <c r="G5376" s="162">
        <v>1</v>
      </c>
    </row>
    <row r="5377" spans="2:7" ht="28.8">
      <c r="B5377" s="162" t="s">
        <v>698</v>
      </c>
      <c r="C5377" s="162" t="s">
        <v>11802</v>
      </c>
      <c r="D5377" s="162" t="s">
        <v>11803</v>
      </c>
      <c r="F5377" s="162">
        <v>1660</v>
      </c>
      <c r="G5377" s="162">
        <v>1</v>
      </c>
    </row>
    <row r="5378" spans="2:7" ht="28.8">
      <c r="B5378" s="162" t="s">
        <v>698</v>
      </c>
      <c r="C5378" s="162" t="s">
        <v>11804</v>
      </c>
      <c r="D5378" s="162" t="s">
        <v>11805</v>
      </c>
      <c r="F5378" s="162">
        <v>1270</v>
      </c>
      <c r="G5378" s="162">
        <v>1</v>
      </c>
    </row>
    <row r="5379" spans="2:7" ht="28.8">
      <c r="B5379" s="162" t="s">
        <v>698</v>
      </c>
      <c r="C5379" s="162" t="s">
        <v>11806</v>
      </c>
      <c r="D5379" s="162" t="s">
        <v>11807</v>
      </c>
      <c r="F5379" s="162">
        <v>1535</v>
      </c>
      <c r="G5379" s="162">
        <v>1</v>
      </c>
    </row>
    <row r="5380" spans="2:7" ht="28.8">
      <c r="B5380" s="162" t="s">
        <v>698</v>
      </c>
      <c r="C5380" s="162" t="s">
        <v>11808</v>
      </c>
      <c r="D5380" s="162" t="s">
        <v>11809</v>
      </c>
      <c r="F5380" s="162">
        <v>1145</v>
      </c>
      <c r="G5380" s="162">
        <v>1</v>
      </c>
    </row>
    <row r="5381" spans="2:7" ht="28.8">
      <c r="B5381" s="162" t="s">
        <v>698</v>
      </c>
      <c r="C5381" s="162" t="s">
        <v>11810</v>
      </c>
      <c r="D5381" s="162" t="s">
        <v>11811</v>
      </c>
      <c r="F5381" s="162">
        <v>1295</v>
      </c>
      <c r="G5381" s="162">
        <v>1</v>
      </c>
    </row>
    <row r="5382" spans="2:7" ht="28.8">
      <c r="B5382" s="162" t="s">
        <v>698</v>
      </c>
      <c r="C5382" s="162" t="s">
        <v>11812</v>
      </c>
      <c r="D5382" s="162" t="s">
        <v>11813</v>
      </c>
      <c r="F5382" s="162">
        <v>905</v>
      </c>
      <c r="G5382" s="162">
        <v>1</v>
      </c>
    </row>
    <row r="5383" spans="2:7" ht="28.8">
      <c r="B5383" s="162" t="s">
        <v>698</v>
      </c>
      <c r="C5383" s="162" t="s">
        <v>11814</v>
      </c>
      <c r="D5383" s="162" t="s">
        <v>1762</v>
      </c>
      <c r="F5383" s="162">
        <v>500</v>
      </c>
      <c r="G5383" s="162">
        <v>1</v>
      </c>
    </row>
    <row r="5384" spans="2:7" ht="28.8">
      <c r="B5384" s="162" t="s">
        <v>698</v>
      </c>
      <c r="C5384" s="162" t="s">
        <v>11815</v>
      </c>
      <c r="D5384" s="162" t="s">
        <v>11816</v>
      </c>
      <c r="F5384" s="162">
        <v>390</v>
      </c>
      <c r="G5384" s="162">
        <v>1</v>
      </c>
    </row>
    <row r="5385" spans="2:7" ht="28.8">
      <c r="B5385" s="162" t="s">
        <v>698</v>
      </c>
      <c r="C5385" s="162" t="s">
        <v>11817</v>
      </c>
      <c r="D5385" s="162" t="s">
        <v>11818</v>
      </c>
      <c r="F5385" s="162">
        <v>1535</v>
      </c>
      <c r="G5385" s="162">
        <v>1</v>
      </c>
    </row>
    <row r="5386" spans="2:7" ht="28.8">
      <c r="B5386" s="162" t="s">
        <v>698</v>
      </c>
      <c r="C5386" s="162" t="s">
        <v>11819</v>
      </c>
      <c r="D5386" s="162" t="s">
        <v>11820</v>
      </c>
      <c r="F5386" s="162">
        <v>1145</v>
      </c>
      <c r="G5386" s="162">
        <v>1</v>
      </c>
    </row>
    <row r="5387" spans="2:7" ht="28.8">
      <c r="B5387" s="162" t="s">
        <v>698</v>
      </c>
      <c r="C5387" s="162" t="s">
        <v>11821</v>
      </c>
      <c r="D5387" s="162" t="s">
        <v>11822</v>
      </c>
      <c r="F5387" s="162">
        <v>1205</v>
      </c>
      <c r="G5387" s="162">
        <v>1</v>
      </c>
    </row>
    <row r="5388" spans="2:7" ht="28.8">
      <c r="B5388" s="162" t="s">
        <v>698</v>
      </c>
      <c r="C5388" s="162" t="s">
        <v>11823</v>
      </c>
      <c r="D5388" s="162" t="s">
        <v>11824</v>
      </c>
      <c r="F5388" s="162">
        <v>815</v>
      </c>
      <c r="G5388" s="162">
        <v>1</v>
      </c>
    </row>
    <row r="5389" spans="2:7" ht="28.8">
      <c r="B5389" s="162" t="s">
        <v>698</v>
      </c>
      <c r="C5389" s="162" t="s">
        <v>11825</v>
      </c>
      <c r="D5389" s="162" t="s">
        <v>11826</v>
      </c>
      <c r="F5389" s="162">
        <v>1295</v>
      </c>
      <c r="G5389" s="162">
        <v>1</v>
      </c>
    </row>
    <row r="5390" spans="2:7" ht="28.8">
      <c r="B5390" s="162" t="s">
        <v>698</v>
      </c>
      <c r="C5390" s="162" t="s">
        <v>11827</v>
      </c>
      <c r="D5390" s="162" t="s">
        <v>11828</v>
      </c>
      <c r="F5390" s="162">
        <v>905</v>
      </c>
      <c r="G5390" s="162">
        <v>1</v>
      </c>
    </row>
    <row r="5391" spans="2:7" ht="28.8">
      <c r="B5391" s="162" t="s">
        <v>698</v>
      </c>
      <c r="C5391" s="162" t="s">
        <v>11829</v>
      </c>
      <c r="D5391" s="162" t="s">
        <v>11830</v>
      </c>
      <c r="F5391" s="162">
        <v>645</v>
      </c>
      <c r="G5391" s="162">
        <v>1</v>
      </c>
    </row>
    <row r="5392" spans="2:7" ht="28.8">
      <c r="B5392" s="162" t="s">
        <v>698</v>
      </c>
      <c r="C5392" s="162" t="s">
        <v>11831</v>
      </c>
      <c r="D5392" s="162" t="s">
        <v>11832</v>
      </c>
      <c r="F5392" s="162">
        <v>110</v>
      </c>
      <c r="G5392" s="162">
        <v>1</v>
      </c>
    </row>
    <row r="5393" spans="2:7" ht="28.8">
      <c r="B5393" s="162" t="s">
        <v>698</v>
      </c>
      <c r="C5393" s="162" t="s">
        <v>11833</v>
      </c>
      <c r="D5393" s="162" t="s">
        <v>11834</v>
      </c>
      <c r="F5393" s="162">
        <v>110</v>
      </c>
      <c r="G5393" s="162">
        <v>1</v>
      </c>
    </row>
    <row r="5394" spans="2:7" ht="28.8">
      <c r="B5394" s="162" t="s">
        <v>698</v>
      </c>
      <c r="C5394" s="162" t="s">
        <v>11835</v>
      </c>
      <c r="D5394" s="162" t="s">
        <v>11836</v>
      </c>
      <c r="F5394" s="162">
        <v>140</v>
      </c>
      <c r="G5394" s="162">
        <v>1</v>
      </c>
    </row>
    <row r="5395" spans="2:7" ht="28.8">
      <c r="B5395" s="162" t="s">
        <v>698</v>
      </c>
      <c r="C5395" s="162" t="s">
        <v>11837</v>
      </c>
      <c r="D5395" s="162" t="s">
        <v>11836</v>
      </c>
      <c r="F5395" s="162">
        <v>455</v>
      </c>
      <c r="G5395" s="162">
        <v>1</v>
      </c>
    </row>
    <row r="5396" spans="2:7" ht="28.8">
      <c r="B5396" s="162" t="s">
        <v>698</v>
      </c>
      <c r="C5396" s="162" t="s">
        <v>11838</v>
      </c>
      <c r="D5396" s="162" t="s">
        <v>11839</v>
      </c>
      <c r="F5396" s="162">
        <v>750</v>
      </c>
      <c r="G5396" s="162">
        <v>1</v>
      </c>
    </row>
    <row r="5397" spans="2:7" ht="28.8">
      <c r="B5397" s="162" t="s">
        <v>698</v>
      </c>
      <c r="C5397" s="162" t="s">
        <v>11840</v>
      </c>
      <c r="D5397" s="162" t="s">
        <v>11841</v>
      </c>
      <c r="F5397" s="162">
        <v>485</v>
      </c>
      <c r="G5397" s="162">
        <v>1</v>
      </c>
    </row>
    <row r="5398" spans="2:7" ht="28.8">
      <c r="B5398" s="162" t="s">
        <v>698</v>
      </c>
      <c r="C5398" s="162" t="s">
        <v>11842</v>
      </c>
      <c r="D5398" s="162" t="s">
        <v>11843</v>
      </c>
      <c r="F5398" s="162">
        <v>265</v>
      </c>
      <c r="G5398" s="162">
        <v>1</v>
      </c>
    </row>
    <row r="5399" spans="2:7" ht="28.8">
      <c r="B5399" s="162" t="s">
        <v>698</v>
      </c>
      <c r="C5399" s="162" t="s">
        <v>11844</v>
      </c>
      <c r="D5399" s="162" t="s">
        <v>11845</v>
      </c>
      <c r="F5399" s="162">
        <v>145</v>
      </c>
      <c r="G5399" s="162">
        <v>1</v>
      </c>
    </row>
    <row r="5400" spans="2:7" ht="28.8">
      <c r="B5400" s="162" t="s">
        <v>698</v>
      </c>
      <c r="C5400" s="162" t="s">
        <v>11846</v>
      </c>
      <c r="D5400" s="162" t="s">
        <v>11847</v>
      </c>
      <c r="F5400" s="162">
        <v>365</v>
      </c>
      <c r="G5400" s="162">
        <v>1</v>
      </c>
    </row>
    <row r="5401" spans="2:7" ht="28.8">
      <c r="B5401" s="162" t="s">
        <v>698</v>
      </c>
      <c r="C5401" s="162" t="s">
        <v>11848</v>
      </c>
      <c r="D5401" s="162" t="s">
        <v>11849</v>
      </c>
      <c r="F5401" s="162">
        <v>1945</v>
      </c>
      <c r="G5401" s="162">
        <v>1</v>
      </c>
    </row>
    <row r="5402" spans="2:7" ht="28.8">
      <c r="B5402" s="162" t="s">
        <v>698</v>
      </c>
      <c r="C5402" s="162" t="s">
        <v>11850</v>
      </c>
      <c r="D5402" s="162" t="s">
        <v>11851</v>
      </c>
      <c r="F5402" s="162">
        <v>2115</v>
      </c>
      <c r="G5402" s="162">
        <v>1</v>
      </c>
    </row>
    <row r="5403" spans="2:7" ht="43.2">
      <c r="B5403" s="162" t="s">
        <v>698</v>
      </c>
      <c r="C5403" s="162" t="s">
        <v>11852</v>
      </c>
      <c r="D5403" s="162" t="s">
        <v>11853</v>
      </c>
      <c r="F5403" s="162">
        <v>1630</v>
      </c>
      <c r="G5403" s="162">
        <v>1</v>
      </c>
    </row>
    <row r="5404" spans="2:7" ht="28.8">
      <c r="B5404" s="162" t="s">
        <v>698</v>
      </c>
      <c r="C5404" s="162" t="s">
        <v>11854</v>
      </c>
      <c r="D5404" s="162" t="s">
        <v>11855</v>
      </c>
      <c r="F5404" s="162">
        <v>1460</v>
      </c>
      <c r="G5404" s="162">
        <v>1</v>
      </c>
    </row>
    <row r="5405" spans="2:7" ht="28.8">
      <c r="B5405" s="162" t="s">
        <v>698</v>
      </c>
      <c r="C5405" s="162" t="s">
        <v>11856</v>
      </c>
      <c r="D5405" s="162" t="s">
        <v>11857</v>
      </c>
      <c r="F5405" s="162">
        <v>1455</v>
      </c>
      <c r="G5405" s="162">
        <v>1</v>
      </c>
    </row>
    <row r="5406" spans="2:7" ht="28.8">
      <c r="B5406" s="162" t="s">
        <v>698</v>
      </c>
      <c r="C5406" s="162" t="s">
        <v>11858</v>
      </c>
      <c r="D5406" s="162" t="s">
        <v>11859</v>
      </c>
      <c r="F5406" s="162">
        <v>970</v>
      </c>
      <c r="G5406" s="162">
        <v>1</v>
      </c>
    </row>
    <row r="5407" spans="2:7" ht="28.8">
      <c r="B5407" s="162" t="s">
        <v>698</v>
      </c>
      <c r="C5407" s="162" t="s">
        <v>11860</v>
      </c>
      <c r="D5407" s="162" t="s">
        <v>11861</v>
      </c>
      <c r="F5407" s="162">
        <v>550</v>
      </c>
      <c r="G5407" s="162">
        <v>1</v>
      </c>
    </row>
    <row r="5408" spans="2:7" ht="28.8">
      <c r="B5408" s="162" t="s">
        <v>698</v>
      </c>
      <c r="C5408" s="162" t="s">
        <v>11862</v>
      </c>
      <c r="D5408" s="162" t="s">
        <v>11863</v>
      </c>
      <c r="F5408" s="162">
        <v>190</v>
      </c>
      <c r="G5408" s="162">
        <v>1</v>
      </c>
    </row>
    <row r="5409" spans="2:7" ht="28.8">
      <c r="B5409" s="162" t="s">
        <v>698</v>
      </c>
      <c r="C5409" s="162" t="s">
        <v>11864</v>
      </c>
      <c r="D5409" s="162" t="s">
        <v>11865</v>
      </c>
      <c r="F5409" s="162">
        <v>1770</v>
      </c>
      <c r="G5409" s="162">
        <v>1</v>
      </c>
    </row>
    <row r="5410" spans="2:7" ht="28.8">
      <c r="B5410" s="162" t="s">
        <v>698</v>
      </c>
      <c r="C5410" s="162" t="s">
        <v>11866</v>
      </c>
      <c r="D5410" s="162" t="s">
        <v>11867</v>
      </c>
      <c r="F5410" s="162">
        <v>1220</v>
      </c>
      <c r="G5410" s="162">
        <v>1</v>
      </c>
    </row>
    <row r="5411" spans="2:7" ht="28.8">
      <c r="B5411" s="162" t="s">
        <v>698</v>
      </c>
      <c r="C5411" s="162" t="s">
        <v>11868</v>
      </c>
      <c r="D5411" s="162" t="s">
        <v>11869</v>
      </c>
      <c r="F5411" s="162">
        <v>1465</v>
      </c>
      <c r="G5411" s="162">
        <v>1</v>
      </c>
    </row>
    <row r="5412" spans="2:7" ht="28.8">
      <c r="B5412" s="162" t="s">
        <v>698</v>
      </c>
      <c r="C5412" s="162" t="s">
        <v>11870</v>
      </c>
      <c r="D5412" s="162" t="s">
        <v>11871</v>
      </c>
      <c r="F5412" s="162">
        <v>915</v>
      </c>
      <c r="G5412" s="162">
        <v>1</v>
      </c>
    </row>
    <row r="5413" spans="2:7" ht="28.8">
      <c r="B5413" s="162" t="s">
        <v>698</v>
      </c>
      <c r="C5413" s="162" t="s">
        <v>1763</v>
      </c>
      <c r="D5413" s="162" t="s">
        <v>1764</v>
      </c>
      <c r="F5413" s="162">
        <v>95</v>
      </c>
      <c r="G5413" s="162">
        <v>1</v>
      </c>
    </row>
    <row r="5414" spans="2:7" ht="28.8">
      <c r="B5414" s="162" t="s">
        <v>698</v>
      </c>
      <c r="C5414" s="162" t="s">
        <v>11872</v>
      </c>
      <c r="D5414" s="162" t="s">
        <v>11873</v>
      </c>
      <c r="F5414" s="162">
        <v>95</v>
      </c>
      <c r="G5414" s="162">
        <v>1</v>
      </c>
    </row>
    <row r="5415" spans="2:7" ht="28.8">
      <c r="B5415" s="162" t="s">
        <v>698</v>
      </c>
      <c r="C5415" s="162" t="s">
        <v>11874</v>
      </c>
      <c r="D5415" s="162" t="s">
        <v>11875</v>
      </c>
      <c r="F5415" s="162">
        <v>510</v>
      </c>
      <c r="G5415" s="162">
        <v>1</v>
      </c>
    </row>
    <row r="5416" spans="2:7" ht="28.8">
      <c r="B5416" s="162" t="s">
        <v>698</v>
      </c>
      <c r="C5416" s="162" t="s">
        <v>11876</v>
      </c>
      <c r="D5416" s="162" t="s">
        <v>11877</v>
      </c>
      <c r="F5416" s="162">
        <v>1955</v>
      </c>
      <c r="G5416" s="162">
        <v>1</v>
      </c>
    </row>
    <row r="5417" spans="2:7" ht="43.2">
      <c r="B5417" s="162" t="s">
        <v>698</v>
      </c>
      <c r="C5417" s="162" t="s">
        <v>11878</v>
      </c>
      <c r="D5417" s="162" t="s">
        <v>11879</v>
      </c>
      <c r="F5417" s="162">
        <v>1445</v>
      </c>
      <c r="G5417" s="162">
        <v>1</v>
      </c>
    </row>
    <row r="5418" spans="2:7" ht="28.8">
      <c r="B5418" s="162" t="s">
        <v>698</v>
      </c>
      <c r="C5418" s="162" t="s">
        <v>11880</v>
      </c>
      <c r="D5418" s="162" t="s">
        <v>11881</v>
      </c>
      <c r="F5418" s="162">
        <v>1785</v>
      </c>
      <c r="G5418" s="162">
        <v>1</v>
      </c>
    </row>
    <row r="5419" spans="2:7" ht="28.8">
      <c r="B5419" s="162" t="s">
        <v>698</v>
      </c>
      <c r="C5419" s="162" t="s">
        <v>11882</v>
      </c>
      <c r="D5419" s="162" t="s">
        <v>11883</v>
      </c>
      <c r="F5419" s="162">
        <v>1275</v>
      </c>
      <c r="G5419" s="162">
        <v>1</v>
      </c>
    </row>
    <row r="5420" spans="2:7" ht="28.8">
      <c r="B5420" s="162" t="s">
        <v>698</v>
      </c>
      <c r="C5420" s="162" t="s">
        <v>11884</v>
      </c>
      <c r="D5420" s="162" t="s">
        <v>11885</v>
      </c>
      <c r="F5420" s="162">
        <v>1540</v>
      </c>
      <c r="G5420" s="162">
        <v>1</v>
      </c>
    </row>
    <row r="5421" spans="2:7" ht="28.8">
      <c r="B5421" s="162" t="s">
        <v>698</v>
      </c>
      <c r="C5421" s="162" t="s">
        <v>11886</v>
      </c>
      <c r="D5421" s="162" t="s">
        <v>11887</v>
      </c>
      <c r="F5421" s="162">
        <v>1030</v>
      </c>
      <c r="G5421" s="162">
        <v>1</v>
      </c>
    </row>
    <row r="5422" spans="2:7" ht="28.8">
      <c r="B5422" s="162" t="s">
        <v>698</v>
      </c>
      <c r="C5422" s="162" t="s">
        <v>11888</v>
      </c>
      <c r="D5422" s="162" t="s">
        <v>11889</v>
      </c>
      <c r="F5422" s="162">
        <v>1480</v>
      </c>
      <c r="G5422" s="162">
        <v>1</v>
      </c>
    </row>
    <row r="5423" spans="2:7" ht="28.8">
      <c r="B5423" s="162" t="s">
        <v>698</v>
      </c>
      <c r="C5423" s="162" t="s">
        <v>11890</v>
      </c>
      <c r="D5423" s="162" t="s">
        <v>11891</v>
      </c>
      <c r="F5423" s="162">
        <v>970</v>
      </c>
      <c r="G5423" s="162">
        <v>1</v>
      </c>
    </row>
    <row r="5424" spans="2:7" ht="28.8">
      <c r="B5424" s="162" t="s">
        <v>698</v>
      </c>
      <c r="C5424" s="162" t="s">
        <v>11892</v>
      </c>
      <c r="D5424" s="162" t="s">
        <v>11893</v>
      </c>
      <c r="F5424" s="162">
        <v>655</v>
      </c>
      <c r="G5424" s="162">
        <v>1</v>
      </c>
    </row>
    <row r="5425" spans="2:7" ht="28.8">
      <c r="B5425" s="162" t="s">
        <v>698</v>
      </c>
      <c r="C5425" s="162" t="s">
        <v>11894</v>
      </c>
      <c r="D5425" s="162" t="s">
        <v>11895</v>
      </c>
      <c r="F5425" s="162">
        <v>710</v>
      </c>
      <c r="G5425" s="162">
        <v>1</v>
      </c>
    </row>
    <row r="5426" spans="2:7" ht="28.8">
      <c r="B5426" s="162" t="s">
        <v>698</v>
      </c>
      <c r="C5426" s="162" t="s">
        <v>11896</v>
      </c>
      <c r="D5426" s="162" t="s">
        <v>11897</v>
      </c>
      <c r="F5426" s="162">
        <v>785</v>
      </c>
      <c r="G5426" s="162">
        <v>1</v>
      </c>
    </row>
    <row r="5427" spans="2:7" ht="28.8">
      <c r="B5427" s="162" t="s">
        <v>698</v>
      </c>
      <c r="C5427" s="162" t="s">
        <v>11898</v>
      </c>
      <c r="D5427" s="162" t="s">
        <v>11899</v>
      </c>
      <c r="F5427" s="162">
        <v>1790</v>
      </c>
      <c r="G5427" s="162">
        <v>1</v>
      </c>
    </row>
    <row r="5428" spans="2:7" ht="28.8">
      <c r="B5428" s="162" t="s">
        <v>698</v>
      </c>
      <c r="C5428" s="162" t="s">
        <v>11900</v>
      </c>
      <c r="D5428" s="162" t="s">
        <v>11901</v>
      </c>
      <c r="F5428" s="162">
        <v>2600</v>
      </c>
      <c r="G5428" s="162">
        <v>1</v>
      </c>
    </row>
    <row r="5429" spans="2:7" ht="28.8">
      <c r="B5429" s="162" t="s">
        <v>698</v>
      </c>
      <c r="C5429" s="162" t="s">
        <v>11902</v>
      </c>
      <c r="D5429" s="162" t="s">
        <v>11903</v>
      </c>
      <c r="F5429" s="162">
        <v>5100</v>
      </c>
      <c r="G5429" s="162">
        <v>1</v>
      </c>
    </row>
    <row r="5430" spans="2:7" ht="28.8">
      <c r="B5430" s="162" t="s">
        <v>698</v>
      </c>
      <c r="C5430" s="162" t="s">
        <v>11904</v>
      </c>
      <c r="D5430" s="162" t="s">
        <v>11905</v>
      </c>
      <c r="F5430" s="162">
        <v>1100</v>
      </c>
      <c r="G5430" s="162">
        <v>1</v>
      </c>
    </row>
    <row r="5431" spans="2:7" ht="28.8">
      <c r="B5431" s="162" t="s">
        <v>698</v>
      </c>
      <c r="C5431" s="162" t="s">
        <v>11906</v>
      </c>
      <c r="D5431" s="162" t="s">
        <v>11907</v>
      </c>
      <c r="F5431" s="162">
        <v>185</v>
      </c>
      <c r="G5431" s="162">
        <v>1</v>
      </c>
    </row>
    <row r="5432" spans="2:7" ht="28.8">
      <c r="B5432" s="162" t="s">
        <v>698</v>
      </c>
      <c r="C5432" s="162" t="s">
        <v>11908</v>
      </c>
      <c r="D5432" s="162" t="s">
        <v>11909</v>
      </c>
      <c r="F5432" s="162">
        <v>1125</v>
      </c>
      <c r="G5432" s="162">
        <v>1</v>
      </c>
    </row>
    <row r="5433" spans="2:7" ht="43.2">
      <c r="B5433" s="162" t="s">
        <v>698</v>
      </c>
      <c r="C5433" s="162" t="s">
        <v>11910</v>
      </c>
      <c r="D5433" s="162" t="s">
        <v>11911</v>
      </c>
      <c r="F5433" s="162">
        <v>3700</v>
      </c>
      <c r="G5433" s="162">
        <v>1</v>
      </c>
    </row>
    <row r="5434" spans="2:7" ht="43.2">
      <c r="B5434" s="162" t="s">
        <v>698</v>
      </c>
      <c r="C5434" s="162" t="s">
        <v>11912</v>
      </c>
      <c r="D5434" s="162" t="s">
        <v>11913</v>
      </c>
      <c r="F5434" s="162">
        <v>2915</v>
      </c>
      <c r="G5434" s="162">
        <v>1</v>
      </c>
    </row>
    <row r="5435" spans="2:7" ht="43.2">
      <c r="B5435" s="162" t="s">
        <v>698</v>
      </c>
      <c r="C5435" s="162" t="s">
        <v>11914</v>
      </c>
      <c r="D5435" s="162" t="s">
        <v>11915</v>
      </c>
      <c r="F5435" s="162">
        <v>4510</v>
      </c>
      <c r="G5435" s="162">
        <v>1</v>
      </c>
    </row>
    <row r="5436" spans="2:7" ht="43.2">
      <c r="B5436" s="162" t="s">
        <v>698</v>
      </c>
      <c r="C5436" s="162" t="s">
        <v>11916</v>
      </c>
      <c r="D5436" s="162" t="s">
        <v>11917</v>
      </c>
      <c r="F5436" s="162">
        <v>3725</v>
      </c>
      <c r="G5436" s="162">
        <v>1</v>
      </c>
    </row>
    <row r="5437" spans="2:7" ht="28.8">
      <c r="B5437" s="162" t="s">
        <v>698</v>
      </c>
      <c r="C5437" s="162" t="s">
        <v>11918</v>
      </c>
      <c r="D5437" s="162" t="s">
        <v>11919</v>
      </c>
      <c r="F5437" s="162">
        <v>7010</v>
      </c>
      <c r="G5437" s="162">
        <v>1</v>
      </c>
    </row>
    <row r="5438" spans="2:7" ht="43.2">
      <c r="B5438" s="162" t="s">
        <v>698</v>
      </c>
      <c r="C5438" s="162" t="s">
        <v>11920</v>
      </c>
      <c r="D5438" s="162" t="s">
        <v>11921</v>
      </c>
      <c r="F5438" s="162">
        <v>6225</v>
      </c>
      <c r="G5438" s="162">
        <v>1</v>
      </c>
    </row>
    <row r="5439" spans="2:7" ht="28.8">
      <c r="B5439" s="162" t="s">
        <v>698</v>
      </c>
      <c r="C5439" s="162" t="s">
        <v>11922</v>
      </c>
      <c r="D5439" s="162" t="s">
        <v>11923</v>
      </c>
      <c r="F5439" s="162">
        <v>3010</v>
      </c>
      <c r="G5439" s="162">
        <v>1</v>
      </c>
    </row>
    <row r="5440" spans="2:7" ht="43.2">
      <c r="B5440" s="162" t="s">
        <v>698</v>
      </c>
      <c r="C5440" s="162" t="s">
        <v>11924</v>
      </c>
      <c r="D5440" s="162" t="s">
        <v>11925</v>
      </c>
      <c r="F5440" s="162">
        <v>2225</v>
      </c>
      <c r="G5440" s="162">
        <v>1</v>
      </c>
    </row>
    <row r="5441" spans="2:7" ht="28.8">
      <c r="B5441" s="162" t="s">
        <v>698</v>
      </c>
      <c r="C5441" s="162" t="s">
        <v>11926</v>
      </c>
      <c r="D5441" s="162" t="s">
        <v>11927</v>
      </c>
      <c r="F5441" s="162">
        <v>110</v>
      </c>
      <c r="G5441" s="162">
        <v>1</v>
      </c>
    </row>
    <row r="5442" spans="2:7" ht="28.8">
      <c r="B5442" s="162" t="s">
        <v>698</v>
      </c>
      <c r="C5442" s="162" t="s">
        <v>11928</v>
      </c>
      <c r="D5442" s="162" t="s">
        <v>11929</v>
      </c>
      <c r="F5442" s="162">
        <v>110</v>
      </c>
      <c r="G5442" s="162">
        <v>1</v>
      </c>
    </row>
    <row r="5443" spans="2:7" ht="28.8">
      <c r="B5443" s="162" t="s">
        <v>698</v>
      </c>
      <c r="C5443" s="162" t="s">
        <v>11930</v>
      </c>
      <c r="D5443" s="162" t="s">
        <v>11931</v>
      </c>
      <c r="F5443" s="162">
        <v>185</v>
      </c>
      <c r="G5443" s="162">
        <v>1</v>
      </c>
    </row>
    <row r="5444" spans="2:7" ht="28.8">
      <c r="B5444" s="162" t="s">
        <v>698</v>
      </c>
      <c r="C5444" s="162" t="s">
        <v>11932</v>
      </c>
      <c r="D5444" s="162" t="s">
        <v>11933</v>
      </c>
      <c r="F5444" s="162">
        <v>610</v>
      </c>
      <c r="G5444" s="162">
        <v>1</v>
      </c>
    </row>
    <row r="5445" spans="2:7" ht="28.8">
      <c r="B5445" s="162" t="s">
        <v>698</v>
      </c>
      <c r="C5445" s="162" t="s">
        <v>11934</v>
      </c>
      <c r="D5445" s="162" t="s">
        <v>11935</v>
      </c>
      <c r="F5445" s="162">
        <v>750</v>
      </c>
      <c r="G5445" s="162">
        <v>1</v>
      </c>
    </row>
    <row r="5446" spans="2:7" ht="28.8">
      <c r="B5446" s="162" t="s">
        <v>698</v>
      </c>
      <c r="C5446" s="162" t="s">
        <v>11936</v>
      </c>
      <c r="D5446" s="162" t="s">
        <v>11937</v>
      </c>
      <c r="F5446" s="162">
        <v>920</v>
      </c>
      <c r="G5446" s="162">
        <v>1</v>
      </c>
    </row>
    <row r="5447" spans="2:7" ht="28.8">
      <c r="B5447" s="162" t="s">
        <v>698</v>
      </c>
      <c r="C5447" s="162" t="s">
        <v>11938</v>
      </c>
      <c r="D5447" s="162" t="s">
        <v>11939</v>
      </c>
      <c r="F5447" s="162">
        <v>680</v>
      </c>
      <c r="G5447" s="162">
        <v>1</v>
      </c>
    </row>
    <row r="5448" spans="2:7" ht="28.8">
      <c r="B5448" s="162" t="s">
        <v>698</v>
      </c>
      <c r="C5448" s="162" t="s">
        <v>11940</v>
      </c>
      <c r="D5448" s="162" t="s">
        <v>11941</v>
      </c>
      <c r="F5448" s="162">
        <v>230</v>
      </c>
      <c r="G5448" s="162">
        <v>1</v>
      </c>
    </row>
    <row r="5449" spans="2:7" ht="28.8">
      <c r="B5449" s="162" t="s">
        <v>698</v>
      </c>
      <c r="C5449" s="162" t="s">
        <v>11942</v>
      </c>
      <c r="D5449" s="162" t="s">
        <v>11943</v>
      </c>
      <c r="F5449" s="162">
        <v>120</v>
      </c>
      <c r="G5449" s="162">
        <v>1</v>
      </c>
    </row>
    <row r="5450" spans="2:7" ht="28.8">
      <c r="B5450" s="162" t="s">
        <v>698</v>
      </c>
      <c r="C5450" s="162" t="s">
        <v>11944</v>
      </c>
      <c r="D5450" s="162" t="s">
        <v>11943</v>
      </c>
      <c r="F5450" s="162">
        <v>365</v>
      </c>
      <c r="G5450" s="162">
        <v>1</v>
      </c>
    </row>
    <row r="5451" spans="2:7" ht="28.8">
      <c r="B5451" s="162" t="s">
        <v>698</v>
      </c>
      <c r="C5451" s="162" t="s">
        <v>11945</v>
      </c>
      <c r="D5451" s="162" t="s">
        <v>11946</v>
      </c>
      <c r="F5451" s="162">
        <v>2165</v>
      </c>
      <c r="G5451" s="162">
        <v>1</v>
      </c>
    </row>
    <row r="5452" spans="2:7" ht="28.8">
      <c r="B5452" s="162" t="s">
        <v>698</v>
      </c>
      <c r="C5452" s="162" t="s">
        <v>11947</v>
      </c>
      <c r="D5452" s="162" t="s">
        <v>11948</v>
      </c>
      <c r="F5452" s="162">
        <v>2335</v>
      </c>
      <c r="G5452" s="162">
        <v>1</v>
      </c>
    </row>
    <row r="5453" spans="2:7" ht="43.2">
      <c r="B5453" s="162" t="s">
        <v>698</v>
      </c>
      <c r="C5453" s="162" t="s">
        <v>11949</v>
      </c>
      <c r="D5453" s="162" t="s">
        <v>11950</v>
      </c>
      <c r="F5453" s="162">
        <v>1655</v>
      </c>
      <c r="G5453" s="162">
        <v>1</v>
      </c>
    </row>
    <row r="5454" spans="2:7" ht="28.8">
      <c r="B5454" s="162" t="s">
        <v>698</v>
      </c>
      <c r="C5454" s="162" t="s">
        <v>11951</v>
      </c>
      <c r="D5454" s="162" t="s">
        <v>11952</v>
      </c>
      <c r="F5454" s="162">
        <v>2275</v>
      </c>
      <c r="G5454" s="162">
        <v>1</v>
      </c>
    </row>
    <row r="5455" spans="2:7" ht="43.2">
      <c r="B5455" s="162" t="s">
        <v>698</v>
      </c>
      <c r="C5455" s="162" t="s">
        <v>11953</v>
      </c>
      <c r="D5455" s="162" t="s">
        <v>11954</v>
      </c>
      <c r="F5455" s="162">
        <v>1595</v>
      </c>
      <c r="G5455" s="162">
        <v>1</v>
      </c>
    </row>
    <row r="5456" spans="2:7" ht="28.8">
      <c r="B5456" s="162" t="s">
        <v>698</v>
      </c>
      <c r="C5456" s="162" t="s">
        <v>11955</v>
      </c>
      <c r="D5456" s="162" t="s">
        <v>11956</v>
      </c>
      <c r="F5456" s="162">
        <v>1485</v>
      </c>
      <c r="G5456" s="162">
        <v>1</v>
      </c>
    </row>
    <row r="5457" spans="2:7" ht="28.8">
      <c r="B5457" s="162" t="s">
        <v>698</v>
      </c>
      <c r="C5457" s="162" t="s">
        <v>11957</v>
      </c>
      <c r="D5457" s="162" t="s">
        <v>11958</v>
      </c>
      <c r="F5457" s="162">
        <v>1980</v>
      </c>
      <c r="G5457" s="162">
        <v>1</v>
      </c>
    </row>
    <row r="5458" spans="2:7" ht="28.8">
      <c r="B5458" s="162" t="s">
        <v>698</v>
      </c>
      <c r="C5458" s="162" t="s">
        <v>11959</v>
      </c>
      <c r="D5458" s="162" t="s">
        <v>11960</v>
      </c>
      <c r="F5458" s="162">
        <v>1300</v>
      </c>
      <c r="G5458" s="162">
        <v>1</v>
      </c>
    </row>
    <row r="5459" spans="2:7" ht="28.8">
      <c r="B5459" s="162" t="s">
        <v>698</v>
      </c>
      <c r="C5459" s="162" t="s">
        <v>11961</v>
      </c>
      <c r="D5459" s="162" t="s">
        <v>11962</v>
      </c>
      <c r="F5459" s="162">
        <v>1675</v>
      </c>
      <c r="G5459" s="162">
        <v>1</v>
      </c>
    </row>
    <row r="5460" spans="2:7" ht="28.8">
      <c r="B5460" s="162" t="s">
        <v>698</v>
      </c>
      <c r="C5460" s="162" t="s">
        <v>11963</v>
      </c>
      <c r="D5460" s="162" t="s">
        <v>11964</v>
      </c>
      <c r="F5460" s="162">
        <v>995</v>
      </c>
      <c r="G5460" s="162">
        <v>1</v>
      </c>
    </row>
    <row r="5461" spans="2:7" ht="28.8">
      <c r="B5461" s="162" t="s">
        <v>698</v>
      </c>
      <c r="C5461" s="162" t="s">
        <v>11965</v>
      </c>
      <c r="D5461" s="162" t="s">
        <v>11966</v>
      </c>
      <c r="F5461" s="162">
        <v>735</v>
      </c>
      <c r="G5461" s="162">
        <v>1</v>
      </c>
    </row>
    <row r="5462" spans="2:7" ht="28.8">
      <c r="B5462" s="162" t="s">
        <v>698</v>
      </c>
      <c r="C5462" s="162" t="s">
        <v>1765</v>
      </c>
      <c r="D5462" s="162" t="s">
        <v>1766</v>
      </c>
      <c r="F5462" s="162">
        <v>140</v>
      </c>
      <c r="G5462" s="162">
        <v>1</v>
      </c>
    </row>
    <row r="5463" spans="2:7" ht="28.8">
      <c r="B5463" s="162" t="s">
        <v>698</v>
      </c>
      <c r="C5463" s="162" t="s">
        <v>11967</v>
      </c>
      <c r="D5463" s="162" t="s">
        <v>11968</v>
      </c>
      <c r="F5463" s="162">
        <v>350</v>
      </c>
      <c r="G5463" s="162">
        <v>1</v>
      </c>
    </row>
    <row r="5464" spans="2:7" ht="28.8">
      <c r="B5464" s="162" t="s">
        <v>698</v>
      </c>
      <c r="C5464" s="162" t="s">
        <v>1767</v>
      </c>
      <c r="D5464" s="162" t="s">
        <v>1768</v>
      </c>
      <c r="F5464" s="162">
        <v>55</v>
      </c>
      <c r="G5464" s="162">
        <v>1</v>
      </c>
    </row>
    <row r="5465" spans="2:7" ht="28.8">
      <c r="B5465" s="162" t="s">
        <v>698</v>
      </c>
      <c r="C5465" s="162" t="s">
        <v>11969</v>
      </c>
      <c r="D5465" s="162" t="s">
        <v>11970</v>
      </c>
      <c r="F5465" s="162">
        <v>110</v>
      </c>
      <c r="G5465" s="162">
        <v>1</v>
      </c>
    </row>
    <row r="5466" spans="2:7" ht="28.8">
      <c r="B5466" s="162" t="s">
        <v>698</v>
      </c>
      <c r="C5466" s="162" t="s">
        <v>11971</v>
      </c>
      <c r="D5466" s="162" t="s">
        <v>11972</v>
      </c>
      <c r="F5466" s="162">
        <v>65</v>
      </c>
      <c r="G5466" s="162">
        <v>1</v>
      </c>
    </row>
    <row r="5467" spans="2:7" ht="28.8">
      <c r="B5467" s="162" t="s">
        <v>698</v>
      </c>
      <c r="C5467" s="162" t="s">
        <v>11973</v>
      </c>
      <c r="D5467" s="162" t="s">
        <v>11974</v>
      </c>
      <c r="F5467" s="162">
        <v>1320</v>
      </c>
      <c r="G5467" s="162">
        <v>1</v>
      </c>
    </row>
    <row r="5468" spans="2:7" ht="28.8">
      <c r="B5468" s="162" t="s">
        <v>698</v>
      </c>
      <c r="C5468" s="162" t="s">
        <v>11975</v>
      </c>
      <c r="D5468" s="162" t="s">
        <v>11976</v>
      </c>
      <c r="F5468" s="162">
        <v>185</v>
      </c>
      <c r="G5468" s="162">
        <v>1</v>
      </c>
    </row>
    <row r="5469" spans="2:7" ht="28.8">
      <c r="B5469" s="162" t="s">
        <v>698</v>
      </c>
      <c r="C5469" s="162" t="s">
        <v>1769</v>
      </c>
      <c r="D5469" s="162" t="s">
        <v>1770</v>
      </c>
      <c r="F5469" s="162">
        <v>105</v>
      </c>
      <c r="G5469" s="162">
        <v>1</v>
      </c>
    </row>
    <row r="5470" spans="2:7" ht="28.8">
      <c r="B5470" s="162" t="s">
        <v>698</v>
      </c>
      <c r="C5470" s="162" t="s">
        <v>11977</v>
      </c>
      <c r="D5470" s="162" t="s">
        <v>11978</v>
      </c>
      <c r="F5470" s="162">
        <v>150</v>
      </c>
      <c r="G5470" s="162">
        <v>1</v>
      </c>
    </row>
    <row r="5471" spans="2:7" ht="28.8">
      <c r="B5471" s="162" t="s">
        <v>698</v>
      </c>
      <c r="C5471" s="162" t="s">
        <v>11979</v>
      </c>
      <c r="D5471" s="162" t="s">
        <v>1771</v>
      </c>
      <c r="F5471" s="162">
        <v>880</v>
      </c>
      <c r="G5471" s="162">
        <v>1</v>
      </c>
    </row>
    <row r="5472" spans="2:7" ht="28.8">
      <c r="B5472" s="162" t="s">
        <v>698</v>
      </c>
      <c r="C5472" s="162" t="s">
        <v>11980</v>
      </c>
      <c r="D5472" s="162" t="s">
        <v>1772</v>
      </c>
      <c r="F5472" s="162">
        <v>1550</v>
      </c>
      <c r="G5472" s="162">
        <v>1</v>
      </c>
    </row>
    <row r="5473" spans="2:7" ht="28.8">
      <c r="B5473" s="162" t="s">
        <v>698</v>
      </c>
      <c r="C5473" s="162" t="s">
        <v>11981</v>
      </c>
      <c r="D5473" s="162" t="s">
        <v>11982</v>
      </c>
      <c r="F5473" s="162">
        <v>155</v>
      </c>
      <c r="G5473" s="162">
        <v>1</v>
      </c>
    </row>
    <row r="5474" spans="2:7" ht="28.8">
      <c r="B5474" s="162" t="s">
        <v>698</v>
      </c>
      <c r="C5474" s="162" t="s">
        <v>11983</v>
      </c>
      <c r="D5474" s="162" t="s">
        <v>1773</v>
      </c>
      <c r="F5474" s="162">
        <v>75</v>
      </c>
      <c r="G5474" s="162">
        <v>1</v>
      </c>
    </row>
    <row r="5475" spans="2:7" ht="28.8">
      <c r="B5475" s="162" t="s">
        <v>698</v>
      </c>
      <c r="C5475" s="162" t="s">
        <v>11984</v>
      </c>
      <c r="D5475" s="162" t="s">
        <v>11985</v>
      </c>
      <c r="F5475" s="162">
        <v>980</v>
      </c>
      <c r="G5475" s="162">
        <v>1</v>
      </c>
    </row>
    <row r="5476" spans="2:7" ht="28.8">
      <c r="B5476" s="162" t="s">
        <v>698</v>
      </c>
      <c r="C5476" s="162" t="s">
        <v>11986</v>
      </c>
      <c r="D5476" s="162" t="s">
        <v>11987</v>
      </c>
      <c r="F5476" s="162">
        <v>980</v>
      </c>
      <c r="G5476" s="162">
        <v>1</v>
      </c>
    </row>
    <row r="5477" spans="2:7" ht="28.8">
      <c r="B5477" s="162" t="s">
        <v>698</v>
      </c>
      <c r="C5477" s="162" t="s">
        <v>11988</v>
      </c>
      <c r="D5477" s="162" t="s">
        <v>11989</v>
      </c>
      <c r="F5477" s="162">
        <v>540</v>
      </c>
      <c r="G5477" s="162">
        <v>1</v>
      </c>
    </row>
    <row r="5478" spans="2:7" ht="72">
      <c r="B5478" s="162" t="s">
        <v>698</v>
      </c>
      <c r="C5478" s="162" t="s">
        <v>11990</v>
      </c>
      <c r="D5478" s="162" t="s">
        <v>1774</v>
      </c>
      <c r="F5478" s="162" t="s">
        <v>11991</v>
      </c>
      <c r="G5478" s="162">
        <v>1</v>
      </c>
    </row>
    <row r="5479" spans="2:7" ht="28.8">
      <c r="B5479" s="162" t="s">
        <v>698</v>
      </c>
      <c r="C5479" s="162" t="s">
        <v>11992</v>
      </c>
      <c r="D5479" s="162" t="s">
        <v>11993</v>
      </c>
      <c r="F5479" s="162">
        <v>540</v>
      </c>
      <c r="G5479" s="162">
        <v>1</v>
      </c>
    </row>
    <row r="5480" spans="2:7" ht="72">
      <c r="B5480" s="162" t="s">
        <v>698</v>
      </c>
      <c r="C5480" s="162" t="s">
        <v>11994</v>
      </c>
      <c r="D5480" s="162" t="s">
        <v>11995</v>
      </c>
      <c r="F5480" s="162" t="s">
        <v>11991</v>
      </c>
      <c r="G5480" s="162">
        <v>1</v>
      </c>
    </row>
    <row r="5481" spans="2:7" ht="28.8">
      <c r="B5481" s="162" t="s">
        <v>698</v>
      </c>
      <c r="C5481" s="162" t="s">
        <v>11996</v>
      </c>
      <c r="D5481" s="162" t="s">
        <v>11997</v>
      </c>
      <c r="F5481" s="162">
        <v>260</v>
      </c>
      <c r="G5481" s="162">
        <v>1</v>
      </c>
    </row>
    <row r="5482" spans="2:7" ht="28.8">
      <c r="B5482" s="162" t="s">
        <v>698</v>
      </c>
      <c r="C5482" s="162" t="s">
        <v>11998</v>
      </c>
      <c r="D5482" s="162" t="s">
        <v>11999</v>
      </c>
      <c r="F5482" s="162">
        <v>455</v>
      </c>
      <c r="G5482" s="162">
        <v>1</v>
      </c>
    </row>
    <row r="5483" spans="2:7" ht="28.8">
      <c r="B5483" s="162" t="s">
        <v>698</v>
      </c>
      <c r="C5483" s="162" t="s">
        <v>12000</v>
      </c>
      <c r="D5483" s="162" t="s">
        <v>1775</v>
      </c>
      <c r="F5483" s="162">
        <v>260</v>
      </c>
      <c r="G5483" s="162">
        <v>1</v>
      </c>
    </row>
    <row r="5484" spans="2:7" ht="28.8">
      <c r="B5484" s="162" t="s">
        <v>698</v>
      </c>
      <c r="C5484" s="162" t="s">
        <v>1776</v>
      </c>
      <c r="D5484" s="162" t="s">
        <v>1777</v>
      </c>
      <c r="F5484" s="162">
        <v>140</v>
      </c>
      <c r="G5484" s="162">
        <v>1</v>
      </c>
    </row>
    <row r="5485" spans="2:7" ht="28.8">
      <c r="B5485" s="162" t="s">
        <v>698</v>
      </c>
      <c r="C5485" s="162" t="s">
        <v>12001</v>
      </c>
      <c r="D5485" s="162" t="s">
        <v>1777</v>
      </c>
      <c r="F5485" s="162">
        <v>190</v>
      </c>
      <c r="G5485" s="162">
        <v>1</v>
      </c>
    </row>
    <row r="5486" spans="2:7" ht="28.8">
      <c r="B5486" s="162" t="s">
        <v>698</v>
      </c>
      <c r="C5486" s="162" t="s">
        <v>12002</v>
      </c>
      <c r="D5486" s="162" t="s">
        <v>12003</v>
      </c>
      <c r="F5486" s="162">
        <v>260</v>
      </c>
      <c r="G5486" s="162">
        <v>1</v>
      </c>
    </row>
    <row r="5487" spans="2:7" ht="28.8">
      <c r="B5487" s="162" t="s">
        <v>698</v>
      </c>
      <c r="C5487" s="162" t="s">
        <v>12004</v>
      </c>
      <c r="D5487" s="162" t="s">
        <v>12005</v>
      </c>
      <c r="F5487" s="162">
        <v>355</v>
      </c>
      <c r="G5487" s="162">
        <v>1</v>
      </c>
    </row>
    <row r="5488" spans="2:7" ht="28.8">
      <c r="B5488" s="162" t="s">
        <v>698</v>
      </c>
      <c r="C5488" s="162" t="s">
        <v>12006</v>
      </c>
      <c r="D5488" s="162" t="s">
        <v>12005</v>
      </c>
      <c r="F5488" s="162">
        <v>1630</v>
      </c>
      <c r="G5488" s="162">
        <v>1</v>
      </c>
    </row>
    <row r="5489" spans="2:7" ht="28.8">
      <c r="B5489" s="162" t="s">
        <v>698</v>
      </c>
      <c r="C5489" s="162" t="s">
        <v>12007</v>
      </c>
      <c r="D5489" s="162" t="s">
        <v>12008</v>
      </c>
      <c r="F5489" s="162">
        <v>460</v>
      </c>
      <c r="G5489" s="162">
        <v>1</v>
      </c>
    </row>
    <row r="5490" spans="2:7" ht="28.8">
      <c r="B5490" s="162" t="s">
        <v>698</v>
      </c>
      <c r="C5490" s="162" t="s">
        <v>12009</v>
      </c>
      <c r="D5490" s="162" t="s">
        <v>12010</v>
      </c>
      <c r="F5490" s="162">
        <v>1760</v>
      </c>
      <c r="G5490" s="162">
        <v>1</v>
      </c>
    </row>
    <row r="5491" spans="2:7" ht="28.8">
      <c r="B5491" s="162" t="s">
        <v>698</v>
      </c>
      <c r="C5491" s="162" t="s">
        <v>12011</v>
      </c>
      <c r="D5491" s="162" t="s">
        <v>12012</v>
      </c>
      <c r="F5491" s="162">
        <v>1455</v>
      </c>
      <c r="G5491" s="162">
        <v>1</v>
      </c>
    </row>
    <row r="5492" spans="2:7">
      <c r="B5492" s="162" t="s">
        <v>699</v>
      </c>
      <c r="C5492" s="162" t="s">
        <v>12013</v>
      </c>
      <c r="D5492" s="162" t="s">
        <v>12014</v>
      </c>
      <c r="F5492" s="162">
        <v>3580</v>
      </c>
      <c r="G5492" s="162">
        <v>1</v>
      </c>
    </row>
    <row r="5493" spans="2:7">
      <c r="B5493" s="162" t="s">
        <v>699</v>
      </c>
      <c r="C5493" s="162" t="s">
        <v>12015</v>
      </c>
      <c r="D5493" s="162" t="s">
        <v>12016</v>
      </c>
      <c r="F5493" s="162">
        <v>4980</v>
      </c>
      <c r="G5493" s="162">
        <v>1</v>
      </c>
    </row>
    <row r="5494" spans="2:7" ht="28.8">
      <c r="B5494" s="162" t="s">
        <v>699</v>
      </c>
      <c r="C5494" s="162" t="s">
        <v>12017</v>
      </c>
      <c r="D5494" s="162" t="s">
        <v>12018</v>
      </c>
      <c r="F5494" s="162">
        <v>789</v>
      </c>
      <c r="G5494" s="162">
        <v>1</v>
      </c>
    </row>
    <row r="5495" spans="2:7" ht="28.8">
      <c r="B5495" s="162" t="s">
        <v>699</v>
      </c>
      <c r="C5495" s="162" t="s">
        <v>12019</v>
      </c>
      <c r="D5495" s="162" t="s">
        <v>12020</v>
      </c>
      <c r="F5495" s="162">
        <v>869</v>
      </c>
      <c r="G5495" s="162">
        <v>1</v>
      </c>
    </row>
    <row r="5496" spans="2:7" ht="28.8">
      <c r="B5496" s="162" t="s">
        <v>699</v>
      </c>
      <c r="C5496" s="162" t="s">
        <v>12021</v>
      </c>
      <c r="D5496" s="162" t="s">
        <v>12022</v>
      </c>
      <c r="F5496" s="162">
        <v>986</v>
      </c>
      <c r="G5496" s="162">
        <v>1</v>
      </c>
    </row>
    <row r="5497" spans="2:7" ht="28.8">
      <c r="B5497" s="162" t="s">
        <v>699</v>
      </c>
      <c r="C5497" s="162" t="s">
        <v>12023</v>
      </c>
      <c r="D5497" s="162" t="s">
        <v>12024</v>
      </c>
      <c r="F5497" s="162">
        <v>1129</v>
      </c>
      <c r="G5497" s="162">
        <v>1</v>
      </c>
    </row>
    <row r="5498" spans="2:7" ht="28.8">
      <c r="B5498" s="162" t="s">
        <v>699</v>
      </c>
      <c r="C5498" s="162" t="s">
        <v>12025</v>
      </c>
      <c r="D5498" s="162" t="s">
        <v>12026</v>
      </c>
      <c r="F5498" s="162">
        <v>1299</v>
      </c>
      <c r="G5498" s="162">
        <v>1</v>
      </c>
    </row>
    <row r="5499" spans="2:7" ht="28.8">
      <c r="B5499" s="162" t="s">
        <v>699</v>
      </c>
      <c r="C5499" s="162" t="s">
        <v>12027</v>
      </c>
      <c r="D5499" s="162" t="s">
        <v>12028</v>
      </c>
      <c r="F5499" s="162">
        <v>1529</v>
      </c>
      <c r="G5499" s="162">
        <v>1</v>
      </c>
    </row>
    <row r="5500" spans="2:7" ht="28.8">
      <c r="B5500" s="162" t="s">
        <v>699</v>
      </c>
      <c r="C5500" s="162" t="s">
        <v>12029</v>
      </c>
      <c r="D5500" s="162" t="s">
        <v>12030</v>
      </c>
      <c r="F5500" s="162">
        <v>2076</v>
      </c>
      <c r="G5500" s="162">
        <v>1</v>
      </c>
    </row>
    <row r="5501" spans="2:7">
      <c r="B5501" s="162" t="s">
        <v>699</v>
      </c>
      <c r="C5501" s="162" t="s">
        <v>12031</v>
      </c>
      <c r="D5501" s="162" t="s">
        <v>12032</v>
      </c>
      <c r="F5501" s="162">
        <v>570</v>
      </c>
      <c r="G5501" s="162">
        <v>1</v>
      </c>
    </row>
    <row r="5502" spans="2:7">
      <c r="B5502" s="162" t="s">
        <v>699</v>
      </c>
      <c r="C5502" s="162" t="s">
        <v>12033</v>
      </c>
      <c r="D5502" s="162" t="s">
        <v>12034</v>
      </c>
      <c r="F5502" s="162">
        <v>808</v>
      </c>
      <c r="G5502" s="162">
        <v>1</v>
      </c>
    </row>
    <row r="5503" spans="2:7">
      <c r="B5503" s="162" t="s">
        <v>699</v>
      </c>
      <c r="C5503" s="162" t="s">
        <v>12035</v>
      </c>
      <c r="D5503" s="162" t="s">
        <v>12036</v>
      </c>
      <c r="F5503" s="162">
        <v>680</v>
      </c>
      <c r="G5503" s="162">
        <v>1</v>
      </c>
    </row>
    <row r="5504" spans="2:7">
      <c r="B5504" s="162" t="s">
        <v>699</v>
      </c>
      <c r="C5504" s="162" t="s">
        <v>12037</v>
      </c>
      <c r="D5504" s="162" t="s">
        <v>12038</v>
      </c>
      <c r="F5504" s="162">
        <v>1050</v>
      </c>
      <c r="G5504" s="162">
        <v>1</v>
      </c>
    </row>
    <row r="5505" spans="2:7">
      <c r="B5505" s="162" t="s">
        <v>699</v>
      </c>
      <c r="C5505" s="162" t="s">
        <v>12039</v>
      </c>
      <c r="D5505" s="162" t="s">
        <v>12040</v>
      </c>
      <c r="F5505" s="162">
        <v>1810</v>
      </c>
      <c r="G5505" s="162">
        <v>1</v>
      </c>
    </row>
    <row r="5506" spans="2:7">
      <c r="B5506" s="162" t="s">
        <v>699</v>
      </c>
      <c r="C5506" s="162" t="s">
        <v>12041</v>
      </c>
      <c r="D5506" s="162" t="s">
        <v>12042</v>
      </c>
      <c r="F5506" s="162">
        <v>2340</v>
      </c>
      <c r="G5506" s="162">
        <v>1</v>
      </c>
    </row>
    <row r="5507" spans="2:7">
      <c r="B5507" s="162" t="s">
        <v>699</v>
      </c>
      <c r="C5507" s="162" t="s">
        <v>12043</v>
      </c>
      <c r="D5507" s="162" t="s">
        <v>12044</v>
      </c>
      <c r="F5507" s="162">
        <v>4070</v>
      </c>
      <c r="G5507" s="162">
        <v>1</v>
      </c>
    </row>
    <row r="5508" spans="2:7">
      <c r="B5508" s="162" t="s">
        <v>699</v>
      </c>
      <c r="C5508" s="162" t="s">
        <v>12045</v>
      </c>
      <c r="D5508" s="162" t="s">
        <v>12046</v>
      </c>
      <c r="F5508" s="162">
        <v>5090</v>
      </c>
      <c r="G5508" s="162">
        <v>1</v>
      </c>
    </row>
    <row r="5509" spans="2:7">
      <c r="B5509" s="162" t="s">
        <v>699</v>
      </c>
      <c r="C5509" s="162" t="s">
        <v>12047</v>
      </c>
      <c r="D5509" s="162" t="s">
        <v>12048</v>
      </c>
      <c r="F5509" s="162">
        <v>1060</v>
      </c>
      <c r="G5509" s="162">
        <v>1</v>
      </c>
    </row>
    <row r="5510" spans="2:7">
      <c r="B5510" s="162" t="s">
        <v>699</v>
      </c>
      <c r="C5510" s="162" t="s">
        <v>12049</v>
      </c>
      <c r="D5510" s="162" t="s">
        <v>12050</v>
      </c>
      <c r="F5510" s="162">
        <v>1290</v>
      </c>
      <c r="G5510" s="162">
        <v>1</v>
      </c>
    </row>
    <row r="5511" spans="2:7">
      <c r="B5511" s="162" t="s">
        <v>699</v>
      </c>
      <c r="C5511" s="162" t="s">
        <v>12051</v>
      </c>
      <c r="D5511" s="162" t="s">
        <v>12052</v>
      </c>
      <c r="F5511" s="162">
        <v>1450</v>
      </c>
      <c r="G5511" s="162">
        <v>1</v>
      </c>
    </row>
    <row r="5512" spans="2:7">
      <c r="B5512" s="162" t="s">
        <v>699</v>
      </c>
      <c r="C5512" s="162" t="s">
        <v>12053</v>
      </c>
      <c r="D5512" s="162" t="s">
        <v>12054</v>
      </c>
      <c r="F5512" s="162">
        <v>1890</v>
      </c>
      <c r="G5512" s="162">
        <v>1</v>
      </c>
    </row>
    <row r="5513" spans="2:7">
      <c r="B5513" s="162" t="s">
        <v>699</v>
      </c>
      <c r="C5513" s="162" t="s">
        <v>12055</v>
      </c>
      <c r="D5513" s="162" t="s">
        <v>12056</v>
      </c>
      <c r="F5513" s="162">
        <v>3080</v>
      </c>
      <c r="G5513" s="162">
        <v>1</v>
      </c>
    </row>
    <row r="5514" spans="2:7">
      <c r="B5514" s="162" t="s">
        <v>699</v>
      </c>
      <c r="C5514" s="162" t="s">
        <v>12057</v>
      </c>
      <c r="D5514" s="162" t="s">
        <v>12058</v>
      </c>
      <c r="F5514" s="162">
        <v>11810</v>
      </c>
      <c r="G5514" s="162">
        <v>1</v>
      </c>
    </row>
    <row r="5515" spans="2:7">
      <c r="B5515" s="162" t="s">
        <v>699</v>
      </c>
      <c r="C5515" s="162" t="s">
        <v>12059</v>
      </c>
      <c r="D5515" s="162" t="s">
        <v>12060</v>
      </c>
      <c r="F5515" s="162">
        <v>930</v>
      </c>
      <c r="G5515" s="162">
        <v>1</v>
      </c>
    </row>
    <row r="5516" spans="2:7">
      <c r="B5516" s="162" t="s">
        <v>699</v>
      </c>
      <c r="C5516" s="162" t="s">
        <v>12061</v>
      </c>
      <c r="D5516" s="162" t="s">
        <v>12062</v>
      </c>
      <c r="F5516" s="162">
        <v>7140</v>
      </c>
      <c r="G5516" s="162">
        <v>1</v>
      </c>
    </row>
    <row r="5517" spans="2:7">
      <c r="B5517" s="162" t="s">
        <v>699</v>
      </c>
      <c r="C5517" s="162" t="s">
        <v>12063</v>
      </c>
      <c r="D5517" s="162" t="s">
        <v>12064</v>
      </c>
      <c r="F5517" s="162">
        <v>1220</v>
      </c>
      <c r="G5517" s="162">
        <v>1</v>
      </c>
    </row>
    <row r="5518" spans="2:7">
      <c r="B5518" s="162" t="s">
        <v>699</v>
      </c>
      <c r="C5518" s="162" t="s">
        <v>12065</v>
      </c>
      <c r="D5518" s="162" t="s">
        <v>12066</v>
      </c>
      <c r="F5518" s="162">
        <v>1630</v>
      </c>
      <c r="G5518" s="162">
        <v>1</v>
      </c>
    </row>
    <row r="5519" spans="2:7">
      <c r="B5519" s="162" t="s">
        <v>699</v>
      </c>
      <c r="C5519" s="162" t="s">
        <v>12067</v>
      </c>
      <c r="D5519" s="162" t="s">
        <v>12068</v>
      </c>
      <c r="F5519" s="162">
        <v>1920</v>
      </c>
      <c r="G5519" s="162">
        <v>1</v>
      </c>
    </row>
    <row r="5520" spans="2:7">
      <c r="B5520" s="162" t="s">
        <v>699</v>
      </c>
      <c r="C5520" s="162" t="s">
        <v>12069</v>
      </c>
      <c r="D5520" s="162" t="s">
        <v>12070</v>
      </c>
      <c r="F5520" s="162">
        <v>2660</v>
      </c>
      <c r="G5520" s="162">
        <v>1</v>
      </c>
    </row>
    <row r="5521" spans="2:7">
      <c r="B5521" s="162" t="s">
        <v>699</v>
      </c>
      <c r="C5521" s="162" t="s">
        <v>12071</v>
      </c>
      <c r="D5521" s="162" t="s">
        <v>12072</v>
      </c>
      <c r="F5521" s="162">
        <v>4570</v>
      </c>
      <c r="G5521" s="162">
        <v>1</v>
      </c>
    </row>
    <row r="5522" spans="2:7">
      <c r="B5522" s="162" t="s">
        <v>699</v>
      </c>
      <c r="C5522" s="162" t="s">
        <v>12073</v>
      </c>
      <c r="D5522" s="162" t="s">
        <v>12074</v>
      </c>
      <c r="F5522" s="162">
        <v>17540</v>
      </c>
      <c r="G5522" s="162">
        <v>1</v>
      </c>
    </row>
    <row r="5523" spans="2:7">
      <c r="B5523" s="162" t="s">
        <v>699</v>
      </c>
      <c r="C5523" s="162" t="s">
        <v>12075</v>
      </c>
      <c r="D5523" s="162" t="s">
        <v>12076</v>
      </c>
      <c r="F5523" s="162">
        <v>2170</v>
      </c>
      <c r="G5523" s="162">
        <v>1</v>
      </c>
    </row>
    <row r="5524" spans="2:7">
      <c r="B5524" s="162" t="s">
        <v>699</v>
      </c>
      <c r="C5524" s="162" t="s">
        <v>12077</v>
      </c>
      <c r="D5524" s="162" t="s">
        <v>12078</v>
      </c>
      <c r="F5524" s="162">
        <v>3190</v>
      </c>
      <c r="G5524" s="162">
        <v>1</v>
      </c>
    </row>
    <row r="5525" spans="2:7">
      <c r="B5525" s="162" t="s">
        <v>699</v>
      </c>
      <c r="C5525" s="162" t="s">
        <v>12079</v>
      </c>
      <c r="D5525" s="162" t="s">
        <v>12080</v>
      </c>
      <c r="F5525" s="162">
        <v>4410</v>
      </c>
      <c r="G5525" s="162">
        <v>1</v>
      </c>
    </row>
    <row r="5526" spans="2:7">
      <c r="B5526" s="162" t="s">
        <v>699</v>
      </c>
      <c r="C5526" s="162" t="s">
        <v>12081</v>
      </c>
      <c r="D5526" s="162" t="s">
        <v>12082</v>
      </c>
      <c r="F5526" s="162">
        <v>1560</v>
      </c>
      <c r="G5526" s="162">
        <v>1</v>
      </c>
    </row>
    <row r="5527" spans="2:7">
      <c r="B5527" s="162" t="s">
        <v>699</v>
      </c>
      <c r="C5527" s="162" t="s">
        <v>12083</v>
      </c>
      <c r="D5527" s="162" t="s">
        <v>12084</v>
      </c>
      <c r="F5527" s="162">
        <v>2070</v>
      </c>
      <c r="G5527" s="162">
        <v>1</v>
      </c>
    </row>
    <row r="5528" spans="2:7">
      <c r="B5528" s="162" t="s">
        <v>699</v>
      </c>
      <c r="C5528" s="162" t="s">
        <v>12085</v>
      </c>
      <c r="D5528" s="162" t="s">
        <v>12086</v>
      </c>
      <c r="F5528" s="162">
        <v>2520</v>
      </c>
      <c r="G5528" s="162">
        <v>1</v>
      </c>
    </row>
    <row r="5529" spans="2:7">
      <c r="B5529" s="162" t="s">
        <v>699</v>
      </c>
      <c r="C5529" s="162" t="s">
        <v>12087</v>
      </c>
      <c r="D5529" s="162" t="s">
        <v>12088</v>
      </c>
      <c r="F5529" s="162">
        <v>3180</v>
      </c>
      <c r="G5529" s="162">
        <v>1</v>
      </c>
    </row>
    <row r="5530" spans="2:7">
      <c r="B5530" s="162" t="s">
        <v>699</v>
      </c>
      <c r="C5530" s="162" t="s">
        <v>12089</v>
      </c>
      <c r="D5530" s="162" t="s">
        <v>12090</v>
      </c>
      <c r="F5530" s="162">
        <v>5450</v>
      </c>
      <c r="G5530" s="162">
        <v>1</v>
      </c>
    </row>
    <row r="5531" spans="2:7">
      <c r="B5531" s="162" t="s">
        <v>699</v>
      </c>
      <c r="C5531" s="162" t="s">
        <v>12091</v>
      </c>
      <c r="D5531" s="162" t="s">
        <v>12092</v>
      </c>
      <c r="F5531" s="162">
        <v>7270</v>
      </c>
      <c r="G5531" s="162">
        <v>1</v>
      </c>
    </row>
    <row r="5532" spans="2:7">
      <c r="B5532" s="162" t="s">
        <v>699</v>
      </c>
      <c r="C5532" s="162" t="s">
        <v>12093</v>
      </c>
      <c r="D5532" s="162" t="s">
        <v>12094</v>
      </c>
      <c r="F5532" s="162">
        <v>8720</v>
      </c>
      <c r="G5532" s="162">
        <v>1</v>
      </c>
    </row>
    <row r="5533" spans="2:7">
      <c r="B5533" s="162" t="s">
        <v>699</v>
      </c>
      <c r="C5533" s="162" t="s">
        <v>12095</v>
      </c>
      <c r="D5533" s="162" t="s">
        <v>12096</v>
      </c>
      <c r="F5533" s="162">
        <v>13090</v>
      </c>
      <c r="G5533" s="162">
        <v>1</v>
      </c>
    </row>
    <row r="5534" spans="2:7" ht="28.8">
      <c r="B5534" s="162" t="s">
        <v>699</v>
      </c>
      <c r="C5534" s="162" t="s">
        <v>12097</v>
      </c>
      <c r="D5534" s="162" t="s">
        <v>12098</v>
      </c>
      <c r="F5534" s="162">
        <v>4370</v>
      </c>
      <c r="G5534" s="162">
        <v>1</v>
      </c>
    </row>
    <row r="5535" spans="2:7" ht="28.8">
      <c r="B5535" s="162" t="s">
        <v>699</v>
      </c>
      <c r="C5535" s="162" t="s">
        <v>12099</v>
      </c>
      <c r="D5535" s="162" t="s">
        <v>12100</v>
      </c>
      <c r="F5535" s="162">
        <v>6060</v>
      </c>
      <c r="G5535" s="162">
        <v>1</v>
      </c>
    </row>
    <row r="5536" spans="2:7" ht="28.8">
      <c r="B5536" s="162" t="s">
        <v>699</v>
      </c>
      <c r="C5536" s="162" t="s">
        <v>12101</v>
      </c>
      <c r="D5536" s="162" t="s">
        <v>12102</v>
      </c>
      <c r="F5536" s="162">
        <v>8030</v>
      </c>
      <c r="G5536" s="162">
        <v>1</v>
      </c>
    </row>
    <row r="5537" spans="2:7">
      <c r="B5537" s="162" t="s">
        <v>699</v>
      </c>
      <c r="C5537" s="162" t="s">
        <v>12103</v>
      </c>
      <c r="D5537" s="162" t="s">
        <v>12104</v>
      </c>
      <c r="F5537" s="162">
        <v>1900</v>
      </c>
      <c r="G5537" s="162">
        <v>1</v>
      </c>
    </row>
    <row r="5538" spans="2:7">
      <c r="B5538" s="162" t="s">
        <v>699</v>
      </c>
      <c r="C5538" s="162" t="s">
        <v>12105</v>
      </c>
      <c r="D5538" s="162" t="s">
        <v>12106</v>
      </c>
      <c r="F5538" s="162">
        <v>2380</v>
      </c>
      <c r="G5538" s="162">
        <v>1</v>
      </c>
    </row>
    <row r="5539" spans="2:7">
      <c r="B5539" s="162" t="s">
        <v>699</v>
      </c>
      <c r="C5539" s="162" t="s">
        <v>12107</v>
      </c>
      <c r="D5539" s="162" t="s">
        <v>12108</v>
      </c>
      <c r="F5539" s="162">
        <v>3490</v>
      </c>
      <c r="G5539" s="162">
        <v>1</v>
      </c>
    </row>
    <row r="5540" spans="2:7">
      <c r="B5540" s="162" t="s">
        <v>699</v>
      </c>
      <c r="C5540" s="162" t="s">
        <v>12109</v>
      </c>
      <c r="D5540" s="162" t="s">
        <v>12110</v>
      </c>
      <c r="F5540" s="162">
        <v>5390</v>
      </c>
      <c r="G5540" s="162">
        <v>1</v>
      </c>
    </row>
    <row r="5541" spans="2:7">
      <c r="B5541" s="162" t="s">
        <v>699</v>
      </c>
      <c r="C5541" s="162" t="s">
        <v>12111</v>
      </c>
      <c r="D5541" s="162" t="s">
        <v>12112</v>
      </c>
      <c r="F5541" s="162">
        <v>3270</v>
      </c>
      <c r="G5541" s="162">
        <v>1</v>
      </c>
    </row>
    <row r="5542" spans="2:7">
      <c r="B5542" s="162" t="s">
        <v>699</v>
      </c>
      <c r="C5542" s="162" t="s">
        <v>12113</v>
      </c>
      <c r="D5542" s="162" t="s">
        <v>12114</v>
      </c>
      <c r="F5542" s="162">
        <v>4610</v>
      </c>
      <c r="G5542" s="162">
        <v>1</v>
      </c>
    </row>
    <row r="5543" spans="2:7">
      <c r="B5543" s="162" t="s">
        <v>699</v>
      </c>
      <c r="C5543" s="162" t="s">
        <v>12115</v>
      </c>
      <c r="D5543" s="162" t="s">
        <v>12116</v>
      </c>
      <c r="F5543" s="162">
        <v>6150</v>
      </c>
      <c r="G5543" s="162">
        <v>1</v>
      </c>
    </row>
    <row r="5544" spans="2:7">
      <c r="B5544" s="162" t="s">
        <v>699</v>
      </c>
      <c r="C5544" s="162" t="s">
        <v>12117</v>
      </c>
      <c r="D5544" s="162" t="s">
        <v>12118</v>
      </c>
      <c r="F5544" s="162">
        <v>28600</v>
      </c>
      <c r="G5544" s="162">
        <v>1</v>
      </c>
    </row>
    <row r="5545" spans="2:7">
      <c r="B5545" s="162" t="s">
        <v>699</v>
      </c>
      <c r="C5545" s="162" t="s">
        <v>12119</v>
      </c>
      <c r="D5545" s="162" t="s">
        <v>12120</v>
      </c>
      <c r="F5545" s="162">
        <v>16360</v>
      </c>
      <c r="G5545" s="162">
        <v>1</v>
      </c>
    </row>
    <row r="5546" spans="2:7">
      <c r="B5546" s="162" t="s">
        <v>699</v>
      </c>
      <c r="C5546" s="162" t="s">
        <v>12121</v>
      </c>
      <c r="D5546" s="162" t="s">
        <v>12122</v>
      </c>
      <c r="F5546" s="162">
        <v>3630</v>
      </c>
      <c r="G5546" s="162">
        <v>1</v>
      </c>
    </row>
    <row r="5547" spans="2:7">
      <c r="B5547" s="162" t="s">
        <v>699</v>
      </c>
      <c r="C5547" s="162" t="s">
        <v>12123</v>
      </c>
      <c r="D5547" s="162" t="s">
        <v>12124</v>
      </c>
      <c r="F5547" s="162">
        <v>5090</v>
      </c>
      <c r="G5547" s="162">
        <v>1</v>
      </c>
    </row>
    <row r="5548" spans="2:7" ht="28.8">
      <c r="B5548" s="162" t="s">
        <v>699</v>
      </c>
      <c r="C5548" s="162" t="s">
        <v>12125</v>
      </c>
      <c r="D5548" s="162" t="s">
        <v>12126</v>
      </c>
      <c r="F5548" s="162">
        <v>8180</v>
      </c>
      <c r="G5548" s="162">
        <v>1</v>
      </c>
    </row>
    <row r="5549" spans="2:7">
      <c r="B5549" s="162" t="s">
        <v>699</v>
      </c>
      <c r="C5549" s="162" t="s">
        <v>12127</v>
      </c>
      <c r="D5549" s="162" t="s">
        <v>12128</v>
      </c>
      <c r="F5549" s="162">
        <v>44818</v>
      </c>
      <c r="G5549" s="162">
        <v>1</v>
      </c>
    </row>
    <row r="5550" spans="2:7" ht="28.8">
      <c r="B5550" s="162" t="s">
        <v>699</v>
      </c>
      <c r="C5550" s="162" t="s">
        <v>12129</v>
      </c>
      <c r="D5550" s="162" t="s">
        <v>12130</v>
      </c>
      <c r="F5550" s="162">
        <v>78475</v>
      </c>
      <c r="G5550" s="162">
        <v>1</v>
      </c>
    </row>
    <row r="5551" spans="2:7">
      <c r="B5551" s="162" t="s">
        <v>699</v>
      </c>
      <c r="C5551" s="162" t="s">
        <v>12131</v>
      </c>
      <c r="D5551" s="162" t="s">
        <v>12132</v>
      </c>
      <c r="F5551" s="162">
        <v>2320</v>
      </c>
      <c r="G5551" s="162">
        <v>1</v>
      </c>
    </row>
    <row r="5552" spans="2:7">
      <c r="B5552" s="162" t="s">
        <v>699</v>
      </c>
      <c r="C5552" s="162" t="s">
        <v>12133</v>
      </c>
      <c r="D5552" s="162" t="s">
        <v>12134</v>
      </c>
      <c r="F5552" s="162">
        <v>3030</v>
      </c>
      <c r="G5552" s="162">
        <v>1</v>
      </c>
    </row>
    <row r="5553" spans="2:7">
      <c r="B5553" s="162" t="s">
        <v>699</v>
      </c>
      <c r="C5553" s="162" t="s">
        <v>12135</v>
      </c>
      <c r="D5553" s="162" t="s">
        <v>12136</v>
      </c>
      <c r="F5553" s="162">
        <v>3580</v>
      </c>
      <c r="G5553" s="162">
        <v>1</v>
      </c>
    </row>
    <row r="5554" spans="2:7">
      <c r="B5554" s="162" t="s">
        <v>699</v>
      </c>
      <c r="C5554" s="162" t="s">
        <v>12137</v>
      </c>
      <c r="D5554" s="162" t="s">
        <v>12138</v>
      </c>
      <c r="F5554" s="162">
        <v>4720</v>
      </c>
      <c r="G5554" s="162">
        <v>1</v>
      </c>
    </row>
    <row r="5555" spans="2:7">
      <c r="B5555" s="162" t="s">
        <v>699</v>
      </c>
      <c r="C5555" s="162" t="s">
        <v>12139</v>
      </c>
      <c r="D5555" s="162" t="s">
        <v>12140</v>
      </c>
      <c r="F5555" s="162">
        <v>6760</v>
      </c>
      <c r="G5555" s="162">
        <v>1</v>
      </c>
    </row>
    <row r="5556" spans="2:7">
      <c r="B5556" s="162" t="s">
        <v>699</v>
      </c>
      <c r="C5556" s="162" t="s">
        <v>12141</v>
      </c>
      <c r="D5556" s="162" t="s">
        <v>12142</v>
      </c>
      <c r="F5556" s="162">
        <v>220</v>
      </c>
      <c r="G5556" s="162">
        <v>1</v>
      </c>
    </row>
    <row r="5557" spans="2:7">
      <c r="B5557" s="162" t="s">
        <v>699</v>
      </c>
      <c r="C5557" s="162" t="s">
        <v>12143</v>
      </c>
      <c r="D5557" s="162" t="s">
        <v>12144</v>
      </c>
      <c r="F5557" s="162">
        <v>60</v>
      </c>
      <c r="G5557" s="162">
        <v>1</v>
      </c>
    </row>
    <row r="5558" spans="2:7">
      <c r="B5558" s="162" t="s">
        <v>699</v>
      </c>
      <c r="C5558" s="162" t="s">
        <v>12145</v>
      </c>
      <c r="D5558" s="162" t="s">
        <v>12146</v>
      </c>
      <c r="F5558" s="162">
        <v>1070</v>
      </c>
      <c r="G5558" s="162">
        <v>1</v>
      </c>
    </row>
    <row r="5559" spans="2:7">
      <c r="B5559" s="162" t="s">
        <v>699</v>
      </c>
      <c r="C5559" s="162" t="s">
        <v>12147</v>
      </c>
      <c r="D5559" s="162" t="s">
        <v>12148</v>
      </c>
      <c r="F5559" s="162">
        <v>1380</v>
      </c>
      <c r="G5559" s="162">
        <v>1</v>
      </c>
    </row>
    <row r="5560" spans="2:7">
      <c r="B5560" s="162" t="s">
        <v>699</v>
      </c>
      <c r="C5560" s="162" t="s">
        <v>12149</v>
      </c>
      <c r="D5560" s="162" t="s">
        <v>12150</v>
      </c>
      <c r="F5560" s="162">
        <v>530</v>
      </c>
      <c r="G5560" s="162">
        <v>1</v>
      </c>
    </row>
    <row r="5561" spans="2:7">
      <c r="B5561" s="162" t="s">
        <v>699</v>
      </c>
      <c r="C5561" s="162" t="s">
        <v>12151</v>
      </c>
      <c r="D5561" s="162" t="s">
        <v>12152</v>
      </c>
      <c r="F5561" s="162">
        <v>62227</v>
      </c>
      <c r="G5561" s="162">
        <v>1</v>
      </c>
    </row>
    <row r="5562" spans="2:7">
      <c r="B5562" s="162" t="s">
        <v>699</v>
      </c>
      <c r="C5562" s="162" t="s">
        <v>12153</v>
      </c>
      <c r="D5562" s="162" t="s">
        <v>12154</v>
      </c>
      <c r="F5562" s="162">
        <v>34391</v>
      </c>
      <c r="G5562" s="162">
        <v>1</v>
      </c>
    </row>
    <row r="5563" spans="2:7">
      <c r="B5563" s="162" t="s">
        <v>699</v>
      </c>
      <c r="C5563" s="162" t="s">
        <v>12155</v>
      </c>
      <c r="D5563" s="162" t="s">
        <v>12156</v>
      </c>
      <c r="F5563" s="162">
        <v>18254</v>
      </c>
      <c r="G5563" s="162">
        <v>1</v>
      </c>
    </row>
    <row r="5564" spans="2:7">
      <c r="B5564" s="162" t="s">
        <v>699</v>
      </c>
      <c r="C5564" s="162" t="s">
        <v>12157</v>
      </c>
      <c r="D5564" s="162" t="s">
        <v>12158</v>
      </c>
      <c r="F5564" s="162">
        <v>19898</v>
      </c>
      <c r="G5564" s="162">
        <v>1</v>
      </c>
    </row>
    <row r="5565" spans="2:7">
      <c r="B5565" s="162" t="s">
        <v>699</v>
      </c>
      <c r="C5565" s="162" t="s">
        <v>12159</v>
      </c>
      <c r="D5565" s="162" t="s">
        <v>12160</v>
      </c>
      <c r="F5565" s="162">
        <v>9139</v>
      </c>
      <c r="G5565" s="162">
        <v>1</v>
      </c>
    </row>
    <row r="5566" spans="2:7">
      <c r="B5566" s="162" t="s">
        <v>699</v>
      </c>
      <c r="C5566" s="162" t="s">
        <v>12161</v>
      </c>
      <c r="D5566" s="162" t="s">
        <v>12162</v>
      </c>
      <c r="E5566" s="162" t="s">
        <v>12163</v>
      </c>
      <c r="F5566" s="162">
        <v>10533</v>
      </c>
      <c r="G5566" s="162">
        <v>1</v>
      </c>
    </row>
    <row r="5567" spans="2:7">
      <c r="B5567" s="162" t="s">
        <v>699</v>
      </c>
      <c r="C5567" s="162" t="s">
        <v>12164</v>
      </c>
      <c r="D5567" s="162" t="s">
        <v>12165</v>
      </c>
      <c r="E5567" s="162" t="s">
        <v>12166</v>
      </c>
      <c r="F5567" s="162">
        <v>6829</v>
      </c>
      <c r="G5567" s="162">
        <v>1</v>
      </c>
    </row>
    <row r="5568" spans="2:7">
      <c r="B5568" s="162" t="s">
        <v>699</v>
      </c>
      <c r="C5568" s="162" t="s">
        <v>12167</v>
      </c>
      <c r="D5568" s="162" t="s">
        <v>12168</v>
      </c>
      <c r="E5568" s="162" t="s">
        <v>12169</v>
      </c>
      <c r="F5568" s="162">
        <v>8193</v>
      </c>
      <c r="G5568" s="162">
        <v>1</v>
      </c>
    </row>
    <row r="5569" spans="2:7">
      <c r="B5569" s="162" t="s">
        <v>699</v>
      </c>
      <c r="C5569" s="162" t="s">
        <v>12170</v>
      </c>
      <c r="D5569" s="162" t="s">
        <v>12171</v>
      </c>
      <c r="E5569" s="162" t="s">
        <v>12169</v>
      </c>
      <c r="F5569" s="162">
        <v>7575</v>
      </c>
      <c r="G5569" s="162">
        <v>1</v>
      </c>
    </row>
    <row r="5570" spans="2:7">
      <c r="B5570" s="162" t="s">
        <v>699</v>
      </c>
      <c r="C5570" s="162" t="s">
        <v>12172</v>
      </c>
      <c r="D5570" s="162" t="s">
        <v>12173</v>
      </c>
      <c r="E5570" s="162" t="s">
        <v>12169</v>
      </c>
      <c r="F5570" s="162">
        <v>5336</v>
      </c>
      <c r="G5570" s="162">
        <v>1</v>
      </c>
    </row>
    <row r="5571" spans="2:7">
      <c r="B5571" s="162" t="s">
        <v>699</v>
      </c>
      <c r="C5571" s="162" t="s">
        <v>12174</v>
      </c>
      <c r="D5571" s="162" t="s">
        <v>12175</v>
      </c>
      <c r="E5571" s="162" t="s">
        <v>12169</v>
      </c>
      <c r="F5571" s="162">
        <v>1764</v>
      </c>
      <c r="G5571" s="162">
        <v>1</v>
      </c>
    </row>
    <row r="5572" spans="2:7">
      <c r="B5572" s="162" t="s">
        <v>699</v>
      </c>
      <c r="C5572" s="162" t="s">
        <v>12176</v>
      </c>
      <c r="D5572" s="162" t="s">
        <v>12177</v>
      </c>
      <c r="E5572" s="162" t="s">
        <v>12178</v>
      </c>
      <c r="F5572" s="162">
        <v>6630</v>
      </c>
      <c r="G5572" s="162">
        <v>1</v>
      </c>
    </row>
    <row r="5573" spans="2:7">
      <c r="B5573" s="162" t="s">
        <v>699</v>
      </c>
      <c r="C5573" s="162" t="s">
        <v>12179</v>
      </c>
      <c r="D5573" s="162" t="s">
        <v>12177</v>
      </c>
      <c r="E5573" s="162" t="s">
        <v>12178</v>
      </c>
      <c r="F5573" s="162">
        <v>2196</v>
      </c>
      <c r="G5573" s="162">
        <v>1</v>
      </c>
    </row>
    <row r="5574" spans="2:7">
      <c r="B5574" s="162" t="s">
        <v>699</v>
      </c>
      <c r="C5574" s="162" t="s">
        <v>12180</v>
      </c>
      <c r="D5574" s="162" t="s">
        <v>12181</v>
      </c>
      <c r="E5574" s="162" t="s">
        <v>12182</v>
      </c>
      <c r="F5574" s="162">
        <v>3466</v>
      </c>
      <c r="G5574" s="162">
        <v>1</v>
      </c>
    </row>
    <row r="5575" spans="2:7">
      <c r="B5575" s="162" t="s">
        <v>699</v>
      </c>
      <c r="C5575" s="162" t="s">
        <v>12183</v>
      </c>
      <c r="D5575" s="162" t="s">
        <v>12184</v>
      </c>
      <c r="E5575" s="162" t="s">
        <v>12185</v>
      </c>
      <c r="F5575" s="162">
        <v>1155</v>
      </c>
      <c r="G5575" s="162">
        <v>1</v>
      </c>
    </row>
    <row r="5576" spans="2:7">
      <c r="B5576" s="162" t="s">
        <v>699</v>
      </c>
      <c r="C5576" s="162" t="s">
        <v>12186</v>
      </c>
      <c r="D5576" s="162" t="s">
        <v>12187</v>
      </c>
      <c r="E5576" s="162" t="s">
        <v>12185</v>
      </c>
      <c r="F5576" s="162">
        <v>4329</v>
      </c>
      <c r="G5576" s="162">
        <v>1</v>
      </c>
    </row>
    <row r="5577" spans="2:7">
      <c r="B5577" s="162" t="s">
        <v>699</v>
      </c>
      <c r="C5577" s="162" t="s">
        <v>12188</v>
      </c>
      <c r="D5577" s="162" t="s">
        <v>12189</v>
      </c>
      <c r="E5577" s="162" t="s">
        <v>12169</v>
      </c>
      <c r="F5577" s="162">
        <v>1446</v>
      </c>
      <c r="G5577" s="162">
        <v>1</v>
      </c>
    </row>
    <row r="5578" spans="2:7">
      <c r="B5578" s="162" t="s">
        <v>699</v>
      </c>
      <c r="C5578" s="162" t="s">
        <v>12190</v>
      </c>
      <c r="D5578" s="162" t="s">
        <v>12191</v>
      </c>
      <c r="E5578" s="162" t="s">
        <v>12169</v>
      </c>
      <c r="F5578" s="162">
        <v>2059</v>
      </c>
      <c r="G5578" s="162">
        <v>1</v>
      </c>
    </row>
    <row r="5579" spans="2:7">
      <c r="B5579" s="162" t="s">
        <v>699</v>
      </c>
      <c r="C5579" s="162" t="s">
        <v>12192</v>
      </c>
      <c r="D5579" s="162" t="s">
        <v>12193</v>
      </c>
      <c r="E5579" s="162" t="s">
        <v>12194</v>
      </c>
      <c r="F5579" s="162">
        <v>714</v>
      </c>
      <c r="G5579" s="162">
        <v>1</v>
      </c>
    </row>
    <row r="5580" spans="2:7">
      <c r="B5580" s="162" t="s">
        <v>699</v>
      </c>
      <c r="C5580" s="162" t="s">
        <v>12195</v>
      </c>
      <c r="D5580" s="162" t="s">
        <v>12196</v>
      </c>
      <c r="E5580" s="162" t="s">
        <v>12194</v>
      </c>
      <c r="F5580" s="162">
        <v>2577</v>
      </c>
      <c r="G5580" s="162">
        <v>1</v>
      </c>
    </row>
    <row r="5581" spans="2:7">
      <c r="B5581" s="162" t="s">
        <v>699</v>
      </c>
      <c r="C5581" s="162" t="s">
        <v>12197</v>
      </c>
      <c r="D5581" s="162" t="s">
        <v>12198</v>
      </c>
      <c r="E5581" s="162" t="s">
        <v>12169</v>
      </c>
      <c r="F5581" s="162">
        <v>861</v>
      </c>
      <c r="G5581" s="162">
        <v>1</v>
      </c>
    </row>
    <row r="5582" spans="2:7">
      <c r="B5582" s="162" t="s">
        <v>699</v>
      </c>
      <c r="C5582" s="162" t="s">
        <v>12199</v>
      </c>
      <c r="D5582" s="162" t="s">
        <v>12200</v>
      </c>
      <c r="E5582" s="162" t="s">
        <v>12169</v>
      </c>
      <c r="F5582" s="162">
        <v>1882</v>
      </c>
      <c r="G5582" s="162">
        <v>1</v>
      </c>
    </row>
    <row r="5583" spans="2:7">
      <c r="B5583" s="162" t="s">
        <v>699</v>
      </c>
      <c r="C5583" s="162" t="s">
        <v>12201</v>
      </c>
      <c r="D5583" s="162" t="s">
        <v>12200</v>
      </c>
      <c r="E5583" s="162" t="s">
        <v>12182</v>
      </c>
      <c r="F5583" s="162">
        <v>755</v>
      </c>
      <c r="G5583" s="162">
        <v>1</v>
      </c>
    </row>
    <row r="5584" spans="2:7">
      <c r="B5584" s="162" t="s">
        <v>699</v>
      </c>
      <c r="C5584" s="162" t="s">
        <v>12202</v>
      </c>
      <c r="D5584" s="162" t="s">
        <v>12203</v>
      </c>
      <c r="E5584" s="162" t="s">
        <v>12182</v>
      </c>
      <c r="F5584" s="162">
        <v>1513</v>
      </c>
      <c r="G5584" s="162">
        <v>1</v>
      </c>
    </row>
    <row r="5585" spans="2:7">
      <c r="B5585" s="162" t="s">
        <v>699</v>
      </c>
      <c r="C5585" s="162" t="s">
        <v>12204</v>
      </c>
      <c r="D5585" s="162" t="s">
        <v>12205</v>
      </c>
      <c r="E5585" s="162" t="s">
        <v>12206</v>
      </c>
      <c r="F5585" s="162">
        <v>546</v>
      </c>
      <c r="G5585" s="162">
        <v>1</v>
      </c>
    </row>
    <row r="5586" spans="2:7">
      <c r="B5586" s="162" t="s">
        <v>699</v>
      </c>
      <c r="C5586" s="162" t="s">
        <v>12207</v>
      </c>
      <c r="D5586" s="162" t="s">
        <v>12208</v>
      </c>
      <c r="E5586" s="162" t="s">
        <v>12206</v>
      </c>
      <c r="F5586" s="162">
        <v>380</v>
      </c>
      <c r="G5586" s="162">
        <v>1</v>
      </c>
    </row>
    <row r="5587" spans="2:7">
      <c r="B5587" s="162" t="s">
        <v>699</v>
      </c>
      <c r="C5587" s="162" t="s">
        <v>12209</v>
      </c>
      <c r="D5587" s="162" t="s">
        <v>12210</v>
      </c>
      <c r="E5587" s="162" t="s">
        <v>12211</v>
      </c>
      <c r="F5587" s="162">
        <v>6259</v>
      </c>
      <c r="G5587" s="162">
        <v>1</v>
      </c>
    </row>
    <row r="5588" spans="2:7">
      <c r="B5588" s="162" t="s">
        <v>699</v>
      </c>
      <c r="C5588" s="162" t="s">
        <v>12212</v>
      </c>
      <c r="D5588" s="162" t="s">
        <v>12213</v>
      </c>
      <c r="E5588" s="162" t="s">
        <v>12211</v>
      </c>
      <c r="F5588" s="162">
        <v>2722</v>
      </c>
      <c r="G5588" s="162">
        <v>1</v>
      </c>
    </row>
    <row r="5589" spans="2:7">
      <c r="B5589" s="162" t="s">
        <v>699</v>
      </c>
      <c r="C5589" s="162" t="s">
        <v>12214</v>
      </c>
      <c r="D5589" s="162" t="s">
        <v>12215</v>
      </c>
      <c r="E5589" s="162" t="s">
        <v>12182</v>
      </c>
      <c r="F5589" s="162">
        <v>868</v>
      </c>
      <c r="G5589" s="162">
        <v>1</v>
      </c>
    </row>
    <row r="5590" spans="2:7">
      <c r="B5590" s="162" t="s">
        <v>699</v>
      </c>
      <c r="C5590" s="162" t="s">
        <v>12216</v>
      </c>
      <c r="D5590" s="162" t="s">
        <v>12217</v>
      </c>
      <c r="E5590" s="162" t="s">
        <v>12182</v>
      </c>
      <c r="F5590" s="162">
        <v>1177</v>
      </c>
      <c r="G5590" s="162">
        <v>1</v>
      </c>
    </row>
    <row r="5591" spans="2:7">
      <c r="B5591" s="162" t="s">
        <v>699</v>
      </c>
      <c r="C5591" s="162" t="s">
        <v>12218</v>
      </c>
      <c r="D5591" s="162" t="s">
        <v>12219</v>
      </c>
      <c r="F5591" s="162">
        <v>484</v>
      </c>
      <c r="G5591" s="162">
        <v>1</v>
      </c>
    </row>
    <row r="5592" spans="2:7">
      <c r="B5592" s="162" t="s">
        <v>699</v>
      </c>
      <c r="C5592" s="162" t="s">
        <v>12220</v>
      </c>
      <c r="D5592" s="162" t="s">
        <v>12221</v>
      </c>
      <c r="F5592" s="162">
        <v>264</v>
      </c>
      <c r="G5592" s="162">
        <v>1</v>
      </c>
    </row>
    <row r="5593" spans="2:7">
      <c r="B5593" s="162" t="s">
        <v>699</v>
      </c>
      <c r="C5593" s="162" t="s">
        <v>12222</v>
      </c>
      <c r="D5593" s="162" t="s">
        <v>12223</v>
      </c>
      <c r="F5593" s="162">
        <v>2868</v>
      </c>
      <c r="G5593" s="162">
        <v>1</v>
      </c>
    </row>
    <row r="5594" spans="2:7">
      <c r="B5594" s="162" t="s">
        <v>699</v>
      </c>
      <c r="C5594" s="162" t="s">
        <v>12224</v>
      </c>
      <c r="D5594" s="162" t="s">
        <v>12225</v>
      </c>
      <c r="F5594" s="162">
        <v>1768</v>
      </c>
      <c r="G5594" s="162">
        <v>1</v>
      </c>
    </row>
    <row r="5595" spans="2:7">
      <c r="B5595" s="162" t="s">
        <v>699</v>
      </c>
      <c r="C5595" s="162" t="s">
        <v>12226</v>
      </c>
      <c r="D5595" s="162" t="s">
        <v>12227</v>
      </c>
      <c r="F5595" s="162">
        <v>280256</v>
      </c>
      <c r="G5595" s="162">
        <v>1</v>
      </c>
    </row>
    <row r="5596" spans="2:7">
      <c r="B5596" s="162" t="s">
        <v>699</v>
      </c>
      <c r="C5596" s="162" t="s">
        <v>12228</v>
      </c>
      <c r="D5596" s="162" t="s">
        <v>12229</v>
      </c>
      <c r="F5596" s="162">
        <v>106721</v>
      </c>
      <c r="G5596" s="162">
        <v>1</v>
      </c>
    </row>
    <row r="5597" spans="2:7">
      <c r="B5597" s="162" t="s">
        <v>699</v>
      </c>
      <c r="C5597" s="162" t="s">
        <v>12230</v>
      </c>
      <c r="D5597" s="162" t="s">
        <v>12231</v>
      </c>
      <c r="F5597" s="162">
        <v>143940</v>
      </c>
      <c r="G5597" s="162">
        <v>1</v>
      </c>
    </row>
    <row r="5598" spans="2:7" ht="28.8">
      <c r="B5598" s="162" t="s">
        <v>699</v>
      </c>
      <c r="C5598" s="162" t="s">
        <v>12232</v>
      </c>
      <c r="D5598" s="162" t="s">
        <v>12233</v>
      </c>
      <c r="F5598" s="162">
        <v>280257</v>
      </c>
      <c r="G5598" s="162">
        <v>1</v>
      </c>
    </row>
    <row r="5599" spans="2:7" ht="28.8">
      <c r="B5599" s="162" t="s">
        <v>699</v>
      </c>
      <c r="C5599" s="162" t="s">
        <v>12234</v>
      </c>
      <c r="D5599" s="162" t="s">
        <v>12235</v>
      </c>
      <c r="F5599" s="162">
        <v>106721</v>
      </c>
      <c r="G5599" s="162">
        <v>1</v>
      </c>
    </row>
    <row r="5600" spans="2:7" ht="28.8">
      <c r="B5600" s="162" t="s">
        <v>699</v>
      </c>
      <c r="C5600" s="162" t="s">
        <v>12236</v>
      </c>
      <c r="D5600" s="162" t="s">
        <v>12237</v>
      </c>
      <c r="F5600" s="162">
        <v>143939</v>
      </c>
      <c r="G5600" s="162">
        <v>1</v>
      </c>
    </row>
    <row r="5601" spans="2:7" ht="72">
      <c r="B5601" s="162" t="s">
        <v>2114</v>
      </c>
      <c r="C5601" s="162" t="s">
        <v>2115</v>
      </c>
      <c r="D5601" s="162" t="s">
        <v>2116</v>
      </c>
      <c r="F5601" s="162">
        <v>849</v>
      </c>
      <c r="G5601" s="162">
        <v>1</v>
      </c>
    </row>
    <row r="5602" spans="2:7" ht="86.4">
      <c r="B5602" s="162" t="s">
        <v>2114</v>
      </c>
      <c r="C5602" s="162" t="s">
        <v>2117</v>
      </c>
      <c r="D5602" s="162" t="s">
        <v>2118</v>
      </c>
      <c r="F5602" s="162">
        <v>949</v>
      </c>
      <c r="G5602" s="162">
        <v>1</v>
      </c>
    </row>
    <row r="5603" spans="2:7" ht="57.6">
      <c r="B5603" s="162" t="s">
        <v>2114</v>
      </c>
      <c r="C5603" s="162" t="s">
        <v>2119</v>
      </c>
      <c r="D5603" s="162" t="s">
        <v>2120</v>
      </c>
      <c r="F5603" s="162">
        <v>849</v>
      </c>
      <c r="G5603" s="162">
        <v>1</v>
      </c>
    </row>
    <row r="5604" spans="2:7" ht="86.4">
      <c r="B5604" s="162" t="s">
        <v>2114</v>
      </c>
      <c r="C5604" s="162" t="s">
        <v>2121</v>
      </c>
      <c r="D5604" s="162" t="s">
        <v>2122</v>
      </c>
      <c r="F5604" s="162">
        <v>949</v>
      </c>
      <c r="G5604" s="162">
        <v>1</v>
      </c>
    </row>
    <row r="5605" spans="2:7" ht="115.2">
      <c r="B5605" s="162" t="s">
        <v>2114</v>
      </c>
      <c r="C5605" s="162" t="s">
        <v>2123</v>
      </c>
      <c r="D5605" s="162" t="s">
        <v>2124</v>
      </c>
      <c r="F5605" s="162">
        <v>3300</v>
      </c>
      <c r="G5605" s="162">
        <v>1</v>
      </c>
    </row>
    <row r="5606" spans="2:7" ht="115.2">
      <c r="B5606" s="162" t="s">
        <v>2114</v>
      </c>
      <c r="C5606" s="162" t="s">
        <v>2125</v>
      </c>
      <c r="D5606" s="162" t="s">
        <v>2126</v>
      </c>
      <c r="F5606" s="162">
        <v>2000</v>
      </c>
      <c r="G5606" s="162">
        <v>1</v>
      </c>
    </row>
    <row r="5607" spans="2:7" ht="72">
      <c r="B5607" s="162" t="s">
        <v>2114</v>
      </c>
      <c r="C5607" s="162" t="s">
        <v>2127</v>
      </c>
      <c r="D5607" s="162" t="s">
        <v>2128</v>
      </c>
      <c r="F5607" s="162">
        <v>199.95</v>
      </c>
      <c r="G5607" s="162">
        <v>1</v>
      </c>
    </row>
    <row r="5608" spans="2:7" ht="57.6">
      <c r="B5608" s="162" t="s">
        <v>2114</v>
      </c>
      <c r="C5608" s="162" t="s">
        <v>2129</v>
      </c>
      <c r="D5608" s="162" t="s">
        <v>2130</v>
      </c>
      <c r="F5608" s="162">
        <v>229.95</v>
      </c>
      <c r="G5608" s="162">
        <v>1</v>
      </c>
    </row>
    <row r="5609" spans="2:7" ht="43.2">
      <c r="B5609" s="162" t="s">
        <v>2114</v>
      </c>
      <c r="C5609" s="162" t="s">
        <v>2131</v>
      </c>
      <c r="D5609" s="162" t="s">
        <v>2132</v>
      </c>
      <c r="F5609" s="162">
        <v>199.95</v>
      </c>
      <c r="G5609" s="162">
        <v>1</v>
      </c>
    </row>
    <row r="5610" spans="2:7" ht="28.8">
      <c r="B5610" s="162" t="s">
        <v>2114</v>
      </c>
      <c r="C5610" s="162" t="s">
        <v>2133</v>
      </c>
      <c r="D5610" s="162" t="s">
        <v>2134</v>
      </c>
      <c r="F5610" s="162">
        <v>8700</v>
      </c>
      <c r="G5610" s="162">
        <v>1</v>
      </c>
    </row>
    <row r="5611" spans="2:7" ht="28.8">
      <c r="B5611" s="162" t="s">
        <v>2114</v>
      </c>
      <c r="C5611" s="162" t="s">
        <v>2135</v>
      </c>
      <c r="D5611" s="162" t="s">
        <v>2136</v>
      </c>
      <c r="F5611" s="162">
        <v>6060</v>
      </c>
      <c r="G5611" s="162">
        <v>1</v>
      </c>
    </row>
    <row r="5612" spans="2:7" ht="28.8">
      <c r="B5612" s="162" t="s">
        <v>2114</v>
      </c>
      <c r="C5612" s="162" t="s">
        <v>2137</v>
      </c>
      <c r="D5612" s="162" t="s">
        <v>2138</v>
      </c>
      <c r="F5612" s="162">
        <v>4120</v>
      </c>
      <c r="G5612" s="162">
        <v>1</v>
      </c>
    </row>
    <row r="5613" spans="2:7" ht="28.8">
      <c r="B5613" s="162" t="s">
        <v>2114</v>
      </c>
      <c r="C5613" s="162" t="s">
        <v>2139</v>
      </c>
      <c r="D5613" s="162" t="s">
        <v>2140</v>
      </c>
      <c r="F5613" s="162">
        <v>3000</v>
      </c>
      <c r="G5613" s="162">
        <v>1</v>
      </c>
    </row>
    <row r="5614" spans="2:7" ht="28.8">
      <c r="B5614" s="162" t="s">
        <v>2114</v>
      </c>
      <c r="C5614" s="162" t="s">
        <v>2141</v>
      </c>
      <c r="D5614" s="162" t="s">
        <v>2142</v>
      </c>
      <c r="F5614" s="162">
        <v>6990</v>
      </c>
      <c r="G5614" s="162">
        <v>1</v>
      </c>
    </row>
    <row r="5615" spans="2:7" ht="86.4">
      <c r="B5615" s="162" t="s">
        <v>2114</v>
      </c>
      <c r="C5615" s="162" t="s">
        <v>2143</v>
      </c>
      <c r="D5615" s="162" t="s">
        <v>2144</v>
      </c>
      <c r="F5615" s="162">
        <v>36.950000000000003</v>
      </c>
      <c r="G5615" s="162">
        <v>1</v>
      </c>
    </row>
    <row r="5616" spans="2:7" ht="28.8">
      <c r="B5616" s="162" t="s">
        <v>2114</v>
      </c>
      <c r="C5616" s="162" t="s">
        <v>2145</v>
      </c>
      <c r="D5616" s="162" t="s">
        <v>2146</v>
      </c>
      <c r="F5616" s="162">
        <v>64.95</v>
      </c>
      <c r="G5616" s="162">
        <v>1</v>
      </c>
    </row>
    <row r="5617" spans="2:7" ht="28.8">
      <c r="B5617" s="162" t="s">
        <v>2114</v>
      </c>
      <c r="C5617" s="162" t="s">
        <v>2147</v>
      </c>
      <c r="D5617" s="162" t="s">
        <v>2148</v>
      </c>
      <c r="F5617" s="162">
        <v>45.95</v>
      </c>
      <c r="G5617" s="162">
        <v>1</v>
      </c>
    </row>
    <row r="5618" spans="2:7" ht="57.6">
      <c r="B5618" s="162" t="s">
        <v>2114</v>
      </c>
      <c r="C5618" s="162" t="s">
        <v>2149</v>
      </c>
      <c r="D5618" s="162" t="s">
        <v>2150</v>
      </c>
      <c r="F5618" s="162">
        <v>109.95</v>
      </c>
      <c r="G5618" s="162">
        <v>1</v>
      </c>
    </row>
    <row r="5619" spans="2:7" ht="28.8">
      <c r="B5619" s="162" t="s">
        <v>2114</v>
      </c>
      <c r="C5619" s="162" t="s">
        <v>2151</v>
      </c>
      <c r="D5619" s="162" t="s">
        <v>2152</v>
      </c>
      <c r="F5619" s="162">
        <v>44.95</v>
      </c>
      <c r="G5619" s="162">
        <v>1</v>
      </c>
    </row>
    <row r="5620" spans="2:7" ht="43.2">
      <c r="B5620" s="162" t="s">
        <v>2114</v>
      </c>
      <c r="C5620" s="162" t="s">
        <v>2153</v>
      </c>
      <c r="D5620" s="162" t="s">
        <v>2154</v>
      </c>
      <c r="F5620" s="162">
        <v>49.95</v>
      </c>
      <c r="G5620" s="162">
        <v>1</v>
      </c>
    </row>
    <row r="5621" spans="2:7">
      <c r="B5621" s="162" t="s">
        <v>2114</v>
      </c>
      <c r="C5621" s="162" t="s">
        <v>2155</v>
      </c>
      <c r="D5621" s="162" t="s">
        <v>2156</v>
      </c>
      <c r="F5621" s="162">
        <v>199.95</v>
      </c>
      <c r="G5621" s="162">
        <v>1</v>
      </c>
    </row>
    <row r="5622" spans="2:7" ht="43.2">
      <c r="B5622" s="162" t="s">
        <v>2114</v>
      </c>
      <c r="C5622" s="162" t="s">
        <v>2157</v>
      </c>
      <c r="D5622" s="162" t="s">
        <v>2158</v>
      </c>
      <c r="F5622" s="162">
        <v>9.25</v>
      </c>
      <c r="G5622" s="162">
        <v>1</v>
      </c>
    </row>
    <row r="5623" spans="2:7" ht="43.2">
      <c r="B5623" s="162" t="s">
        <v>2114</v>
      </c>
      <c r="C5623" s="162" t="s">
        <v>2159</v>
      </c>
      <c r="D5623" s="162" t="s">
        <v>2160</v>
      </c>
      <c r="F5623" s="162">
        <v>4.4400000000000004</v>
      </c>
      <c r="G5623" s="162">
        <v>1</v>
      </c>
    </row>
    <row r="5624" spans="2:7" ht="43.2">
      <c r="B5624" s="162" t="s">
        <v>2114</v>
      </c>
      <c r="C5624" s="162" t="s">
        <v>2161</v>
      </c>
      <c r="D5624" s="162" t="s">
        <v>2162</v>
      </c>
      <c r="F5624" s="162">
        <v>7.31</v>
      </c>
      <c r="G5624" s="162">
        <v>1</v>
      </c>
    </row>
    <row r="5625" spans="2:7">
      <c r="B5625" s="162" t="s">
        <v>2114</v>
      </c>
      <c r="C5625" s="162" t="s">
        <v>2163</v>
      </c>
      <c r="D5625" s="162" t="s">
        <v>2164</v>
      </c>
      <c r="F5625" s="162">
        <v>29.95</v>
      </c>
      <c r="G5625" s="162">
        <v>1</v>
      </c>
    </row>
    <row r="5626" spans="2:7" ht="28.8">
      <c r="B5626" s="162" t="s">
        <v>2114</v>
      </c>
      <c r="C5626" s="162" t="s">
        <v>2165</v>
      </c>
      <c r="D5626" s="162" t="s">
        <v>2166</v>
      </c>
      <c r="F5626" s="162">
        <v>74.95</v>
      </c>
      <c r="G5626" s="162">
        <v>1</v>
      </c>
    </row>
    <row r="5627" spans="2:7" ht="28.8">
      <c r="B5627" s="162" t="s">
        <v>2114</v>
      </c>
      <c r="C5627" s="162" t="s">
        <v>2167</v>
      </c>
      <c r="D5627" s="162" t="s">
        <v>2168</v>
      </c>
      <c r="F5627" s="162">
        <v>22.95</v>
      </c>
      <c r="G5627" s="162">
        <v>1</v>
      </c>
    </row>
    <row r="5628" spans="2:7" ht="28.8">
      <c r="B5628" s="162" t="s">
        <v>2114</v>
      </c>
      <c r="C5628" s="162" t="s">
        <v>2169</v>
      </c>
      <c r="D5628" s="162" t="s">
        <v>2170</v>
      </c>
      <c r="F5628" s="162">
        <v>12.95</v>
      </c>
      <c r="G5628" s="162">
        <v>1</v>
      </c>
    </row>
    <row r="5629" spans="2:7" ht="28.8">
      <c r="B5629" s="162" t="s">
        <v>2114</v>
      </c>
      <c r="C5629" s="162" t="s">
        <v>2171</v>
      </c>
      <c r="D5629" s="162" t="s">
        <v>2172</v>
      </c>
      <c r="F5629" s="162">
        <v>16.95</v>
      </c>
      <c r="G5629" s="162">
        <v>1</v>
      </c>
    </row>
    <row r="5630" spans="2:7" ht="43.2">
      <c r="B5630" s="162" t="s">
        <v>2114</v>
      </c>
      <c r="C5630" s="162" t="s">
        <v>2173</v>
      </c>
      <c r="D5630" s="162" t="s">
        <v>2174</v>
      </c>
      <c r="F5630" s="162">
        <v>499.95</v>
      </c>
      <c r="G5630" s="162">
        <v>1</v>
      </c>
    </row>
    <row r="5631" spans="2:7" ht="43.2">
      <c r="B5631" s="162" t="s">
        <v>2114</v>
      </c>
      <c r="C5631" s="162" t="s">
        <v>2175</v>
      </c>
      <c r="D5631" s="162" t="s">
        <v>2176</v>
      </c>
      <c r="F5631" s="162">
        <v>499.95</v>
      </c>
      <c r="G5631" s="162">
        <v>1</v>
      </c>
    </row>
    <row r="5632" spans="2:7" ht="28.8">
      <c r="B5632" s="162" t="s">
        <v>2114</v>
      </c>
      <c r="C5632" s="162" t="s">
        <v>2177</v>
      </c>
      <c r="D5632" s="162" t="s">
        <v>2178</v>
      </c>
      <c r="F5632" s="162">
        <v>24.95</v>
      </c>
      <c r="G5632" s="162">
        <v>1</v>
      </c>
    </row>
    <row r="5633" spans="2:7" ht="28.8">
      <c r="B5633" s="162" t="s">
        <v>2114</v>
      </c>
      <c r="C5633" s="162" t="s">
        <v>2179</v>
      </c>
      <c r="D5633" s="162" t="s">
        <v>2180</v>
      </c>
      <c r="F5633" s="162">
        <v>499.95</v>
      </c>
      <c r="G5633" s="162">
        <v>1</v>
      </c>
    </row>
    <row r="5634" spans="2:7" ht="28.8">
      <c r="B5634" s="162" t="s">
        <v>2114</v>
      </c>
      <c r="C5634" s="162" t="s">
        <v>2181</v>
      </c>
      <c r="D5634" s="162" t="s">
        <v>2182</v>
      </c>
      <c r="F5634" s="162">
        <v>499.95</v>
      </c>
      <c r="G5634" s="162">
        <v>1</v>
      </c>
    </row>
    <row r="5635" spans="2:7">
      <c r="B5635" s="162" t="s">
        <v>2114</v>
      </c>
      <c r="C5635" s="162" t="s">
        <v>2183</v>
      </c>
      <c r="D5635" s="162" t="s">
        <v>2184</v>
      </c>
      <c r="F5635" s="162">
        <v>13.95</v>
      </c>
      <c r="G5635" s="162">
        <v>1</v>
      </c>
    </row>
    <row r="5636" spans="2:7">
      <c r="B5636" s="162" t="s">
        <v>2114</v>
      </c>
      <c r="C5636" s="162" t="s">
        <v>2185</v>
      </c>
      <c r="D5636" s="162" t="s">
        <v>2186</v>
      </c>
      <c r="F5636" s="162">
        <v>39.950000000000003</v>
      </c>
      <c r="G5636" s="162">
        <v>1</v>
      </c>
    </row>
    <row r="5637" spans="2:7" ht="28.8">
      <c r="B5637" s="162" t="s">
        <v>2114</v>
      </c>
      <c r="C5637" s="162" t="s">
        <v>2187</v>
      </c>
      <c r="D5637" s="162" t="s">
        <v>2188</v>
      </c>
      <c r="F5637" s="162">
        <v>22.9</v>
      </c>
      <c r="G5637" s="162">
        <v>1</v>
      </c>
    </row>
    <row r="5638" spans="2:7" ht="43.2">
      <c r="B5638" s="162" t="s">
        <v>2114</v>
      </c>
      <c r="C5638" s="162" t="s">
        <v>2189</v>
      </c>
      <c r="D5638" s="162" t="s">
        <v>2190</v>
      </c>
      <c r="F5638" s="162">
        <v>0.95</v>
      </c>
      <c r="G5638" s="162">
        <v>1</v>
      </c>
    </row>
    <row r="5639" spans="2:7" ht="43.2">
      <c r="B5639" s="162" t="s">
        <v>2114</v>
      </c>
      <c r="C5639" s="162" t="s">
        <v>2191</v>
      </c>
      <c r="D5639" s="162" t="s">
        <v>2192</v>
      </c>
      <c r="F5639" s="162">
        <v>9.25</v>
      </c>
      <c r="G5639" s="162">
        <v>1</v>
      </c>
    </row>
    <row r="5640" spans="2:7" ht="57.6">
      <c r="B5640" s="162" t="s">
        <v>2114</v>
      </c>
      <c r="C5640" s="162" t="s">
        <v>2193</v>
      </c>
      <c r="D5640" s="162" t="s">
        <v>2194</v>
      </c>
      <c r="F5640" s="162">
        <v>15.73</v>
      </c>
      <c r="G5640" s="162">
        <v>1</v>
      </c>
    </row>
    <row r="5641" spans="2:7" ht="57.6">
      <c r="B5641" s="162" t="s">
        <v>2114</v>
      </c>
      <c r="C5641" s="162" t="s">
        <v>2195</v>
      </c>
      <c r="D5641" s="162" t="s">
        <v>2196</v>
      </c>
      <c r="F5641" s="162">
        <v>1400</v>
      </c>
      <c r="G5641" s="162">
        <v>1</v>
      </c>
    </row>
    <row r="5642" spans="2:7" ht="43.2">
      <c r="B5642" s="162" t="s">
        <v>2114</v>
      </c>
      <c r="C5642" s="162" t="s">
        <v>2197</v>
      </c>
      <c r="D5642" s="162" t="s">
        <v>2198</v>
      </c>
      <c r="F5642" s="162">
        <v>1800</v>
      </c>
      <c r="G5642" s="162">
        <v>1</v>
      </c>
    </row>
    <row r="5643" spans="2:7" ht="28.8">
      <c r="B5643" s="162" t="s">
        <v>2114</v>
      </c>
      <c r="C5643" s="162" t="s">
        <v>2199</v>
      </c>
      <c r="D5643" s="162" t="s">
        <v>2200</v>
      </c>
      <c r="F5643" s="162">
        <v>79.95</v>
      </c>
      <c r="G5643" s="162">
        <v>1</v>
      </c>
    </row>
    <row r="5644" spans="2:7" ht="43.2">
      <c r="B5644" s="162" t="s">
        <v>2114</v>
      </c>
      <c r="C5644" s="162" t="s">
        <v>2201</v>
      </c>
      <c r="D5644" s="162" t="s">
        <v>2202</v>
      </c>
      <c r="F5644" s="162">
        <v>1500</v>
      </c>
      <c r="G5644" s="162">
        <v>1</v>
      </c>
    </row>
    <row r="5645" spans="2:7" ht="43.2">
      <c r="B5645" s="162" t="s">
        <v>2114</v>
      </c>
      <c r="C5645" s="162" t="s">
        <v>2203</v>
      </c>
      <c r="D5645" s="162" t="s">
        <v>2204</v>
      </c>
      <c r="F5645" s="162">
        <v>599</v>
      </c>
      <c r="G5645" s="162">
        <v>1</v>
      </c>
    </row>
    <row r="5646" spans="2:7" ht="72">
      <c r="B5646" s="162" t="s">
        <v>2114</v>
      </c>
      <c r="C5646" s="162" t="s">
        <v>2205</v>
      </c>
      <c r="D5646" s="162" t="s">
        <v>2206</v>
      </c>
      <c r="F5646" s="162">
        <v>4000</v>
      </c>
      <c r="G5646" s="162">
        <v>1</v>
      </c>
    </row>
    <row r="5647" spans="2:7" ht="43.2">
      <c r="B5647" s="162" t="s">
        <v>2114</v>
      </c>
      <c r="C5647" s="162" t="s">
        <v>2207</v>
      </c>
      <c r="D5647" s="162" t="s">
        <v>2208</v>
      </c>
      <c r="F5647" s="162">
        <v>549</v>
      </c>
      <c r="G5647" s="162">
        <v>1</v>
      </c>
    </row>
    <row r="5648" spans="2:7" ht="43.2">
      <c r="B5648" s="162" t="s">
        <v>2114</v>
      </c>
      <c r="C5648" s="162" t="s">
        <v>2209</v>
      </c>
      <c r="D5648" s="162" t="s">
        <v>2210</v>
      </c>
      <c r="F5648" s="162">
        <v>6.95</v>
      </c>
      <c r="G5648" s="162">
        <v>1</v>
      </c>
    </row>
    <row r="5649" spans="2:7" ht="28.8">
      <c r="B5649" s="162" t="s">
        <v>2114</v>
      </c>
      <c r="C5649" s="162" t="s">
        <v>2211</v>
      </c>
      <c r="D5649" s="162" t="s">
        <v>2212</v>
      </c>
      <c r="F5649" s="162">
        <v>49.95</v>
      </c>
      <c r="G5649" s="162">
        <v>1</v>
      </c>
    </row>
    <row r="5650" spans="2:7" ht="28.8">
      <c r="B5650" s="162" t="s">
        <v>2114</v>
      </c>
      <c r="C5650" s="162" t="s">
        <v>2213</v>
      </c>
      <c r="D5650" s="162" t="s">
        <v>2214</v>
      </c>
      <c r="F5650" s="162">
        <v>19.95</v>
      </c>
      <c r="G5650" s="162">
        <v>1</v>
      </c>
    </row>
    <row r="5651" spans="2:7" ht="28.8">
      <c r="B5651" s="162" t="s">
        <v>2114</v>
      </c>
      <c r="C5651" s="162" t="s">
        <v>2215</v>
      </c>
      <c r="D5651" s="162" t="s">
        <v>2216</v>
      </c>
      <c r="F5651" s="162">
        <v>69.95</v>
      </c>
      <c r="G5651" s="162">
        <v>1</v>
      </c>
    </row>
    <row r="5652" spans="2:7" ht="28.8">
      <c r="B5652" s="162" t="s">
        <v>2114</v>
      </c>
      <c r="C5652" s="162" t="s">
        <v>2217</v>
      </c>
      <c r="D5652" s="162" t="s">
        <v>2218</v>
      </c>
      <c r="F5652" s="162">
        <v>27.95</v>
      </c>
      <c r="G5652" s="162">
        <v>1</v>
      </c>
    </row>
    <row r="5653" spans="2:7" ht="28.8">
      <c r="B5653" s="162" t="s">
        <v>2114</v>
      </c>
      <c r="C5653" s="162" t="s">
        <v>2219</v>
      </c>
      <c r="D5653" s="162" t="s">
        <v>2220</v>
      </c>
      <c r="F5653" s="162">
        <v>35.950000000000003</v>
      </c>
      <c r="G5653" s="162">
        <v>1</v>
      </c>
    </row>
    <row r="5654" spans="2:7" ht="28.8">
      <c r="B5654" s="162" t="s">
        <v>2114</v>
      </c>
      <c r="C5654" s="162" t="s">
        <v>2221</v>
      </c>
      <c r="D5654" s="162" t="s">
        <v>2222</v>
      </c>
      <c r="F5654" s="162">
        <v>109.95</v>
      </c>
      <c r="G5654" s="162">
        <v>1</v>
      </c>
    </row>
    <row r="5655" spans="2:7" ht="57.6">
      <c r="B5655" s="162" t="s">
        <v>2114</v>
      </c>
      <c r="C5655" s="162" t="s">
        <v>2223</v>
      </c>
      <c r="D5655" s="162" t="s">
        <v>2224</v>
      </c>
      <c r="F5655" s="162">
        <v>4500</v>
      </c>
      <c r="G5655" s="162">
        <v>1</v>
      </c>
    </row>
    <row r="5656" spans="2:7" ht="43.2">
      <c r="B5656" s="162" t="s">
        <v>2114</v>
      </c>
      <c r="C5656" s="162" t="s">
        <v>2225</v>
      </c>
      <c r="D5656" s="162" t="s">
        <v>2226</v>
      </c>
      <c r="F5656" s="162">
        <v>4500</v>
      </c>
      <c r="G5656" s="162">
        <v>1</v>
      </c>
    </row>
    <row r="5657" spans="2:7" ht="43.2">
      <c r="B5657" s="162" t="s">
        <v>2114</v>
      </c>
      <c r="C5657" s="162" t="s">
        <v>2227</v>
      </c>
      <c r="D5657" s="162" t="s">
        <v>2228</v>
      </c>
      <c r="F5657" s="162">
        <v>4500</v>
      </c>
      <c r="G5657" s="162">
        <v>1</v>
      </c>
    </row>
    <row r="5658" spans="2:7">
      <c r="B5658" s="162" t="s">
        <v>2114</v>
      </c>
      <c r="C5658" s="162" t="s">
        <v>2229</v>
      </c>
      <c r="D5658" s="162" t="s">
        <v>2230</v>
      </c>
      <c r="F5658" s="162">
        <v>79.95</v>
      </c>
      <c r="G5658" s="162">
        <v>1</v>
      </c>
    </row>
    <row r="5659" spans="2:7">
      <c r="B5659" s="162" t="s">
        <v>2114</v>
      </c>
      <c r="C5659" s="162" t="s">
        <v>2231</v>
      </c>
      <c r="D5659" s="162" t="s">
        <v>2232</v>
      </c>
      <c r="F5659" s="162">
        <v>79.95</v>
      </c>
      <c r="G5659" s="162">
        <v>1</v>
      </c>
    </row>
    <row r="5660" spans="2:7" ht="43.2">
      <c r="B5660" s="162" t="s">
        <v>2114</v>
      </c>
      <c r="C5660" s="162" t="s">
        <v>2233</v>
      </c>
      <c r="D5660" s="162" t="s">
        <v>2234</v>
      </c>
      <c r="F5660" s="162">
        <v>195.95</v>
      </c>
      <c r="G5660" s="162">
        <v>1</v>
      </c>
    </row>
    <row r="5661" spans="2:7">
      <c r="B5661" s="162" t="s">
        <v>2114</v>
      </c>
      <c r="C5661" s="162" t="s">
        <v>2235</v>
      </c>
      <c r="D5661" s="162" t="s">
        <v>2236</v>
      </c>
      <c r="F5661" s="162">
        <v>114.95</v>
      </c>
      <c r="G5661" s="162">
        <v>1</v>
      </c>
    </row>
    <row r="5662" spans="2:7">
      <c r="B5662" s="162" t="s">
        <v>2114</v>
      </c>
      <c r="C5662" s="162" t="s">
        <v>2237</v>
      </c>
      <c r="D5662" s="162" t="s">
        <v>2238</v>
      </c>
      <c r="F5662" s="162">
        <v>114.95</v>
      </c>
      <c r="G5662" s="162">
        <v>1</v>
      </c>
    </row>
    <row r="5663" spans="2:7" ht="28.8">
      <c r="B5663" s="162" t="s">
        <v>2114</v>
      </c>
      <c r="C5663" s="162" t="s">
        <v>2239</v>
      </c>
      <c r="D5663" s="162" t="s">
        <v>2240</v>
      </c>
      <c r="F5663" s="162">
        <v>4000</v>
      </c>
      <c r="G5663" s="162">
        <v>1</v>
      </c>
    </row>
    <row r="5664" spans="2:7" ht="43.2">
      <c r="B5664" s="162" t="s">
        <v>2114</v>
      </c>
      <c r="C5664" s="162" t="s">
        <v>2241</v>
      </c>
      <c r="D5664" s="162" t="s">
        <v>2242</v>
      </c>
      <c r="F5664" s="162">
        <v>59.95</v>
      </c>
      <c r="G5664" s="162">
        <v>1</v>
      </c>
    </row>
    <row r="5665" spans="2:7" ht="43.2">
      <c r="B5665" s="162" t="s">
        <v>2114</v>
      </c>
      <c r="C5665" s="162" t="s">
        <v>2243</v>
      </c>
      <c r="D5665" s="162" t="s">
        <v>2244</v>
      </c>
      <c r="F5665" s="162">
        <v>769</v>
      </c>
      <c r="G5665" s="162">
        <v>1</v>
      </c>
    </row>
    <row r="5666" spans="2:7" ht="57.6">
      <c r="B5666" s="162" t="s">
        <v>2114</v>
      </c>
      <c r="C5666" s="162" t="s">
        <v>2245</v>
      </c>
      <c r="D5666" s="162" t="s">
        <v>2246</v>
      </c>
      <c r="F5666" s="162">
        <v>429.95</v>
      </c>
      <c r="G5666" s="162">
        <v>1</v>
      </c>
    </row>
    <row r="5667" spans="2:7" ht="57.6">
      <c r="B5667" s="162" t="s">
        <v>2114</v>
      </c>
      <c r="C5667" s="162" t="s">
        <v>2247</v>
      </c>
      <c r="D5667" s="162" t="s">
        <v>2248</v>
      </c>
      <c r="F5667" s="162">
        <v>589</v>
      </c>
      <c r="G5667" s="162">
        <v>1</v>
      </c>
    </row>
    <row r="5668" spans="2:7" ht="43.2">
      <c r="B5668" s="162" t="s">
        <v>2114</v>
      </c>
      <c r="C5668" s="162" t="s">
        <v>2249</v>
      </c>
      <c r="D5668" s="162" t="s">
        <v>2250</v>
      </c>
      <c r="F5668" s="162">
        <v>629</v>
      </c>
      <c r="G5668" s="162">
        <v>1</v>
      </c>
    </row>
    <row r="5669" spans="2:7" ht="86.4">
      <c r="B5669" s="162" t="s">
        <v>2114</v>
      </c>
      <c r="C5669" s="162" t="s">
        <v>2251</v>
      </c>
      <c r="D5669" s="162" t="s">
        <v>2252</v>
      </c>
      <c r="F5669" s="162">
        <v>1250</v>
      </c>
      <c r="G5669" s="162">
        <v>1</v>
      </c>
    </row>
    <row r="5670" spans="2:7" ht="86.4">
      <c r="B5670" s="162" t="s">
        <v>2114</v>
      </c>
      <c r="C5670" s="162" t="s">
        <v>2253</v>
      </c>
      <c r="D5670" s="162" t="s">
        <v>2254</v>
      </c>
      <c r="F5670" s="162">
        <v>999</v>
      </c>
      <c r="G5670" s="162">
        <v>1</v>
      </c>
    </row>
    <row r="5671" spans="2:7" ht="86.4">
      <c r="B5671" s="162" t="s">
        <v>2114</v>
      </c>
      <c r="C5671" s="162" t="s">
        <v>2255</v>
      </c>
      <c r="D5671" s="162" t="s">
        <v>2256</v>
      </c>
      <c r="F5671" s="162">
        <v>999</v>
      </c>
      <c r="G5671" s="162">
        <v>1</v>
      </c>
    </row>
    <row r="5672" spans="2:7" ht="72">
      <c r="B5672" s="162" t="s">
        <v>2114</v>
      </c>
      <c r="C5672" s="162" t="s">
        <v>2257</v>
      </c>
      <c r="D5672" s="162" t="s">
        <v>2258</v>
      </c>
      <c r="F5672" s="162">
        <v>1299</v>
      </c>
      <c r="G5672" s="162">
        <v>1</v>
      </c>
    </row>
    <row r="5673" spans="2:7" ht="86.4">
      <c r="B5673" s="162" t="s">
        <v>2114</v>
      </c>
      <c r="C5673" s="162" t="s">
        <v>2259</v>
      </c>
      <c r="D5673" s="162" t="s">
        <v>2260</v>
      </c>
      <c r="F5673" s="162">
        <v>1299</v>
      </c>
      <c r="G5673" s="162">
        <v>1</v>
      </c>
    </row>
    <row r="5674" spans="2:7" ht="86.4">
      <c r="B5674" s="162" t="s">
        <v>2114</v>
      </c>
      <c r="C5674" s="162" t="s">
        <v>2261</v>
      </c>
      <c r="D5674" s="162" t="s">
        <v>2262</v>
      </c>
      <c r="F5674" s="162">
        <v>1199</v>
      </c>
      <c r="G5674" s="162">
        <v>1</v>
      </c>
    </row>
    <row r="5675" spans="2:7" ht="86.4">
      <c r="B5675" s="162" t="s">
        <v>2114</v>
      </c>
      <c r="C5675" s="162" t="s">
        <v>2263</v>
      </c>
      <c r="D5675" s="162" t="s">
        <v>2264</v>
      </c>
      <c r="F5675" s="162">
        <v>1199</v>
      </c>
      <c r="G5675" s="162">
        <v>1</v>
      </c>
    </row>
    <row r="5676" spans="2:7" ht="100.8">
      <c r="B5676" s="162" t="s">
        <v>2114</v>
      </c>
      <c r="C5676" s="162" t="s">
        <v>2265</v>
      </c>
      <c r="D5676" s="162" t="s">
        <v>2266</v>
      </c>
      <c r="F5676" s="162">
        <v>1400</v>
      </c>
      <c r="G5676" s="162">
        <v>1</v>
      </c>
    </row>
    <row r="5677" spans="2:7" ht="100.8">
      <c r="B5677" s="162" t="s">
        <v>2114</v>
      </c>
      <c r="C5677" s="162" t="s">
        <v>2267</v>
      </c>
      <c r="D5677" s="162" t="s">
        <v>2268</v>
      </c>
      <c r="F5677" s="162">
        <v>1500</v>
      </c>
      <c r="G5677" s="162">
        <v>1</v>
      </c>
    </row>
    <row r="5678" spans="2:7" ht="28.8">
      <c r="B5678" s="162" t="s">
        <v>2114</v>
      </c>
      <c r="C5678" s="162" t="s">
        <v>2269</v>
      </c>
      <c r="D5678" s="162" t="s">
        <v>2270</v>
      </c>
      <c r="F5678" s="162">
        <v>109.95</v>
      </c>
      <c r="G5678" s="162">
        <v>1</v>
      </c>
    </row>
    <row r="5679" spans="2:7" ht="28.8">
      <c r="B5679" s="162" t="s">
        <v>2114</v>
      </c>
      <c r="C5679" s="162" t="s">
        <v>2271</v>
      </c>
      <c r="D5679" s="162" t="s">
        <v>2272</v>
      </c>
      <c r="F5679" s="162">
        <v>199.95</v>
      </c>
      <c r="G5679" s="162">
        <v>1</v>
      </c>
    </row>
    <row r="5680" spans="2:7" ht="43.2">
      <c r="B5680" s="162" t="s">
        <v>2114</v>
      </c>
      <c r="C5680" s="162" t="s">
        <v>2273</v>
      </c>
      <c r="D5680" s="162" t="s">
        <v>2274</v>
      </c>
      <c r="F5680" s="162">
        <v>89.95</v>
      </c>
      <c r="G5680" s="162">
        <v>1</v>
      </c>
    </row>
    <row r="5681" spans="2:7" ht="43.2">
      <c r="B5681" s="162" t="s">
        <v>2114</v>
      </c>
      <c r="C5681" s="162" t="s">
        <v>2275</v>
      </c>
      <c r="D5681" s="162" t="s">
        <v>2276</v>
      </c>
      <c r="F5681" s="162">
        <v>219.95</v>
      </c>
      <c r="G5681" s="162">
        <v>1</v>
      </c>
    </row>
    <row r="5682" spans="2:7" ht="43.2">
      <c r="B5682" s="162" t="s">
        <v>2114</v>
      </c>
      <c r="C5682" s="162" t="s">
        <v>2277</v>
      </c>
      <c r="D5682" s="162" t="s">
        <v>2278</v>
      </c>
      <c r="F5682" s="162">
        <v>349.95</v>
      </c>
      <c r="G5682" s="162">
        <v>1</v>
      </c>
    </row>
    <row r="5683" spans="2:7" ht="43.2">
      <c r="B5683" s="162" t="s">
        <v>2114</v>
      </c>
      <c r="C5683" s="162" t="s">
        <v>2279</v>
      </c>
      <c r="D5683" s="162" t="s">
        <v>2280</v>
      </c>
      <c r="F5683" s="162">
        <v>599</v>
      </c>
      <c r="G5683" s="162">
        <v>1</v>
      </c>
    </row>
    <row r="5684" spans="2:7" ht="28.8">
      <c r="B5684" s="162" t="s">
        <v>2114</v>
      </c>
      <c r="C5684" s="162" t="s">
        <v>2281</v>
      </c>
      <c r="D5684" s="162" t="s">
        <v>2282</v>
      </c>
      <c r="F5684" s="162">
        <v>35.950000000000003</v>
      </c>
      <c r="G5684" s="162">
        <v>1</v>
      </c>
    </row>
    <row r="5685" spans="2:7">
      <c r="B5685" s="162" t="s">
        <v>2114</v>
      </c>
      <c r="C5685" s="162" t="s">
        <v>2283</v>
      </c>
      <c r="D5685" s="162" t="s">
        <v>2284</v>
      </c>
      <c r="F5685" s="162">
        <v>75.95</v>
      </c>
      <c r="G5685" s="162">
        <v>1</v>
      </c>
    </row>
    <row r="5686" spans="2:7" ht="28.8">
      <c r="B5686" s="162" t="s">
        <v>2114</v>
      </c>
      <c r="C5686" s="162" t="s">
        <v>2285</v>
      </c>
      <c r="D5686" s="162" t="s">
        <v>2286</v>
      </c>
      <c r="F5686" s="162">
        <v>75.95</v>
      </c>
      <c r="G5686" s="162">
        <v>1</v>
      </c>
    </row>
    <row r="5687" spans="2:7">
      <c r="B5687" s="162" t="s">
        <v>2114</v>
      </c>
      <c r="C5687" s="162" t="s">
        <v>2287</v>
      </c>
      <c r="D5687" s="162" t="s">
        <v>2288</v>
      </c>
      <c r="F5687" s="162">
        <v>139.94999999999999</v>
      </c>
      <c r="G5687" s="162">
        <v>1</v>
      </c>
    </row>
    <row r="5688" spans="2:7" ht="28.8">
      <c r="B5688" s="162" t="s">
        <v>2114</v>
      </c>
      <c r="C5688" s="162" t="s">
        <v>2289</v>
      </c>
      <c r="D5688" s="162" t="s">
        <v>2290</v>
      </c>
      <c r="F5688" s="162">
        <v>139.94999999999999</v>
      </c>
      <c r="G5688" s="162">
        <v>1</v>
      </c>
    </row>
    <row r="5689" spans="2:7">
      <c r="B5689" s="162" t="s">
        <v>2114</v>
      </c>
      <c r="C5689" s="162" t="s">
        <v>2291</v>
      </c>
      <c r="D5689" s="162" t="s">
        <v>2292</v>
      </c>
      <c r="F5689" s="162">
        <v>45.95</v>
      </c>
      <c r="G5689" s="162">
        <v>1</v>
      </c>
    </row>
    <row r="5690" spans="2:7" ht="28.8">
      <c r="B5690" s="162" t="s">
        <v>2114</v>
      </c>
      <c r="C5690" s="162" t="s">
        <v>2293</v>
      </c>
      <c r="D5690" s="162" t="s">
        <v>2294</v>
      </c>
      <c r="F5690" s="162">
        <v>45.95</v>
      </c>
      <c r="G5690" s="162">
        <v>1</v>
      </c>
    </row>
    <row r="5691" spans="2:7" ht="43.2">
      <c r="B5691" s="162" t="s">
        <v>2114</v>
      </c>
      <c r="C5691" s="162" t="s">
        <v>2295</v>
      </c>
      <c r="D5691" s="162" t="s">
        <v>2296</v>
      </c>
      <c r="F5691" s="162">
        <v>49.95</v>
      </c>
      <c r="G5691" s="162">
        <v>1</v>
      </c>
    </row>
    <row r="5692" spans="2:7" ht="43.2">
      <c r="B5692" s="162" t="s">
        <v>2114</v>
      </c>
      <c r="C5692" s="162" t="s">
        <v>2297</v>
      </c>
      <c r="D5692" s="162" t="s">
        <v>2298</v>
      </c>
      <c r="F5692" s="162">
        <v>429.95</v>
      </c>
      <c r="G5692" s="162">
        <v>1</v>
      </c>
    </row>
    <row r="5693" spans="2:7" ht="43.2">
      <c r="B5693" s="162" t="s">
        <v>2114</v>
      </c>
      <c r="C5693" s="162" t="s">
        <v>2299</v>
      </c>
      <c r="D5693" s="162" t="s">
        <v>2300</v>
      </c>
      <c r="F5693" s="162">
        <v>799</v>
      </c>
      <c r="G5693" s="162">
        <v>1</v>
      </c>
    </row>
    <row r="5694" spans="2:7" ht="57.6">
      <c r="B5694" s="162" t="s">
        <v>2114</v>
      </c>
      <c r="C5694" s="162" t="s">
        <v>2301</v>
      </c>
      <c r="D5694" s="162" t="s">
        <v>2302</v>
      </c>
      <c r="F5694" s="162">
        <v>649</v>
      </c>
      <c r="G5694" s="162">
        <v>1</v>
      </c>
    </row>
    <row r="5695" spans="2:7" ht="43.2">
      <c r="B5695" s="162" t="s">
        <v>2114</v>
      </c>
      <c r="C5695" s="162" t="s">
        <v>2303</v>
      </c>
      <c r="D5695" s="162" t="s">
        <v>2304</v>
      </c>
      <c r="F5695" s="162">
        <v>429.95</v>
      </c>
      <c r="G5695" s="162">
        <v>1</v>
      </c>
    </row>
    <row r="5696" spans="2:7" ht="57.6">
      <c r="B5696" s="162" t="s">
        <v>2114</v>
      </c>
      <c r="C5696" s="162" t="s">
        <v>2305</v>
      </c>
      <c r="D5696" s="162" t="s">
        <v>2306</v>
      </c>
      <c r="F5696" s="162">
        <v>1300</v>
      </c>
      <c r="G5696" s="162">
        <v>1</v>
      </c>
    </row>
    <row r="5697" spans="2:7" ht="57.6">
      <c r="B5697" s="162" t="s">
        <v>2114</v>
      </c>
      <c r="C5697" s="162" t="s">
        <v>2307</v>
      </c>
      <c r="D5697" s="162" t="s">
        <v>2308</v>
      </c>
      <c r="F5697" s="162">
        <v>2500</v>
      </c>
      <c r="G5697" s="162">
        <v>1</v>
      </c>
    </row>
    <row r="5698" spans="2:7" ht="72">
      <c r="B5698" s="162" t="s">
        <v>2114</v>
      </c>
      <c r="C5698" s="162" t="s">
        <v>2309</v>
      </c>
      <c r="D5698" s="162" t="s">
        <v>2310</v>
      </c>
      <c r="F5698" s="162">
        <v>459.95</v>
      </c>
      <c r="G5698" s="162">
        <v>1</v>
      </c>
    </row>
    <row r="5699" spans="2:7" ht="72">
      <c r="B5699" s="162" t="s">
        <v>2114</v>
      </c>
      <c r="C5699" s="162" t="s">
        <v>2311</v>
      </c>
      <c r="D5699" s="162" t="s">
        <v>2312</v>
      </c>
      <c r="F5699" s="162">
        <v>689</v>
      </c>
      <c r="G5699" s="162">
        <v>1</v>
      </c>
    </row>
    <row r="5700" spans="2:7" ht="28.8">
      <c r="B5700" s="162" t="s">
        <v>2114</v>
      </c>
      <c r="C5700" s="162" t="s">
        <v>2313</v>
      </c>
      <c r="D5700" s="162" t="s">
        <v>2314</v>
      </c>
      <c r="F5700" s="162">
        <v>549</v>
      </c>
      <c r="G5700" s="162">
        <v>1</v>
      </c>
    </row>
    <row r="5701" spans="2:7" ht="57.6">
      <c r="B5701" s="162" t="s">
        <v>2114</v>
      </c>
      <c r="C5701" s="162" t="s">
        <v>2315</v>
      </c>
      <c r="D5701" s="162" t="s">
        <v>2316</v>
      </c>
      <c r="F5701" s="162">
        <v>749</v>
      </c>
      <c r="G5701" s="162">
        <v>1</v>
      </c>
    </row>
    <row r="5702" spans="2:7" ht="43.2">
      <c r="B5702" s="162" t="s">
        <v>2114</v>
      </c>
      <c r="C5702" s="162" t="s">
        <v>2317</v>
      </c>
      <c r="D5702" s="162" t="s">
        <v>2318</v>
      </c>
      <c r="F5702" s="162">
        <v>799</v>
      </c>
      <c r="G5702" s="162">
        <v>1</v>
      </c>
    </row>
    <row r="5703" spans="2:7" ht="28.8">
      <c r="B5703" s="162" t="s">
        <v>2114</v>
      </c>
      <c r="C5703" s="162" t="s">
        <v>2319</v>
      </c>
      <c r="D5703" s="162" t="s">
        <v>2320</v>
      </c>
      <c r="F5703" s="162">
        <v>79.95</v>
      </c>
      <c r="G5703" s="162">
        <v>1</v>
      </c>
    </row>
    <row r="5704" spans="2:7" ht="86.4">
      <c r="B5704" s="162" t="s">
        <v>2114</v>
      </c>
      <c r="C5704" s="162" t="s">
        <v>2321</v>
      </c>
      <c r="D5704" s="162" t="s">
        <v>2322</v>
      </c>
      <c r="F5704" s="162">
        <v>179.95</v>
      </c>
      <c r="G5704" s="162">
        <v>1</v>
      </c>
    </row>
    <row r="5705" spans="2:7" ht="100.8">
      <c r="B5705" s="162" t="s">
        <v>2114</v>
      </c>
      <c r="C5705" s="162" t="s">
        <v>2323</v>
      </c>
      <c r="D5705" s="162" t="s">
        <v>2324</v>
      </c>
      <c r="F5705" s="162">
        <v>179.95</v>
      </c>
      <c r="G5705" s="162">
        <v>1</v>
      </c>
    </row>
    <row r="5706" spans="2:7" ht="100.8">
      <c r="B5706" s="162" t="s">
        <v>2114</v>
      </c>
      <c r="C5706" s="162" t="s">
        <v>2325</v>
      </c>
      <c r="D5706" s="162" t="s">
        <v>2326</v>
      </c>
      <c r="F5706" s="162">
        <v>199.95</v>
      </c>
      <c r="G5706" s="162">
        <v>1</v>
      </c>
    </row>
    <row r="5707" spans="2:7" ht="100.8">
      <c r="B5707" s="162" t="s">
        <v>2114</v>
      </c>
      <c r="C5707" s="162" t="s">
        <v>2327</v>
      </c>
      <c r="D5707" s="162" t="s">
        <v>2328</v>
      </c>
      <c r="F5707" s="162">
        <v>199.95</v>
      </c>
      <c r="G5707" s="162">
        <v>1</v>
      </c>
    </row>
    <row r="5708" spans="2:7" ht="100.8">
      <c r="B5708" s="162" t="s">
        <v>2114</v>
      </c>
      <c r="C5708" s="162" t="s">
        <v>2329</v>
      </c>
      <c r="D5708" s="162" t="s">
        <v>2330</v>
      </c>
      <c r="F5708" s="162">
        <v>179.95</v>
      </c>
      <c r="G5708" s="162">
        <v>1</v>
      </c>
    </row>
    <row r="5709" spans="2:7" ht="115.2">
      <c r="B5709" s="162" t="s">
        <v>2114</v>
      </c>
      <c r="C5709" s="162" t="s">
        <v>2331</v>
      </c>
      <c r="D5709" s="162" t="s">
        <v>2332</v>
      </c>
      <c r="F5709" s="162">
        <v>179.95</v>
      </c>
      <c r="G5709" s="162">
        <v>1</v>
      </c>
    </row>
    <row r="5710" spans="2:7" ht="115.2">
      <c r="B5710" s="162" t="s">
        <v>2114</v>
      </c>
      <c r="C5710" s="162" t="s">
        <v>2333</v>
      </c>
      <c r="D5710" s="162" t="s">
        <v>2334</v>
      </c>
      <c r="F5710" s="162">
        <v>199.95</v>
      </c>
      <c r="G5710" s="162">
        <v>1</v>
      </c>
    </row>
    <row r="5711" spans="2:7" ht="72">
      <c r="B5711" s="162" t="s">
        <v>2114</v>
      </c>
      <c r="C5711" s="162" t="s">
        <v>2335</v>
      </c>
      <c r="D5711" s="162" t="s">
        <v>2336</v>
      </c>
      <c r="F5711" s="162">
        <v>199.95</v>
      </c>
      <c r="G5711" s="162">
        <v>1</v>
      </c>
    </row>
    <row r="5712" spans="2:7" ht="72">
      <c r="B5712" s="162" t="s">
        <v>2114</v>
      </c>
      <c r="C5712" s="162" t="s">
        <v>2337</v>
      </c>
      <c r="D5712" s="162" t="s">
        <v>2338</v>
      </c>
      <c r="F5712" s="162">
        <v>229.95</v>
      </c>
      <c r="G5712" s="162">
        <v>1</v>
      </c>
    </row>
    <row r="5713" spans="2:7" ht="100.8">
      <c r="B5713" s="162" t="s">
        <v>2114</v>
      </c>
      <c r="C5713" s="162" t="s">
        <v>2339</v>
      </c>
      <c r="D5713" s="162" t="s">
        <v>2340</v>
      </c>
      <c r="F5713" s="162">
        <v>229.95</v>
      </c>
      <c r="G5713" s="162">
        <v>1</v>
      </c>
    </row>
    <row r="5714" spans="2:7" ht="100.8">
      <c r="B5714" s="162" t="s">
        <v>2114</v>
      </c>
      <c r="C5714" s="162" t="s">
        <v>2341</v>
      </c>
      <c r="D5714" s="162" t="s">
        <v>2342</v>
      </c>
      <c r="F5714" s="162">
        <v>279.95</v>
      </c>
      <c r="G5714" s="162">
        <v>1</v>
      </c>
    </row>
    <row r="5715" spans="2:7" ht="100.8">
      <c r="B5715" s="162" t="s">
        <v>2114</v>
      </c>
      <c r="C5715" s="162" t="s">
        <v>2343</v>
      </c>
      <c r="D5715" s="162" t="s">
        <v>2344</v>
      </c>
      <c r="F5715" s="162">
        <v>279.95</v>
      </c>
      <c r="G5715" s="162">
        <v>1</v>
      </c>
    </row>
    <row r="5716" spans="2:7" ht="100.8">
      <c r="B5716" s="162" t="s">
        <v>2114</v>
      </c>
      <c r="C5716" s="162" t="s">
        <v>2345</v>
      </c>
      <c r="D5716" s="162" t="s">
        <v>2346</v>
      </c>
      <c r="F5716" s="162">
        <v>599</v>
      </c>
      <c r="G5716" s="162">
        <v>1</v>
      </c>
    </row>
    <row r="5717" spans="2:7" ht="100.8">
      <c r="B5717" s="162" t="s">
        <v>2114</v>
      </c>
      <c r="C5717" s="162" t="s">
        <v>2347</v>
      </c>
      <c r="D5717" s="162" t="s">
        <v>2348</v>
      </c>
      <c r="F5717" s="162">
        <v>599</v>
      </c>
      <c r="G5717" s="162">
        <v>1</v>
      </c>
    </row>
    <row r="5718" spans="2:7" ht="115.2">
      <c r="B5718" s="162" t="s">
        <v>2114</v>
      </c>
      <c r="C5718" s="162" t="s">
        <v>2349</v>
      </c>
      <c r="D5718" s="162" t="s">
        <v>2350</v>
      </c>
      <c r="F5718" s="162">
        <v>599</v>
      </c>
      <c r="G5718" s="162">
        <v>1</v>
      </c>
    </row>
    <row r="5719" spans="2:7" ht="115.2">
      <c r="B5719" s="162" t="s">
        <v>2114</v>
      </c>
      <c r="C5719" s="162" t="s">
        <v>2351</v>
      </c>
      <c r="D5719" s="162" t="s">
        <v>2350</v>
      </c>
      <c r="F5719" s="162">
        <v>99.95</v>
      </c>
      <c r="G5719" s="162">
        <v>1</v>
      </c>
    </row>
    <row r="5720" spans="2:7" ht="43.2">
      <c r="B5720" s="162" t="s">
        <v>2114</v>
      </c>
      <c r="C5720" s="162" t="s">
        <v>2352</v>
      </c>
      <c r="D5720" s="162" t="s">
        <v>2353</v>
      </c>
      <c r="F5720" s="162">
        <v>99.95</v>
      </c>
      <c r="G5720" s="162">
        <v>1</v>
      </c>
    </row>
    <row r="5721" spans="2:7" ht="57.6">
      <c r="B5721" s="162" t="s">
        <v>2114</v>
      </c>
      <c r="C5721" s="162" t="s">
        <v>2354</v>
      </c>
      <c r="D5721" s="162" t="s">
        <v>2355</v>
      </c>
      <c r="F5721" s="162">
        <v>149.94999999999999</v>
      </c>
      <c r="G5721" s="162">
        <v>1</v>
      </c>
    </row>
    <row r="5722" spans="2:7" ht="57.6">
      <c r="B5722" s="162" t="s">
        <v>2114</v>
      </c>
      <c r="C5722" s="162" t="s">
        <v>2356</v>
      </c>
      <c r="D5722" s="162" t="s">
        <v>2357</v>
      </c>
      <c r="F5722" s="162">
        <v>149.94999999999999</v>
      </c>
      <c r="G5722" s="162">
        <v>1</v>
      </c>
    </row>
    <row r="5723" spans="2:7" ht="57.6">
      <c r="B5723" s="162" t="s">
        <v>2114</v>
      </c>
      <c r="C5723" s="162" t="s">
        <v>2358</v>
      </c>
      <c r="D5723" s="162" t="s">
        <v>2359</v>
      </c>
      <c r="F5723" s="162">
        <v>149.94999999999999</v>
      </c>
      <c r="G5723" s="162">
        <v>1</v>
      </c>
    </row>
    <row r="5724" spans="2:7" ht="57.6">
      <c r="B5724" s="162" t="s">
        <v>2114</v>
      </c>
      <c r="C5724" s="162" t="s">
        <v>2360</v>
      </c>
      <c r="D5724" s="162" t="s">
        <v>2361</v>
      </c>
      <c r="F5724" s="162">
        <v>149.94999999999999</v>
      </c>
      <c r="G5724" s="162">
        <v>1</v>
      </c>
    </row>
    <row r="5725" spans="2:7" ht="72">
      <c r="B5725" s="162" t="s">
        <v>2114</v>
      </c>
      <c r="C5725" s="162" t="s">
        <v>2362</v>
      </c>
      <c r="D5725" s="162" t="s">
        <v>2363</v>
      </c>
      <c r="F5725" s="162">
        <v>149.94999999999999</v>
      </c>
      <c r="G5725" s="162">
        <v>1</v>
      </c>
    </row>
    <row r="5726" spans="2:7" ht="72">
      <c r="B5726" s="162" t="s">
        <v>2114</v>
      </c>
      <c r="C5726" s="162" t="s">
        <v>2364</v>
      </c>
      <c r="D5726" s="162" t="s">
        <v>2365</v>
      </c>
      <c r="F5726" s="162">
        <v>249.95</v>
      </c>
      <c r="G5726" s="162">
        <v>1</v>
      </c>
    </row>
    <row r="5727" spans="2:7" ht="28.8">
      <c r="B5727" s="162" t="s">
        <v>2114</v>
      </c>
      <c r="C5727" s="162" t="s">
        <v>2366</v>
      </c>
      <c r="D5727" s="162" t="s">
        <v>2367</v>
      </c>
      <c r="F5727" s="162">
        <v>249.95</v>
      </c>
      <c r="G5727" s="162">
        <v>1</v>
      </c>
    </row>
    <row r="5728" spans="2:7" ht="57.6">
      <c r="B5728" s="162" t="s">
        <v>2114</v>
      </c>
      <c r="C5728" s="162" t="s">
        <v>2368</v>
      </c>
      <c r="D5728" s="162" t="s">
        <v>2369</v>
      </c>
      <c r="F5728" s="162">
        <v>149.94999999999999</v>
      </c>
      <c r="G5728" s="162">
        <v>1</v>
      </c>
    </row>
    <row r="5729" spans="2:7" ht="43.2">
      <c r="B5729" s="162" t="s">
        <v>2114</v>
      </c>
      <c r="C5729" s="162" t="s">
        <v>2370</v>
      </c>
      <c r="D5729" s="162" t="s">
        <v>2371</v>
      </c>
      <c r="F5729" s="162">
        <v>149.94999999999999</v>
      </c>
      <c r="G5729" s="162">
        <v>1</v>
      </c>
    </row>
    <row r="5730" spans="2:7" ht="28.8">
      <c r="B5730" s="162" t="s">
        <v>2114</v>
      </c>
      <c r="C5730" s="162" t="s">
        <v>2372</v>
      </c>
      <c r="D5730" s="162" t="s">
        <v>2373</v>
      </c>
      <c r="F5730" s="162">
        <v>169.95</v>
      </c>
      <c r="G5730" s="162">
        <v>1</v>
      </c>
    </row>
    <row r="5731" spans="2:7" ht="28.8">
      <c r="B5731" s="162" t="s">
        <v>2114</v>
      </c>
      <c r="C5731" s="162" t="s">
        <v>2374</v>
      </c>
      <c r="D5731" s="162" t="s">
        <v>2375</v>
      </c>
      <c r="F5731" s="162">
        <v>199.95</v>
      </c>
      <c r="G5731" s="162">
        <v>1</v>
      </c>
    </row>
    <row r="5732" spans="2:7" ht="28.8">
      <c r="B5732" s="162" t="s">
        <v>2114</v>
      </c>
      <c r="C5732" s="162" t="s">
        <v>2376</v>
      </c>
      <c r="D5732" s="162" t="s">
        <v>2377</v>
      </c>
      <c r="F5732" s="162">
        <v>299.95</v>
      </c>
      <c r="G5732" s="162">
        <v>1</v>
      </c>
    </row>
    <row r="5733" spans="2:7" ht="43.2">
      <c r="B5733" s="162" t="s">
        <v>2114</v>
      </c>
      <c r="C5733" s="162" t="s">
        <v>2378</v>
      </c>
      <c r="D5733" s="162" t="s">
        <v>2379</v>
      </c>
      <c r="F5733" s="162">
        <v>319.95</v>
      </c>
      <c r="G5733" s="162">
        <v>1</v>
      </c>
    </row>
    <row r="5734" spans="2:7" ht="43.2">
      <c r="B5734" s="162" t="s">
        <v>2114</v>
      </c>
      <c r="C5734" s="162" t="s">
        <v>2380</v>
      </c>
      <c r="D5734" s="162" t="s">
        <v>2381</v>
      </c>
      <c r="F5734" s="162">
        <v>179.95</v>
      </c>
      <c r="G5734" s="162">
        <v>1</v>
      </c>
    </row>
    <row r="5735" spans="2:7" ht="43.2">
      <c r="B5735" s="162" t="s">
        <v>2114</v>
      </c>
      <c r="C5735" s="162" t="s">
        <v>2382</v>
      </c>
      <c r="D5735" s="162" t="s">
        <v>2383</v>
      </c>
      <c r="F5735" s="162">
        <v>199.95</v>
      </c>
      <c r="G5735" s="162">
        <v>1</v>
      </c>
    </row>
    <row r="5736" spans="2:7" ht="43.2">
      <c r="B5736" s="162" t="s">
        <v>2114</v>
      </c>
      <c r="C5736" s="162" t="s">
        <v>2384</v>
      </c>
      <c r="D5736" s="162" t="s">
        <v>2385</v>
      </c>
      <c r="F5736" s="162">
        <v>219.95</v>
      </c>
      <c r="G5736" s="162">
        <v>1</v>
      </c>
    </row>
    <row r="5737" spans="2:7" ht="43.2">
      <c r="B5737" s="162" t="s">
        <v>2114</v>
      </c>
      <c r="C5737" s="162" t="s">
        <v>2386</v>
      </c>
      <c r="D5737" s="162" t="s">
        <v>2387</v>
      </c>
      <c r="F5737" s="162">
        <v>369.95</v>
      </c>
      <c r="G5737" s="162">
        <v>1</v>
      </c>
    </row>
    <row r="5738" spans="2:7" ht="43.2">
      <c r="B5738" s="162" t="s">
        <v>2114</v>
      </c>
      <c r="C5738" s="162" t="s">
        <v>2388</v>
      </c>
      <c r="D5738" s="162" t="s">
        <v>2389</v>
      </c>
      <c r="F5738" s="162">
        <v>379.95</v>
      </c>
      <c r="G5738" s="162">
        <v>1</v>
      </c>
    </row>
    <row r="5739" spans="2:7" ht="43.2">
      <c r="B5739" s="162" t="s">
        <v>2114</v>
      </c>
      <c r="C5739" s="162" t="s">
        <v>2390</v>
      </c>
      <c r="D5739" s="162" t="s">
        <v>2391</v>
      </c>
      <c r="F5739" s="162">
        <v>189.95</v>
      </c>
      <c r="G5739" s="162">
        <v>1</v>
      </c>
    </row>
    <row r="5740" spans="2:7" ht="43.2">
      <c r="B5740" s="162" t="s">
        <v>2114</v>
      </c>
      <c r="C5740" s="162" t="s">
        <v>2392</v>
      </c>
      <c r="D5740" s="162" t="s">
        <v>2393</v>
      </c>
      <c r="F5740" s="162">
        <v>189.95</v>
      </c>
      <c r="G5740" s="162">
        <v>1</v>
      </c>
    </row>
    <row r="5741" spans="2:7" ht="43.2">
      <c r="B5741" s="162" t="s">
        <v>2114</v>
      </c>
      <c r="C5741" s="162" t="s">
        <v>2394</v>
      </c>
      <c r="D5741" s="162" t="s">
        <v>2395</v>
      </c>
      <c r="F5741" s="162">
        <v>15.95</v>
      </c>
      <c r="G5741" s="162">
        <v>1</v>
      </c>
    </row>
    <row r="5742" spans="2:7" ht="43.2">
      <c r="B5742" s="162" t="s">
        <v>2114</v>
      </c>
      <c r="C5742" s="162" t="s">
        <v>2396</v>
      </c>
      <c r="D5742" s="162" t="s">
        <v>2397</v>
      </c>
      <c r="F5742" s="162">
        <v>15.95</v>
      </c>
      <c r="G5742" s="162">
        <v>1</v>
      </c>
    </row>
    <row r="5743" spans="2:7" ht="43.2">
      <c r="B5743" s="162" t="s">
        <v>2114</v>
      </c>
      <c r="C5743" s="162" t="s">
        <v>2398</v>
      </c>
      <c r="D5743" s="162" t="s">
        <v>2399</v>
      </c>
      <c r="F5743" s="162">
        <v>17.95</v>
      </c>
      <c r="G5743" s="162">
        <v>1</v>
      </c>
    </row>
    <row r="5744" spans="2:7" ht="28.8">
      <c r="B5744" s="162" t="s">
        <v>2114</v>
      </c>
      <c r="C5744" s="162" t="s">
        <v>2400</v>
      </c>
      <c r="D5744" s="162" t="s">
        <v>2401</v>
      </c>
      <c r="F5744" s="162">
        <v>29.95</v>
      </c>
      <c r="G5744" s="162">
        <v>1</v>
      </c>
    </row>
    <row r="5745" spans="2:7" ht="28.8">
      <c r="B5745" s="162" t="s">
        <v>2114</v>
      </c>
      <c r="C5745" s="162" t="s">
        <v>2402</v>
      </c>
      <c r="D5745" s="162" t="s">
        <v>2403</v>
      </c>
      <c r="F5745" s="162">
        <v>44.95</v>
      </c>
      <c r="G5745" s="162">
        <v>1</v>
      </c>
    </row>
    <row r="5746" spans="2:7" ht="43.2">
      <c r="B5746" s="162" t="s">
        <v>2114</v>
      </c>
      <c r="C5746" s="162" t="s">
        <v>2404</v>
      </c>
      <c r="D5746" s="162" t="s">
        <v>2405</v>
      </c>
      <c r="F5746" s="162">
        <v>44.95</v>
      </c>
      <c r="G5746" s="162">
        <v>1</v>
      </c>
    </row>
    <row r="5747" spans="2:7" ht="57.6">
      <c r="B5747" s="162" t="s">
        <v>2114</v>
      </c>
      <c r="C5747" s="162" t="s">
        <v>2406</v>
      </c>
      <c r="D5747" s="162" t="s">
        <v>2407</v>
      </c>
      <c r="F5747" s="162">
        <v>449.95</v>
      </c>
      <c r="G5747" s="162">
        <v>1</v>
      </c>
    </row>
    <row r="5748" spans="2:7" ht="72">
      <c r="B5748" s="162" t="s">
        <v>2114</v>
      </c>
      <c r="C5748" s="162" t="s">
        <v>2408</v>
      </c>
      <c r="D5748" s="162" t="s">
        <v>2409</v>
      </c>
      <c r="F5748" s="162">
        <v>199.95</v>
      </c>
      <c r="G5748" s="162">
        <v>1</v>
      </c>
    </row>
    <row r="5749" spans="2:7" ht="72">
      <c r="B5749" s="162" t="s">
        <v>2114</v>
      </c>
      <c r="C5749" s="162" t="s">
        <v>2410</v>
      </c>
      <c r="D5749" s="162" t="s">
        <v>2409</v>
      </c>
      <c r="F5749" s="162">
        <v>229.95</v>
      </c>
      <c r="G5749" s="162">
        <v>1</v>
      </c>
    </row>
    <row r="5750" spans="2:7" ht="43.2">
      <c r="B5750" s="162" t="s">
        <v>2114</v>
      </c>
      <c r="C5750" s="162" t="s">
        <v>2411</v>
      </c>
      <c r="D5750" s="162" t="s">
        <v>2412</v>
      </c>
      <c r="F5750" s="162">
        <v>229.95</v>
      </c>
      <c r="G5750" s="162">
        <v>1</v>
      </c>
    </row>
    <row r="5751" spans="2:7" ht="43.2">
      <c r="B5751" s="162" t="s">
        <v>2114</v>
      </c>
      <c r="C5751" s="162" t="s">
        <v>2413</v>
      </c>
      <c r="D5751" s="162" t="s">
        <v>2414</v>
      </c>
      <c r="F5751" s="162">
        <v>209.95</v>
      </c>
      <c r="G5751" s="162">
        <v>1</v>
      </c>
    </row>
    <row r="5752" spans="2:7" ht="72">
      <c r="B5752" s="162" t="s">
        <v>2114</v>
      </c>
      <c r="C5752" s="162" t="s">
        <v>2415</v>
      </c>
      <c r="D5752" s="162" t="s">
        <v>2416</v>
      </c>
      <c r="F5752" s="162">
        <v>229.95</v>
      </c>
      <c r="G5752" s="162">
        <v>1</v>
      </c>
    </row>
    <row r="5753" spans="2:7" ht="72">
      <c r="B5753" s="162" t="s">
        <v>2114</v>
      </c>
      <c r="C5753" s="162" t="s">
        <v>2417</v>
      </c>
      <c r="D5753" s="162" t="s">
        <v>2418</v>
      </c>
      <c r="F5753" s="162">
        <v>179.95</v>
      </c>
      <c r="G5753" s="162">
        <v>1</v>
      </c>
    </row>
    <row r="5754" spans="2:7" ht="57.6">
      <c r="B5754" s="162" t="s">
        <v>2114</v>
      </c>
      <c r="C5754" s="162" t="s">
        <v>2419</v>
      </c>
      <c r="D5754" s="162" t="s">
        <v>2420</v>
      </c>
      <c r="F5754" s="162">
        <v>229.95</v>
      </c>
      <c r="G5754" s="162">
        <v>1</v>
      </c>
    </row>
    <row r="5755" spans="2:7" ht="43.2">
      <c r="B5755" s="162" t="s">
        <v>2114</v>
      </c>
      <c r="C5755" s="162" t="s">
        <v>2421</v>
      </c>
      <c r="D5755" s="162" t="s">
        <v>2422</v>
      </c>
      <c r="F5755" s="162">
        <v>249.95</v>
      </c>
      <c r="G5755" s="162">
        <v>1</v>
      </c>
    </row>
    <row r="5756" spans="2:7" ht="43.2">
      <c r="B5756" s="162" t="s">
        <v>2114</v>
      </c>
      <c r="C5756" s="162" t="s">
        <v>2423</v>
      </c>
      <c r="D5756" s="162" t="s">
        <v>2424</v>
      </c>
      <c r="F5756" s="162">
        <v>349.95</v>
      </c>
      <c r="G5756" s="162">
        <v>1</v>
      </c>
    </row>
    <row r="5757" spans="2:7" ht="43.2">
      <c r="B5757" s="162" t="s">
        <v>2114</v>
      </c>
      <c r="C5757" s="162" t="s">
        <v>2425</v>
      </c>
      <c r="D5757" s="162" t="s">
        <v>2426</v>
      </c>
      <c r="F5757" s="162">
        <v>439.95</v>
      </c>
      <c r="G5757" s="162">
        <v>1</v>
      </c>
    </row>
    <row r="5758" spans="2:7" ht="43.2">
      <c r="B5758" s="162" t="s">
        <v>2114</v>
      </c>
      <c r="C5758" s="162" t="s">
        <v>2427</v>
      </c>
      <c r="D5758" s="162" t="s">
        <v>2428</v>
      </c>
      <c r="F5758" s="162">
        <v>349.95</v>
      </c>
      <c r="G5758" s="162">
        <v>1</v>
      </c>
    </row>
    <row r="5759" spans="2:7" ht="43.2">
      <c r="B5759" s="162" t="s">
        <v>2114</v>
      </c>
      <c r="C5759" s="162" t="s">
        <v>2429</v>
      </c>
      <c r="D5759" s="162" t="s">
        <v>2430</v>
      </c>
      <c r="F5759" s="162">
        <v>369.95</v>
      </c>
      <c r="G5759" s="162">
        <v>1</v>
      </c>
    </row>
    <row r="5760" spans="2:7" ht="43.2">
      <c r="B5760" s="162" t="s">
        <v>2114</v>
      </c>
      <c r="C5760" s="162" t="s">
        <v>2431</v>
      </c>
      <c r="D5760" s="162" t="s">
        <v>2432</v>
      </c>
      <c r="F5760" s="162">
        <v>459.95</v>
      </c>
      <c r="G5760" s="162">
        <v>1</v>
      </c>
    </row>
    <row r="5761" spans="2:7" ht="43.2">
      <c r="B5761" s="162" t="s">
        <v>2114</v>
      </c>
      <c r="C5761" s="162" t="s">
        <v>2433</v>
      </c>
      <c r="D5761" s="162" t="s">
        <v>2434</v>
      </c>
      <c r="F5761" s="162">
        <v>369.95</v>
      </c>
      <c r="G5761" s="162">
        <v>1</v>
      </c>
    </row>
    <row r="5762" spans="2:7" ht="43.2">
      <c r="B5762" s="162" t="s">
        <v>2114</v>
      </c>
      <c r="C5762" s="162" t="s">
        <v>2435</v>
      </c>
      <c r="D5762" s="162" t="s">
        <v>2436</v>
      </c>
      <c r="F5762" s="162">
        <v>379.95</v>
      </c>
      <c r="G5762" s="162">
        <v>1</v>
      </c>
    </row>
    <row r="5763" spans="2:7" ht="43.2">
      <c r="B5763" s="162" t="s">
        <v>2114</v>
      </c>
      <c r="C5763" s="162" t="s">
        <v>2437</v>
      </c>
      <c r="D5763" s="162" t="s">
        <v>2438</v>
      </c>
      <c r="F5763" s="162">
        <v>469.95</v>
      </c>
      <c r="G5763" s="162">
        <v>1</v>
      </c>
    </row>
    <row r="5764" spans="2:7" ht="28.8">
      <c r="B5764" s="162" t="s">
        <v>2114</v>
      </c>
      <c r="C5764" s="162" t="s">
        <v>2439</v>
      </c>
      <c r="D5764" s="162" t="s">
        <v>2440</v>
      </c>
      <c r="F5764" s="162">
        <v>379.95</v>
      </c>
      <c r="G5764" s="162">
        <v>1</v>
      </c>
    </row>
    <row r="5765" spans="2:7" ht="28.8">
      <c r="B5765" s="162" t="s">
        <v>2114</v>
      </c>
      <c r="C5765" s="162" t="s">
        <v>2441</v>
      </c>
      <c r="D5765" s="162" t="s">
        <v>2442</v>
      </c>
      <c r="F5765" s="162">
        <v>349.95</v>
      </c>
      <c r="G5765" s="162">
        <v>1</v>
      </c>
    </row>
    <row r="5766" spans="2:7" ht="28.8">
      <c r="B5766" s="162" t="s">
        <v>2114</v>
      </c>
      <c r="C5766" s="162" t="s">
        <v>2443</v>
      </c>
      <c r="D5766" s="162" t="s">
        <v>2444</v>
      </c>
      <c r="F5766" s="162">
        <v>439.95</v>
      </c>
      <c r="G5766" s="162">
        <v>1</v>
      </c>
    </row>
    <row r="5767" spans="2:7" ht="100.8">
      <c r="B5767" s="162" t="s">
        <v>2114</v>
      </c>
      <c r="C5767" s="162" t="s">
        <v>2445</v>
      </c>
      <c r="D5767" s="162" t="s">
        <v>2446</v>
      </c>
      <c r="F5767" s="162">
        <v>649</v>
      </c>
      <c r="G5767" s="162">
        <v>1</v>
      </c>
    </row>
    <row r="5768" spans="2:7" ht="100.8">
      <c r="B5768" s="162" t="s">
        <v>2114</v>
      </c>
      <c r="C5768" s="162" t="s">
        <v>2447</v>
      </c>
      <c r="D5768" s="162" t="s">
        <v>2448</v>
      </c>
      <c r="F5768" s="162">
        <v>649</v>
      </c>
      <c r="G5768" s="162">
        <v>1</v>
      </c>
    </row>
    <row r="5769" spans="2:7" ht="100.8">
      <c r="B5769" s="162" t="s">
        <v>2114</v>
      </c>
      <c r="C5769" s="162" t="s">
        <v>2449</v>
      </c>
      <c r="D5769" s="162" t="s">
        <v>2450</v>
      </c>
      <c r="F5769" s="162">
        <v>649</v>
      </c>
      <c r="G5769" s="162">
        <v>1</v>
      </c>
    </row>
    <row r="5770" spans="2:7" ht="100.8">
      <c r="B5770" s="162" t="s">
        <v>2114</v>
      </c>
      <c r="C5770" s="162" t="s">
        <v>2451</v>
      </c>
      <c r="D5770" s="162" t="s">
        <v>2452</v>
      </c>
      <c r="F5770" s="162">
        <v>699</v>
      </c>
      <c r="G5770" s="162">
        <v>1</v>
      </c>
    </row>
    <row r="5771" spans="2:7" ht="100.8">
      <c r="B5771" s="162" t="s">
        <v>2114</v>
      </c>
      <c r="C5771" s="162" t="s">
        <v>2453</v>
      </c>
      <c r="D5771" s="162" t="s">
        <v>2454</v>
      </c>
      <c r="F5771" s="162">
        <v>699</v>
      </c>
      <c r="G5771" s="162">
        <v>1</v>
      </c>
    </row>
    <row r="5772" spans="2:7" ht="100.8">
      <c r="B5772" s="162" t="s">
        <v>2114</v>
      </c>
      <c r="C5772" s="162" t="s">
        <v>2455</v>
      </c>
      <c r="D5772" s="162" t="s">
        <v>2456</v>
      </c>
      <c r="F5772" s="162">
        <v>699</v>
      </c>
      <c r="G5772" s="162">
        <v>1</v>
      </c>
    </row>
    <row r="5773" spans="2:7" ht="100.8">
      <c r="B5773" s="162" t="s">
        <v>2114</v>
      </c>
      <c r="C5773" s="162" t="s">
        <v>2457</v>
      </c>
      <c r="D5773" s="162" t="s">
        <v>2458</v>
      </c>
      <c r="F5773" s="162">
        <v>799</v>
      </c>
      <c r="G5773" s="162">
        <v>1</v>
      </c>
    </row>
    <row r="5774" spans="2:7" ht="100.8">
      <c r="B5774" s="162" t="s">
        <v>2114</v>
      </c>
      <c r="C5774" s="162" t="s">
        <v>2459</v>
      </c>
      <c r="D5774" s="162" t="s">
        <v>2460</v>
      </c>
      <c r="F5774" s="162">
        <v>799</v>
      </c>
      <c r="G5774" s="162">
        <v>1</v>
      </c>
    </row>
    <row r="5775" spans="2:7" ht="100.8">
      <c r="B5775" s="162" t="s">
        <v>2114</v>
      </c>
      <c r="C5775" s="162" t="s">
        <v>2461</v>
      </c>
      <c r="D5775" s="162" t="s">
        <v>2462</v>
      </c>
      <c r="F5775" s="162">
        <v>799</v>
      </c>
      <c r="G5775" s="162">
        <v>1</v>
      </c>
    </row>
    <row r="5776" spans="2:7" ht="100.8">
      <c r="B5776" s="162" t="s">
        <v>2114</v>
      </c>
      <c r="C5776" s="162" t="s">
        <v>2463</v>
      </c>
      <c r="D5776" s="162" t="s">
        <v>2464</v>
      </c>
      <c r="F5776" s="162">
        <v>699</v>
      </c>
      <c r="G5776" s="162">
        <v>1</v>
      </c>
    </row>
    <row r="5777" spans="2:7" ht="100.8">
      <c r="B5777" s="162" t="s">
        <v>2114</v>
      </c>
      <c r="C5777" s="162" t="s">
        <v>2465</v>
      </c>
      <c r="D5777" s="162" t="s">
        <v>2466</v>
      </c>
      <c r="F5777" s="162">
        <v>699</v>
      </c>
      <c r="G5777" s="162">
        <v>1</v>
      </c>
    </row>
    <row r="5778" spans="2:7" ht="100.8">
      <c r="B5778" s="162" t="s">
        <v>2114</v>
      </c>
      <c r="C5778" s="162" t="s">
        <v>2467</v>
      </c>
      <c r="D5778" s="162" t="s">
        <v>2468</v>
      </c>
      <c r="F5778" s="162">
        <v>699</v>
      </c>
      <c r="G5778" s="162">
        <v>1</v>
      </c>
    </row>
    <row r="5779" spans="2:7" ht="100.8">
      <c r="B5779" s="162" t="s">
        <v>2114</v>
      </c>
      <c r="C5779" s="162" t="s">
        <v>2469</v>
      </c>
      <c r="D5779" s="162" t="s">
        <v>2470</v>
      </c>
      <c r="F5779" s="162">
        <v>749</v>
      </c>
      <c r="G5779" s="162">
        <v>1</v>
      </c>
    </row>
    <row r="5780" spans="2:7" ht="100.8">
      <c r="B5780" s="162" t="s">
        <v>2114</v>
      </c>
      <c r="C5780" s="162" t="s">
        <v>2471</v>
      </c>
      <c r="D5780" s="162" t="s">
        <v>2472</v>
      </c>
      <c r="F5780" s="162">
        <v>749</v>
      </c>
      <c r="G5780" s="162">
        <v>1</v>
      </c>
    </row>
    <row r="5781" spans="2:7" ht="100.8">
      <c r="B5781" s="162" t="s">
        <v>2114</v>
      </c>
      <c r="C5781" s="162" t="s">
        <v>2473</v>
      </c>
      <c r="D5781" s="162" t="s">
        <v>2474</v>
      </c>
      <c r="F5781" s="162">
        <v>749</v>
      </c>
      <c r="G5781" s="162">
        <v>1</v>
      </c>
    </row>
    <row r="5782" spans="2:7" ht="72">
      <c r="B5782" s="162" t="s">
        <v>2114</v>
      </c>
      <c r="C5782" s="162" t="s">
        <v>2475</v>
      </c>
      <c r="D5782" s="162" t="s">
        <v>2476</v>
      </c>
      <c r="F5782" s="162">
        <v>599</v>
      </c>
      <c r="G5782" s="162">
        <v>1</v>
      </c>
    </row>
    <row r="5783" spans="2:7" ht="72">
      <c r="B5783" s="162" t="s">
        <v>2114</v>
      </c>
      <c r="C5783" s="162" t="s">
        <v>2477</v>
      </c>
      <c r="D5783" s="162" t="s">
        <v>2478</v>
      </c>
      <c r="F5783" s="162">
        <v>599</v>
      </c>
      <c r="G5783" s="162">
        <v>1</v>
      </c>
    </row>
    <row r="5784" spans="2:7" ht="72">
      <c r="B5784" s="162" t="s">
        <v>2114</v>
      </c>
      <c r="C5784" s="162" t="s">
        <v>2479</v>
      </c>
      <c r="D5784" s="162" t="s">
        <v>2480</v>
      </c>
      <c r="F5784" s="162">
        <v>599</v>
      </c>
      <c r="G5784" s="162">
        <v>1</v>
      </c>
    </row>
    <row r="5785" spans="2:7" ht="86.4">
      <c r="B5785" s="162" t="s">
        <v>2114</v>
      </c>
      <c r="C5785" s="162" t="s">
        <v>2481</v>
      </c>
      <c r="D5785" s="162" t="s">
        <v>2482</v>
      </c>
      <c r="F5785" s="162">
        <v>649</v>
      </c>
      <c r="G5785" s="162">
        <v>1</v>
      </c>
    </row>
    <row r="5786" spans="2:7" ht="86.4">
      <c r="B5786" s="162" t="s">
        <v>2114</v>
      </c>
      <c r="C5786" s="162" t="s">
        <v>2483</v>
      </c>
      <c r="D5786" s="162" t="s">
        <v>2484</v>
      </c>
      <c r="F5786" s="162">
        <v>649</v>
      </c>
      <c r="G5786" s="162">
        <v>1</v>
      </c>
    </row>
    <row r="5787" spans="2:7" ht="86.4">
      <c r="B5787" s="162" t="s">
        <v>2114</v>
      </c>
      <c r="C5787" s="162" t="s">
        <v>2485</v>
      </c>
      <c r="D5787" s="162" t="s">
        <v>2486</v>
      </c>
      <c r="F5787" s="162">
        <v>649</v>
      </c>
      <c r="G5787" s="162">
        <v>1</v>
      </c>
    </row>
    <row r="5788" spans="2:7" ht="129.6">
      <c r="B5788" s="162" t="s">
        <v>2114</v>
      </c>
      <c r="C5788" s="162" t="s">
        <v>2487</v>
      </c>
      <c r="D5788" s="162" t="s">
        <v>2488</v>
      </c>
      <c r="F5788" s="162">
        <v>1049</v>
      </c>
      <c r="G5788" s="162">
        <v>1</v>
      </c>
    </row>
    <row r="5789" spans="2:7" ht="129.6">
      <c r="B5789" s="162" t="s">
        <v>2114</v>
      </c>
      <c r="C5789" s="162" t="s">
        <v>2489</v>
      </c>
      <c r="D5789" s="162" t="s">
        <v>2490</v>
      </c>
      <c r="F5789" s="162">
        <v>1049</v>
      </c>
      <c r="G5789" s="162">
        <v>1</v>
      </c>
    </row>
    <row r="5790" spans="2:7" ht="129.6">
      <c r="B5790" s="162" t="s">
        <v>2114</v>
      </c>
      <c r="C5790" s="162" t="s">
        <v>2491</v>
      </c>
      <c r="D5790" s="162" t="s">
        <v>2492</v>
      </c>
      <c r="F5790" s="162">
        <v>1049</v>
      </c>
      <c r="G5790" s="162">
        <v>1</v>
      </c>
    </row>
    <row r="5791" spans="2:7" ht="86.4">
      <c r="B5791" s="162" t="s">
        <v>2114</v>
      </c>
      <c r="C5791" s="162" t="s">
        <v>2493</v>
      </c>
      <c r="D5791" s="162" t="s">
        <v>2494</v>
      </c>
      <c r="F5791" s="162">
        <v>699</v>
      </c>
      <c r="G5791" s="162">
        <v>1</v>
      </c>
    </row>
    <row r="5792" spans="2:7" ht="86.4">
      <c r="B5792" s="162" t="s">
        <v>2114</v>
      </c>
      <c r="C5792" s="162" t="s">
        <v>2495</v>
      </c>
      <c r="D5792" s="162" t="s">
        <v>2496</v>
      </c>
      <c r="F5792" s="162">
        <v>699</v>
      </c>
      <c r="G5792" s="162">
        <v>1</v>
      </c>
    </row>
    <row r="5793" spans="2:7" ht="86.4">
      <c r="B5793" s="162" t="s">
        <v>2114</v>
      </c>
      <c r="C5793" s="162" t="s">
        <v>2497</v>
      </c>
      <c r="D5793" s="162" t="s">
        <v>2498</v>
      </c>
      <c r="F5793" s="162">
        <v>699</v>
      </c>
      <c r="G5793" s="162">
        <v>1</v>
      </c>
    </row>
    <row r="5794" spans="2:7" ht="86.4">
      <c r="B5794" s="162" t="s">
        <v>2114</v>
      </c>
      <c r="C5794" s="162" t="s">
        <v>2499</v>
      </c>
      <c r="D5794" s="162" t="s">
        <v>2500</v>
      </c>
      <c r="F5794" s="162">
        <v>649</v>
      </c>
      <c r="G5794" s="162">
        <v>1</v>
      </c>
    </row>
    <row r="5795" spans="2:7" ht="86.4">
      <c r="B5795" s="162" t="s">
        <v>2114</v>
      </c>
      <c r="C5795" s="162" t="s">
        <v>2501</v>
      </c>
      <c r="D5795" s="162" t="s">
        <v>2502</v>
      </c>
      <c r="F5795" s="162">
        <v>649</v>
      </c>
      <c r="G5795" s="162">
        <v>1</v>
      </c>
    </row>
    <row r="5796" spans="2:7" ht="86.4">
      <c r="B5796" s="162" t="s">
        <v>2114</v>
      </c>
      <c r="C5796" s="162" t="s">
        <v>2503</v>
      </c>
      <c r="D5796" s="162" t="s">
        <v>2504</v>
      </c>
      <c r="F5796" s="162">
        <v>649</v>
      </c>
      <c r="G5796" s="162">
        <v>1</v>
      </c>
    </row>
    <row r="5797" spans="2:7" ht="129.6">
      <c r="B5797" s="162" t="s">
        <v>2114</v>
      </c>
      <c r="C5797" s="162" t="s">
        <v>2505</v>
      </c>
      <c r="D5797" s="162" t="s">
        <v>2506</v>
      </c>
      <c r="F5797" s="162">
        <v>849</v>
      </c>
      <c r="G5797" s="162">
        <v>1</v>
      </c>
    </row>
    <row r="5798" spans="2:7" ht="129.6">
      <c r="B5798" s="162" t="s">
        <v>2114</v>
      </c>
      <c r="C5798" s="162" t="s">
        <v>2507</v>
      </c>
      <c r="D5798" s="162" t="s">
        <v>2508</v>
      </c>
      <c r="F5798" s="162">
        <v>849</v>
      </c>
      <c r="G5798" s="162">
        <v>1</v>
      </c>
    </row>
    <row r="5799" spans="2:7" ht="129.6">
      <c r="B5799" s="162" t="s">
        <v>2114</v>
      </c>
      <c r="C5799" s="162" t="s">
        <v>2509</v>
      </c>
      <c r="D5799" s="162" t="s">
        <v>2510</v>
      </c>
      <c r="F5799" s="162">
        <v>849</v>
      </c>
      <c r="G5799" s="162">
        <v>1</v>
      </c>
    </row>
    <row r="5800" spans="2:7" ht="100.8">
      <c r="B5800" s="162" t="s">
        <v>2114</v>
      </c>
      <c r="C5800" s="162" t="s">
        <v>2511</v>
      </c>
      <c r="D5800" s="162" t="s">
        <v>2512</v>
      </c>
      <c r="F5800" s="162">
        <v>649</v>
      </c>
      <c r="G5800" s="162">
        <v>1</v>
      </c>
    </row>
    <row r="5801" spans="2:7" ht="100.8">
      <c r="B5801" s="162" t="s">
        <v>2114</v>
      </c>
      <c r="C5801" s="162" t="s">
        <v>2513</v>
      </c>
      <c r="D5801" s="162" t="s">
        <v>2514</v>
      </c>
      <c r="F5801" s="162">
        <v>649</v>
      </c>
      <c r="G5801" s="162">
        <v>1</v>
      </c>
    </row>
    <row r="5802" spans="2:7" ht="100.8">
      <c r="B5802" s="162" t="s">
        <v>2114</v>
      </c>
      <c r="C5802" s="162" t="s">
        <v>2515</v>
      </c>
      <c r="D5802" s="162" t="s">
        <v>2516</v>
      </c>
      <c r="F5802" s="162">
        <v>649</v>
      </c>
      <c r="G5802" s="162">
        <v>1</v>
      </c>
    </row>
    <row r="5803" spans="2:7" ht="100.8">
      <c r="B5803" s="162" t="s">
        <v>2114</v>
      </c>
      <c r="C5803" s="162" t="s">
        <v>2517</v>
      </c>
      <c r="D5803" s="162" t="s">
        <v>2518</v>
      </c>
      <c r="F5803" s="162">
        <v>649</v>
      </c>
      <c r="G5803" s="162">
        <v>1</v>
      </c>
    </row>
    <row r="5804" spans="2:7" ht="100.8">
      <c r="B5804" s="162" t="s">
        <v>2114</v>
      </c>
      <c r="C5804" s="162" t="s">
        <v>2519</v>
      </c>
      <c r="D5804" s="162" t="s">
        <v>2520</v>
      </c>
      <c r="F5804" s="162">
        <v>649</v>
      </c>
      <c r="G5804" s="162">
        <v>1</v>
      </c>
    </row>
    <row r="5805" spans="2:7" ht="100.8">
      <c r="B5805" s="162" t="s">
        <v>2114</v>
      </c>
      <c r="C5805" s="162" t="s">
        <v>2521</v>
      </c>
      <c r="D5805" s="162" t="s">
        <v>2522</v>
      </c>
      <c r="F5805" s="162">
        <v>649</v>
      </c>
      <c r="G5805" s="162">
        <v>1</v>
      </c>
    </row>
    <row r="5806" spans="2:7" ht="100.8">
      <c r="B5806" s="162" t="s">
        <v>2114</v>
      </c>
      <c r="C5806" s="162" t="s">
        <v>2523</v>
      </c>
      <c r="D5806" s="162" t="s">
        <v>2524</v>
      </c>
      <c r="F5806" s="162">
        <v>649</v>
      </c>
      <c r="G5806" s="162">
        <v>1</v>
      </c>
    </row>
    <row r="5807" spans="2:7" ht="100.8">
      <c r="B5807" s="162" t="s">
        <v>2114</v>
      </c>
      <c r="C5807" s="162" t="s">
        <v>2525</v>
      </c>
      <c r="D5807" s="162" t="s">
        <v>2526</v>
      </c>
      <c r="F5807" s="162">
        <v>649</v>
      </c>
      <c r="G5807" s="162">
        <v>1</v>
      </c>
    </row>
    <row r="5808" spans="2:7" ht="100.8">
      <c r="B5808" s="162" t="s">
        <v>2114</v>
      </c>
      <c r="C5808" s="162" t="s">
        <v>2527</v>
      </c>
      <c r="D5808" s="162" t="s">
        <v>2528</v>
      </c>
      <c r="F5808" s="162">
        <v>649</v>
      </c>
      <c r="G5808" s="162">
        <v>1</v>
      </c>
    </row>
    <row r="5809" spans="2:7" ht="57.6">
      <c r="B5809" s="162" t="s">
        <v>2114</v>
      </c>
      <c r="C5809" s="162" t="s">
        <v>2529</v>
      </c>
      <c r="D5809" s="162" t="s">
        <v>2530</v>
      </c>
      <c r="F5809" s="162">
        <v>349.95</v>
      </c>
      <c r="G5809" s="162">
        <v>1</v>
      </c>
    </row>
    <row r="5810" spans="2:7" ht="57.6">
      <c r="B5810" s="162" t="s">
        <v>2114</v>
      </c>
      <c r="C5810" s="162" t="s">
        <v>2531</v>
      </c>
      <c r="D5810" s="162" t="s">
        <v>2532</v>
      </c>
      <c r="F5810" s="162">
        <v>349.95</v>
      </c>
      <c r="G5810" s="162">
        <v>1</v>
      </c>
    </row>
    <row r="5811" spans="2:7" ht="57.6">
      <c r="B5811" s="162" t="s">
        <v>2114</v>
      </c>
      <c r="C5811" s="162" t="s">
        <v>2533</v>
      </c>
      <c r="D5811" s="162" t="s">
        <v>2534</v>
      </c>
      <c r="F5811" s="162">
        <v>349.95</v>
      </c>
      <c r="G5811" s="162">
        <v>1</v>
      </c>
    </row>
    <row r="5812" spans="2:7" ht="43.2">
      <c r="B5812" s="162" t="s">
        <v>2114</v>
      </c>
      <c r="C5812" s="162" t="s">
        <v>2535</v>
      </c>
      <c r="D5812" s="162" t="s">
        <v>2536</v>
      </c>
      <c r="F5812" s="162">
        <v>399.95</v>
      </c>
      <c r="G5812" s="162">
        <v>1</v>
      </c>
    </row>
    <row r="5813" spans="2:7" ht="43.2">
      <c r="B5813" s="162" t="s">
        <v>2114</v>
      </c>
      <c r="C5813" s="162" t="s">
        <v>2537</v>
      </c>
      <c r="D5813" s="162" t="s">
        <v>2538</v>
      </c>
      <c r="F5813" s="162">
        <v>399.95</v>
      </c>
      <c r="G5813" s="162">
        <v>1</v>
      </c>
    </row>
    <row r="5814" spans="2:7" ht="43.2">
      <c r="B5814" s="162" t="s">
        <v>2114</v>
      </c>
      <c r="C5814" s="162" t="s">
        <v>2539</v>
      </c>
      <c r="D5814" s="162" t="s">
        <v>2540</v>
      </c>
      <c r="F5814" s="162">
        <v>399.95</v>
      </c>
      <c r="G5814" s="162">
        <v>1</v>
      </c>
    </row>
    <row r="5815" spans="2:7" ht="43.2">
      <c r="B5815" s="162" t="s">
        <v>2114</v>
      </c>
      <c r="C5815" s="162" t="s">
        <v>2541</v>
      </c>
      <c r="D5815" s="162" t="s">
        <v>2542</v>
      </c>
      <c r="F5815" s="162">
        <v>299.95</v>
      </c>
      <c r="G5815" s="162">
        <v>1</v>
      </c>
    </row>
    <row r="5816" spans="2:7" ht="43.2">
      <c r="B5816" s="162" t="s">
        <v>2114</v>
      </c>
      <c r="C5816" s="162" t="s">
        <v>2543</v>
      </c>
      <c r="D5816" s="162" t="s">
        <v>2544</v>
      </c>
      <c r="F5816" s="162">
        <v>299.95</v>
      </c>
      <c r="G5816" s="162">
        <v>1</v>
      </c>
    </row>
    <row r="5817" spans="2:7" ht="43.2">
      <c r="B5817" s="162" t="s">
        <v>2114</v>
      </c>
      <c r="C5817" s="162" t="s">
        <v>2545</v>
      </c>
      <c r="D5817" s="162" t="s">
        <v>2546</v>
      </c>
      <c r="F5817" s="162">
        <v>299.95</v>
      </c>
      <c r="G5817" s="162">
        <v>1</v>
      </c>
    </row>
    <row r="5818" spans="2:7" ht="43.2">
      <c r="B5818" s="162" t="s">
        <v>2114</v>
      </c>
      <c r="C5818" s="162" t="s">
        <v>2547</v>
      </c>
      <c r="D5818" s="162" t="s">
        <v>2548</v>
      </c>
      <c r="F5818" s="162">
        <v>299.95</v>
      </c>
      <c r="G5818" s="162">
        <v>1</v>
      </c>
    </row>
    <row r="5819" spans="2:7" ht="43.2">
      <c r="B5819" s="162" t="s">
        <v>2114</v>
      </c>
      <c r="C5819" s="162" t="s">
        <v>2549</v>
      </c>
      <c r="D5819" s="162" t="s">
        <v>2550</v>
      </c>
      <c r="F5819" s="162">
        <v>299.95</v>
      </c>
      <c r="G5819" s="162">
        <v>1</v>
      </c>
    </row>
    <row r="5820" spans="2:7" ht="43.2">
      <c r="B5820" s="162" t="s">
        <v>2114</v>
      </c>
      <c r="C5820" s="162" t="s">
        <v>2551</v>
      </c>
      <c r="D5820" s="162" t="s">
        <v>2552</v>
      </c>
      <c r="F5820" s="162">
        <v>299.95</v>
      </c>
      <c r="G5820" s="162">
        <v>1</v>
      </c>
    </row>
    <row r="5821" spans="2:7" ht="43.2">
      <c r="B5821" s="162" t="s">
        <v>2114</v>
      </c>
      <c r="C5821" s="162" t="s">
        <v>2553</v>
      </c>
      <c r="D5821" s="162" t="s">
        <v>2554</v>
      </c>
      <c r="F5821" s="162">
        <v>299.95</v>
      </c>
      <c r="G5821" s="162">
        <v>1</v>
      </c>
    </row>
    <row r="5822" spans="2:7" ht="43.2">
      <c r="B5822" s="162" t="s">
        <v>2114</v>
      </c>
      <c r="C5822" s="162" t="s">
        <v>2555</v>
      </c>
      <c r="D5822" s="162" t="s">
        <v>2556</v>
      </c>
      <c r="F5822" s="162">
        <v>299.95</v>
      </c>
      <c r="G5822" s="162">
        <v>1</v>
      </c>
    </row>
    <row r="5823" spans="2:7" ht="43.2">
      <c r="B5823" s="162" t="s">
        <v>2114</v>
      </c>
      <c r="C5823" s="162" t="s">
        <v>2557</v>
      </c>
      <c r="D5823" s="162" t="s">
        <v>2558</v>
      </c>
      <c r="F5823" s="162">
        <v>299.95</v>
      </c>
      <c r="G5823" s="162">
        <v>1</v>
      </c>
    </row>
    <row r="5824" spans="2:7" ht="43.2">
      <c r="B5824" s="162" t="s">
        <v>2114</v>
      </c>
      <c r="C5824" s="162" t="s">
        <v>2559</v>
      </c>
      <c r="D5824" s="162" t="s">
        <v>2560</v>
      </c>
      <c r="F5824" s="162">
        <v>299.95</v>
      </c>
      <c r="G5824" s="162">
        <v>1</v>
      </c>
    </row>
    <row r="5825" spans="2:7" ht="43.2">
      <c r="B5825" s="162" t="s">
        <v>2114</v>
      </c>
      <c r="C5825" s="162" t="s">
        <v>2561</v>
      </c>
      <c r="D5825" s="162" t="s">
        <v>2562</v>
      </c>
      <c r="F5825" s="162">
        <v>299.95</v>
      </c>
      <c r="G5825" s="162">
        <v>1</v>
      </c>
    </row>
    <row r="5826" spans="2:7" ht="43.2">
      <c r="B5826" s="162" t="s">
        <v>2114</v>
      </c>
      <c r="C5826" s="162" t="s">
        <v>2563</v>
      </c>
      <c r="D5826" s="162" t="s">
        <v>2564</v>
      </c>
      <c r="F5826" s="162">
        <v>299.95</v>
      </c>
      <c r="G5826" s="162">
        <v>1</v>
      </c>
    </row>
    <row r="5827" spans="2:7" ht="86.4">
      <c r="B5827" s="162" t="s">
        <v>2114</v>
      </c>
      <c r="C5827" s="162" t="s">
        <v>2565</v>
      </c>
      <c r="D5827" s="162" t="s">
        <v>2566</v>
      </c>
      <c r="F5827" s="162">
        <v>999</v>
      </c>
      <c r="G5827" s="162">
        <v>1</v>
      </c>
    </row>
    <row r="5828" spans="2:7" ht="86.4">
      <c r="B5828" s="162" t="s">
        <v>2114</v>
      </c>
      <c r="C5828" s="162" t="s">
        <v>2567</v>
      </c>
      <c r="D5828" s="162" t="s">
        <v>2568</v>
      </c>
      <c r="F5828" s="162">
        <v>999</v>
      </c>
      <c r="G5828" s="162">
        <v>1</v>
      </c>
    </row>
    <row r="5829" spans="2:7" ht="129.6">
      <c r="B5829" s="162" t="s">
        <v>2114</v>
      </c>
      <c r="C5829" s="162" t="s">
        <v>2569</v>
      </c>
      <c r="D5829" s="162" t="s">
        <v>2570</v>
      </c>
      <c r="F5829" s="162">
        <v>1095</v>
      </c>
      <c r="G5829" s="162">
        <v>1</v>
      </c>
    </row>
    <row r="5830" spans="2:7" ht="129.6">
      <c r="B5830" s="162" t="s">
        <v>2114</v>
      </c>
      <c r="C5830" s="162" t="s">
        <v>2571</v>
      </c>
      <c r="D5830" s="162" t="s">
        <v>2572</v>
      </c>
      <c r="F5830" s="162">
        <v>1095</v>
      </c>
      <c r="G5830" s="162">
        <v>1</v>
      </c>
    </row>
    <row r="5831" spans="2:7" ht="86.4">
      <c r="B5831" s="162" t="s">
        <v>2114</v>
      </c>
      <c r="C5831" s="162" t="s">
        <v>2573</v>
      </c>
      <c r="D5831" s="162" t="s">
        <v>2574</v>
      </c>
      <c r="F5831" s="162">
        <v>829</v>
      </c>
      <c r="G5831" s="162">
        <v>1</v>
      </c>
    </row>
    <row r="5832" spans="2:7" ht="86.4">
      <c r="B5832" s="162" t="s">
        <v>2114</v>
      </c>
      <c r="C5832" s="162" t="s">
        <v>2575</v>
      </c>
      <c r="D5832" s="162" t="s">
        <v>2576</v>
      </c>
      <c r="F5832" s="162">
        <v>829</v>
      </c>
      <c r="G5832" s="162">
        <v>1</v>
      </c>
    </row>
    <row r="5833" spans="2:7" ht="86.4">
      <c r="B5833" s="162" t="s">
        <v>2114</v>
      </c>
      <c r="C5833" s="162" t="s">
        <v>2577</v>
      </c>
      <c r="D5833" s="162" t="s">
        <v>2578</v>
      </c>
      <c r="F5833" s="162">
        <v>829</v>
      </c>
      <c r="G5833" s="162">
        <v>1</v>
      </c>
    </row>
    <row r="5834" spans="2:7" ht="86.4">
      <c r="B5834" s="162" t="s">
        <v>2114</v>
      </c>
      <c r="C5834" s="162" t="s">
        <v>2579</v>
      </c>
      <c r="D5834" s="162" t="s">
        <v>2580</v>
      </c>
      <c r="F5834" s="162">
        <v>829</v>
      </c>
      <c r="G5834" s="162">
        <v>1</v>
      </c>
    </row>
    <row r="5835" spans="2:7" ht="86.4">
      <c r="B5835" s="162" t="s">
        <v>2114</v>
      </c>
      <c r="C5835" s="162" t="s">
        <v>2581</v>
      </c>
      <c r="D5835" s="162" t="s">
        <v>2582</v>
      </c>
      <c r="F5835" s="162">
        <v>1195</v>
      </c>
      <c r="G5835" s="162">
        <v>1</v>
      </c>
    </row>
    <row r="5836" spans="2:7" ht="86.4">
      <c r="B5836" s="162" t="s">
        <v>2114</v>
      </c>
      <c r="C5836" s="162" t="s">
        <v>2583</v>
      </c>
      <c r="D5836" s="162" t="s">
        <v>2584</v>
      </c>
      <c r="F5836" s="162">
        <v>1195</v>
      </c>
      <c r="G5836" s="162">
        <v>1</v>
      </c>
    </row>
    <row r="5837" spans="2:7" ht="86.4">
      <c r="B5837" s="162" t="s">
        <v>2114</v>
      </c>
      <c r="C5837" s="162" t="s">
        <v>2585</v>
      </c>
      <c r="D5837" s="162" t="s">
        <v>2586</v>
      </c>
      <c r="F5837" s="162">
        <v>949</v>
      </c>
      <c r="G5837" s="162">
        <v>1</v>
      </c>
    </row>
    <row r="5838" spans="2:7" ht="86.4">
      <c r="B5838" s="162" t="s">
        <v>2114</v>
      </c>
      <c r="C5838" s="162" t="s">
        <v>2587</v>
      </c>
      <c r="D5838" s="162" t="s">
        <v>2588</v>
      </c>
      <c r="F5838" s="162">
        <v>949</v>
      </c>
      <c r="G5838" s="162">
        <v>1</v>
      </c>
    </row>
    <row r="5839" spans="2:7" ht="43.2">
      <c r="B5839" s="162" t="s">
        <v>2114</v>
      </c>
      <c r="C5839" s="162" t="s">
        <v>2589</v>
      </c>
      <c r="D5839" s="162" t="s">
        <v>2590</v>
      </c>
      <c r="F5839" s="162">
        <v>549</v>
      </c>
      <c r="G5839" s="162">
        <v>1</v>
      </c>
    </row>
    <row r="5840" spans="2:7" ht="43.2">
      <c r="B5840" s="162" t="s">
        <v>2114</v>
      </c>
      <c r="C5840" s="162" t="s">
        <v>2591</v>
      </c>
      <c r="D5840" s="162" t="s">
        <v>2592</v>
      </c>
      <c r="F5840" s="162">
        <v>549</v>
      </c>
      <c r="G5840" s="162">
        <v>1</v>
      </c>
    </row>
    <row r="5841" spans="2:7" ht="72">
      <c r="B5841" s="162" t="s">
        <v>2114</v>
      </c>
      <c r="C5841" s="162" t="s">
        <v>2593</v>
      </c>
      <c r="D5841" s="162" t="s">
        <v>2594</v>
      </c>
      <c r="F5841" s="162">
        <v>349.95</v>
      </c>
      <c r="G5841" s="162">
        <v>1</v>
      </c>
    </row>
    <row r="5842" spans="2:7" ht="72">
      <c r="B5842" s="162" t="s">
        <v>2114</v>
      </c>
      <c r="C5842" s="162" t="s">
        <v>2595</v>
      </c>
      <c r="D5842" s="162" t="s">
        <v>2596</v>
      </c>
      <c r="F5842" s="162">
        <v>349.95</v>
      </c>
      <c r="G5842" s="162">
        <v>1</v>
      </c>
    </row>
    <row r="5843" spans="2:7" ht="43.2">
      <c r="B5843" s="162" t="s">
        <v>2114</v>
      </c>
      <c r="C5843" s="162" t="s">
        <v>2597</v>
      </c>
      <c r="D5843" s="162" t="s">
        <v>2598</v>
      </c>
      <c r="F5843" s="162">
        <v>349.95</v>
      </c>
      <c r="G5843" s="162">
        <v>1</v>
      </c>
    </row>
    <row r="5844" spans="2:7" ht="43.2">
      <c r="B5844" s="162" t="s">
        <v>2114</v>
      </c>
      <c r="C5844" s="162" t="s">
        <v>2599</v>
      </c>
      <c r="D5844" s="162" t="s">
        <v>2600</v>
      </c>
      <c r="F5844" s="162">
        <v>349.95</v>
      </c>
      <c r="G5844" s="162">
        <v>1</v>
      </c>
    </row>
    <row r="5845" spans="2:7" ht="86.4">
      <c r="B5845" s="162" t="s">
        <v>2114</v>
      </c>
      <c r="C5845" s="162" t="s">
        <v>2601</v>
      </c>
      <c r="D5845" s="162" t="s">
        <v>2602</v>
      </c>
      <c r="F5845" s="162">
        <v>899</v>
      </c>
      <c r="G5845" s="162">
        <v>1</v>
      </c>
    </row>
    <row r="5846" spans="2:7" ht="86.4">
      <c r="B5846" s="162" t="s">
        <v>2114</v>
      </c>
      <c r="C5846" s="162" t="s">
        <v>2603</v>
      </c>
      <c r="D5846" s="162" t="s">
        <v>2604</v>
      </c>
      <c r="F5846" s="162">
        <v>899</v>
      </c>
      <c r="G5846" s="162">
        <v>1</v>
      </c>
    </row>
    <row r="5847" spans="2:7" ht="86.4">
      <c r="B5847" s="162" t="s">
        <v>2114</v>
      </c>
      <c r="C5847" s="162" t="s">
        <v>2605</v>
      </c>
      <c r="D5847" s="162" t="s">
        <v>2606</v>
      </c>
      <c r="F5847" s="162">
        <v>949</v>
      </c>
      <c r="G5847" s="162">
        <v>1</v>
      </c>
    </row>
    <row r="5848" spans="2:7" ht="86.4">
      <c r="B5848" s="162" t="s">
        <v>2114</v>
      </c>
      <c r="C5848" s="162" t="s">
        <v>2607</v>
      </c>
      <c r="D5848" s="162" t="s">
        <v>2608</v>
      </c>
      <c r="F5848" s="162">
        <v>949</v>
      </c>
      <c r="G5848" s="162">
        <v>1</v>
      </c>
    </row>
    <row r="5849" spans="2:7" ht="86.4">
      <c r="B5849" s="162" t="s">
        <v>2114</v>
      </c>
      <c r="C5849" s="162" t="s">
        <v>2609</v>
      </c>
      <c r="D5849" s="162" t="s">
        <v>2610</v>
      </c>
      <c r="F5849" s="162">
        <v>1295</v>
      </c>
      <c r="G5849" s="162">
        <v>1</v>
      </c>
    </row>
    <row r="5850" spans="2:7" ht="86.4">
      <c r="B5850" s="162" t="s">
        <v>2114</v>
      </c>
      <c r="C5850" s="162" t="s">
        <v>2611</v>
      </c>
      <c r="D5850" s="162" t="s">
        <v>2612</v>
      </c>
      <c r="F5850" s="162">
        <v>1295</v>
      </c>
      <c r="G5850" s="162">
        <v>1</v>
      </c>
    </row>
    <row r="5851" spans="2:7" ht="72">
      <c r="B5851" s="162" t="s">
        <v>2114</v>
      </c>
      <c r="C5851" s="162" t="s">
        <v>2613</v>
      </c>
      <c r="D5851" s="162" t="s">
        <v>2614</v>
      </c>
      <c r="F5851" s="162">
        <v>849</v>
      </c>
      <c r="G5851" s="162">
        <v>1</v>
      </c>
    </row>
    <row r="5852" spans="2:7" ht="72">
      <c r="B5852" s="162" t="s">
        <v>2114</v>
      </c>
      <c r="C5852" s="162" t="s">
        <v>2615</v>
      </c>
      <c r="D5852" s="162" t="s">
        <v>2616</v>
      </c>
      <c r="F5852" s="162">
        <v>849</v>
      </c>
      <c r="G5852" s="162">
        <v>1</v>
      </c>
    </row>
    <row r="5853" spans="2:7" ht="100.8">
      <c r="B5853" s="162" t="s">
        <v>2114</v>
      </c>
      <c r="C5853" s="162" t="s">
        <v>2617</v>
      </c>
      <c r="D5853" s="162" t="s">
        <v>2618</v>
      </c>
      <c r="F5853" s="162">
        <v>1600</v>
      </c>
      <c r="G5853" s="162">
        <v>1</v>
      </c>
    </row>
    <row r="5854" spans="2:7" ht="100.8">
      <c r="B5854" s="162" t="s">
        <v>2114</v>
      </c>
      <c r="C5854" s="162" t="s">
        <v>2619</v>
      </c>
      <c r="D5854" s="162" t="s">
        <v>2620</v>
      </c>
      <c r="F5854" s="162">
        <v>1600</v>
      </c>
      <c r="G5854" s="162">
        <v>1</v>
      </c>
    </row>
    <row r="5855" spans="2:7" ht="86.4">
      <c r="B5855" s="162" t="s">
        <v>2114</v>
      </c>
      <c r="C5855" s="162" t="s">
        <v>2621</v>
      </c>
      <c r="D5855" s="162" t="s">
        <v>2622</v>
      </c>
      <c r="F5855" s="162">
        <v>999</v>
      </c>
      <c r="G5855" s="162">
        <v>1</v>
      </c>
    </row>
    <row r="5856" spans="2:7" ht="86.4">
      <c r="B5856" s="162" t="s">
        <v>2114</v>
      </c>
      <c r="C5856" s="162" t="s">
        <v>2623</v>
      </c>
      <c r="D5856" s="162" t="s">
        <v>2624</v>
      </c>
      <c r="F5856" s="162">
        <v>999</v>
      </c>
      <c r="G5856" s="162">
        <v>1</v>
      </c>
    </row>
    <row r="5857" spans="2:7" ht="100.8">
      <c r="B5857" s="162" t="s">
        <v>2114</v>
      </c>
      <c r="C5857" s="162" t="s">
        <v>2625</v>
      </c>
      <c r="D5857" s="162" t="s">
        <v>2626</v>
      </c>
      <c r="F5857" s="162">
        <v>899</v>
      </c>
      <c r="G5857" s="162">
        <v>1</v>
      </c>
    </row>
    <row r="5858" spans="2:7" ht="100.8">
      <c r="B5858" s="162" t="s">
        <v>2114</v>
      </c>
      <c r="C5858" s="162" t="s">
        <v>2627</v>
      </c>
      <c r="D5858" s="162" t="s">
        <v>2628</v>
      </c>
      <c r="F5858" s="162">
        <v>899</v>
      </c>
      <c r="G5858" s="162">
        <v>1</v>
      </c>
    </row>
    <row r="5859" spans="2:7" ht="129.6">
      <c r="B5859" s="162" t="s">
        <v>2114</v>
      </c>
      <c r="C5859" s="162" t="s">
        <v>2629</v>
      </c>
      <c r="D5859" s="162" t="s">
        <v>2630</v>
      </c>
      <c r="F5859" s="162">
        <v>1295</v>
      </c>
      <c r="G5859" s="162">
        <v>1</v>
      </c>
    </row>
    <row r="5860" spans="2:7" ht="129.6">
      <c r="B5860" s="162" t="s">
        <v>2114</v>
      </c>
      <c r="C5860" s="162" t="s">
        <v>2631</v>
      </c>
      <c r="D5860" s="162" t="s">
        <v>2632</v>
      </c>
      <c r="F5860" s="162">
        <v>1295</v>
      </c>
      <c r="G5860" s="162">
        <v>1</v>
      </c>
    </row>
    <row r="5861" spans="2:7" ht="115.2">
      <c r="B5861" s="162" t="s">
        <v>2114</v>
      </c>
      <c r="C5861" s="162" t="s">
        <v>2633</v>
      </c>
      <c r="D5861" s="162" t="s">
        <v>2634</v>
      </c>
      <c r="F5861" s="162">
        <v>899</v>
      </c>
      <c r="G5861" s="162">
        <v>1</v>
      </c>
    </row>
    <row r="5862" spans="2:7" ht="115.2">
      <c r="B5862" s="162" t="s">
        <v>2114</v>
      </c>
      <c r="C5862" s="162" t="s">
        <v>2635</v>
      </c>
      <c r="D5862" s="162" t="s">
        <v>2636</v>
      </c>
      <c r="F5862" s="162">
        <v>899</v>
      </c>
      <c r="G5862" s="162">
        <v>1</v>
      </c>
    </row>
    <row r="5863" spans="2:7" ht="57.6">
      <c r="B5863" s="162" t="s">
        <v>2114</v>
      </c>
      <c r="C5863" s="162" t="s">
        <v>2637</v>
      </c>
      <c r="D5863" s="162" t="s">
        <v>2638</v>
      </c>
      <c r="F5863" s="162">
        <v>449.95</v>
      </c>
      <c r="G5863" s="162">
        <v>1</v>
      </c>
    </row>
    <row r="5864" spans="2:7" ht="57.6">
      <c r="B5864" s="162" t="s">
        <v>2114</v>
      </c>
      <c r="C5864" s="162" t="s">
        <v>2639</v>
      </c>
      <c r="D5864" s="162" t="s">
        <v>2640</v>
      </c>
      <c r="F5864" s="162">
        <v>449.95</v>
      </c>
      <c r="G5864" s="162">
        <v>1</v>
      </c>
    </row>
    <row r="5865" spans="2:7" ht="43.2">
      <c r="B5865" s="162" t="s">
        <v>2114</v>
      </c>
      <c r="C5865" s="162" t="s">
        <v>2641</v>
      </c>
      <c r="D5865" s="162" t="s">
        <v>2642</v>
      </c>
      <c r="F5865" s="162">
        <v>399.95</v>
      </c>
      <c r="G5865" s="162">
        <v>1</v>
      </c>
    </row>
    <row r="5866" spans="2:7" ht="43.2">
      <c r="B5866" s="162" t="s">
        <v>2114</v>
      </c>
      <c r="C5866" s="162" t="s">
        <v>2643</v>
      </c>
      <c r="D5866" s="162" t="s">
        <v>2644</v>
      </c>
      <c r="F5866" s="162">
        <v>399.95</v>
      </c>
      <c r="G5866" s="162">
        <v>1</v>
      </c>
    </row>
    <row r="5867" spans="2:7" ht="43.2">
      <c r="B5867" s="162" t="s">
        <v>2114</v>
      </c>
      <c r="C5867" s="162" t="s">
        <v>2645</v>
      </c>
      <c r="D5867" s="162" t="s">
        <v>2646</v>
      </c>
      <c r="F5867" s="162">
        <v>399.95</v>
      </c>
      <c r="G5867" s="162">
        <v>1</v>
      </c>
    </row>
    <row r="5868" spans="2:7" ht="43.2">
      <c r="B5868" s="162" t="s">
        <v>2114</v>
      </c>
      <c r="C5868" s="162" t="s">
        <v>2647</v>
      </c>
      <c r="D5868" s="162" t="s">
        <v>2648</v>
      </c>
      <c r="F5868" s="162">
        <v>399.95</v>
      </c>
      <c r="G5868" s="162">
        <v>1</v>
      </c>
    </row>
    <row r="5869" spans="2:7" ht="28.8">
      <c r="B5869" s="162" t="s">
        <v>2114</v>
      </c>
      <c r="C5869" s="162" t="s">
        <v>2649</v>
      </c>
      <c r="D5869" s="162" t="s">
        <v>2650</v>
      </c>
      <c r="F5869" s="162">
        <v>499.95</v>
      </c>
      <c r="G5869" s="162">
        <v>1</v>
      </c>
    </row>
    <row r="5870" spans="2:7" ht="28.8">
      <c r="B5870" s="162" t="s">
        <v>2114</v>
      </c>
      <c r="C5870" s="162" t="s">
        <v>2651</v>
      </c>
      <c r="D5870" s="162" t="s">
        <v>2652</v>
      </c>
      <c r="F5870" s="162">
        <v>499.95</v>
      </c>
      <c r="G5870" s="162">
        <v>1</v>
      </c>
    </row>
    <row r="5871" spans="2:7" ht="43.2">
      <c r="B5871" s="162" t="s">
        <v>2114</v>
      </c>
      <c r="C5871" s="162" t="s">
        <v>2653</v>
      </c>
      <c r="D5871" s="162" t="s">
        <v>2654</v>
      </c>
      <c r="F5871" s="162">
        <v>149.94999999999999</v>
      </c>
      <c r="G5871" s="162">
        <v>1</v>
      </c>
    </row>
    <row r="5872" spans="2:7" ht="43.2">
      <c r="B5872" s="162" t="s">
        <v>2114</v>
      </c>
      <c r="C5872" s="162" t="s">
        <v>2655</v>
      </c>
      <c r="D5872" s="162" t="s">
        <v>2656</v>
      </c>
      <c r="F5872" s="162">
        <v>279.95</v>
      </c>
      <c r="G5872" s="162">
        <v>1</v>
      </c>
    </row>
    <row r="5873" spans="2:7" ht="28.8">
      <c r="B5873" s="162" t="s">
        <v>2114</v>
      </c>
      <c r="C5873" s="162" t="s">
        <v>2657</v>
      </c>
      <c r="D5873" s="162" t="s">
        <v>2658</v>
      </c>
      <c r="F5873" s="162">
        <v>999</v>
      </c>
      <c r="G5873" s="162">
        <v>1</v>
      </c>
    </row>
    <row r="5874" spans="2:7" ht="43.2">
      <c r="B5874" s="162" t="s">
        <v>2114</v>
      </c>
      <c r="C5874" s="162" t="s">
        <v>2659</v>
      </c>
      <c r="D5874" s="162" t="s">
        <v>2660</v>
      </c>
      <c r="F5874" s="162">
        <v>199.95</v>
      </c>
      <c r="G5874" s="162">
        <v>1</v>
      </c>
    </row>
    <row r="5875" spans="2:7" ht="43.2">
      <c r="B5875" s="162" t="s">
        <v>2114</v>
      </c>
      <c r="C5875" s="162" t="s">
        <v>2661</v>
      </c>
      <c r="D5875" s="162" t="s">
        <v>2662</v>
      </c>
      <c r="F5875" s="162">
        <v>199.95</v>
      </c>
      <c r="G5875" s="162">
        <v>1</v>
      </c>
    </row>
    <row r="5876" spans="2:7" ht="57.6">
      <c r="B5876" s="162" t="s">
        <v>2114</v>
      </c>
      <c r="C5876" s="162" t="s">
        <v>2663</v>
      </c>
      <c r="D5876" s="162" t="s">
        <v>2664</v>
      </c>
      <c r="F5876" s="162">
        <v>9.25</v>
      </c>
      <c r="G5876" s="162">
        <v>1</v>
      </c>
    </row>
    <row r="5877" spans="2:7" ht="57.6">
      <c r="B5877" s="162" t="s">
        <v>2114</v>
      </c>
      <c r="C5877" s="162" t="s">
        <v>2149</v>
      </c>
      <c r="D5877" s="162" t="s">
        <v>2150</v>
      </c>
      <c r="F5877" s="162">
        <v>109.95</v>
      </c>
      <c r="G5877" s="162">
        <v>1</v>
      </c>
    </row>
    <row r="5878" spans="2:7" ht="28.8">
      <c r="B5878" s="162" t="s">
        <v>2114</v>
      </c>
      <c r="C5878" s="162" t="s">
        <v>2151</v>
      </c>
      <c r="D5878" s="162" t="s">
        <v>2152</v>
      </c>
      <c r="F5878" s="162">
        <v>44.95</v>
      </c>
      <c r="G5878" s="162">
        <v>1</v>
      </c>
    </row>
    <row r="5879" spans="2:7">
      <c r="B5879" s="162" t="s">
        <v>2114</v>
      </c>
      <c r="C5879" s="162" t="s">
        <v>2665</v>
      </c>
      <c r="D5879" s="162" t="s">
        <v>2666</v>
      </c>
      <c r="F5879" s="162">
        <v>21.95</v>
      </c>
      <c r="G5879" s="162">
        <v>1</v>
      </c>
    </row>
    <row r="5880" spans="2:7" ht="57.6">
      <c r="B5880" s="162" t="s">
        <v>2114</v>
      </c>
      <c r="C5880" s="162" t="s">
        <v>2667</v>
      </c>
      <c r="D5880" s="162" t="s">
        <v>2668</v>
      </c>
      <c r="F5880" s="162">
        <v>599</v>
      </c>
      <c r="G5880" s="162">
        <v>1</v>
      </c>
    </row>
    <row r="5881" spans="2:7" ht="43.2">
      <c r="B5881" s="162" t="s">
        <v>2114</v>
      </c>
      <c r="C5881" s="162" t="s">
        <v>2669</v>
      </c>
      <c r="D5881" s="162" t="s">
        <v>2670</v>
      </c>
      <c r="F5881" s="162">
        <v>299.95</v>
      </c>
      <c r="G5881" s="162">
        <v>1</v>
      </c>
    </row>
    <row r="5882" spans="2:7" ht="43.2">
      <c r="B5882" s="162" t="s">
        <v>2114</v>
      </c>
      <c r="C5882" s="162" t="s">
        <v>2671</v>
      </c>
      <c r="D5882" s="162" t="s">
        <v>2672</v>
      </c>
      <c r="F5882" s="162">
        <v>299.95</v>
      </c>
      <c r="G5882" s="162">
        <v>1</v>
      </c>
    </row>
    <row r="5883" spans="2:7" ht="72">
      <c r="B5883" s="162" t="s">
        <v>2114</v>
      </c>
      <c r="C5883" s="162" t="s">
        <v>2673</v>
      </c>
      <c r="D5883" s="162" t="s">
        <v>2674</v>
      </c>
      <c r="F5883" s="162">
        <v>299.95</v>
      </c>
      <c r="G5883" s="162">
        <v>1</v>
      </c>
    </row>
    <row r="5884" spans="2:7" ht="129.6">
      <c r="B5884" s="162" t="s">
        <v>2114</v>
      </c>
      <c r="C5884" s="162" t="s">
        <v>2675</v>
      </c>
      <c r="D5884" s="162" t="s">
        <v>2676</v>
      </c>
      <c r="F5884" s="162">
        <v>849</v>
      </c>
      <c r="G5884" s="162">
        <v>1</v>
      </c>
    </row>
    <row r="5885" spans="2:7" ht="129.6">
      <c r="B5885" s="162" t="s">
        <v>2114</v>
      </c>
      <c r="C5885" s="162" t="s">
        <v>2677</v>
      </c>
      <c r="D5885" s="162" t="s">
        <v>2678</v>
      </c>
      <c r="F5885" s="162">
        <v>849</v>
      </c>
      <c r="G5885" s="162">
        <v>1</v>
      </c>
    </row>
    <row r="5886" spans="2:7" ht="129.6">
      <c r="B5886" s="162" t="s">
        <v>2114</v>
      </c>
      <c r="C5886" s="162" t="s">
        <v>2679</v>
      </c>
      <c r="D5886" s="162" t="s">
        <v>2680</v>
      </c>
      <c r="F5886" s="162">
        <v>849</v>
      </c>
      <c r="G5886" s="162">
        <v>1</v>
      </c>
    </row>
    <row r="5887" spans="2:7" ht="115.2">
      <c r="B5887" s="162" t="s">
        <v>2114</v>
      </c>
      <c r="C5887" s="162" t="s">
        <v>2681</v>
      </c>
      <c r="D5887" s="162" t="s">
        <v>2682</v>
      </c>
      <c r="F5887" s="162">
        <v>799</v>
      </c>
      <c r="G5887" s="162">
        <v>1</v>
      </c>
    </row>
    <row r="5888" spans="2:7" ht="115.2">
      <c r="B5888" s="162" t="s">
        <v>2114</v>
      </c>
      <c r="C5888" s="162" t="s">
        <v>2683</v>
      </c>
      <c r="D5888" s="162" t="s">
        <v>2684</v>
      </c>
      <c r="F5888" s="162">
        <v>799</v>
      </c>
      <c r="G5888" s="162">
        <v>1</v>
      </c>
    </row>
    <row r="5889" spans="2:7" ht="115.2">
      <c r="B5889" s="162" t="s">
        <v>2114</v>
      </c>
      <c r="C5889" s="162" t="s">
        <v>2685</v>
      </c>
      <c r="D5889" s="162" t="s">
        <v>2686</v>
      </c>
      <c r="F5889" s="162">
        <v>799</v>
      </c>
      <c r="G5889" s="162">
        <v>1</v>
      </c>
    </row>
    <row r="5890" spans="2:7" ht="129.6">
      <c r="B5890" s="162" t="s">
        <v>2114</v>
      </c>
      <c r="C5890" s="162" t="s">
        <v>2687</v>
      </c>
      <c r="D5890" s="162" t="s">
        <v>2688</v>
      </c>
      <c r="F5890" s="162">
        <v>849</v>
      </c>
      <c r="G5890" s="162">
        <v>1</v>
      </c>
    </row>
    <row r="5891" spans="2:7" ht="129.6">
      <c r="B5891" s="162" t="s">
        <v>2114</v>
      </c>
      <c r="C5891" s="162" t="s">
        <v>2689</v>
      </c>
      <c r="D5891" s="162" t="s">
        <v>2690</v>
      </c>
      <c r="F5891" s="162">
        <v>849</v>
      </c>
      <c r="G5891" s="162">
        <v>1</v>
      </c>
    </row>
    <row r="5892" spans="2:7" ht="129.6">
      <c r="B5892" s="162" t="s">
        <v>2114</v>
      </c>
      <c r="C5892" s="162" t="s">
        <v>2691</v>
      </c>
      <c r="D5892" s="162" t="s">
        <v>2692</v>
      </c>
      <c r="F5892" s="162">
        <v>849</v>
      </c>
      <c r="G5892" s="162">
        <v>1</v>
      </c>
    </row>
    <row r="5893" spans="2:7" ht="172.8">
      <c r="B5893" s="162" t="s">
        <v>2114</v>
      </c>
      <c r="C5893" s="162" t="s">
        <v>2693</v>
      </c>
      <c r="D5893" s="162" t="s">
        <v>2694</v>
      </c>
      <c r="F5893" s="162">
        <v>1250</v>
      </c>
      <c r="G5893" s="162">
        <v>1</v>
      </c>
    </row>
    <row r="5894" spans="2:7" ht="172.8">
      <c r="B5894" s="162" t="s">
        <v>2114</v>
      </c>
      <c r="C5894" s="162" t="s">
        <v>2695</v>
      </c>
      <c r="D5894" s="162" t="s">
        <v>2696</v>
      </c>
      <c r="F5894" s="162">
        <v>1250</v>
      </c>
      <c r="G5894" s="162">
        <v>1</v>
      </c>
    </row>
    <row r="5895" spans="2:7" ht="172.8">
      <c r="B5895" s="162" t="s">
        <v>2114</v>
      </c>
      <c r="C5895" s="162" t="s">
        <v>2697</v>
      </c>
      <c r="D5895" s="162" t="s">
        <v>2698</v>
      </c>
      <c r="F5895" s="162">
        <v>1250</v>
      </c>
      <c r="G5895" s="162">
        <v>1</v>
      </c>
    </row>
    <row r="5896" spans="2:7" ht="115.2">
      <c r="B5896" s="162" t="s">
        <v>2114</v>
      </c>
      <c r="C5896" s="162" t="s">
        <v>2699</v>
      </c>
      <c r="D5896" s="162" t="s">
        <v>2700</v>
      </c>
      <c r="F5896" s="162">
        <v>899</v>
      </c>
      <c r="G5896" s="162">
        <v>1</v>
      </c>
    </row>
    <row r="5897" spans="2:7" ht="115.2">
      <c r="B5897" s="162" t="s">
        <v>2114</v>
      </c>
      <c r="C5897" s="162" t="s">
        <v>2701</v>
      </c>
      <c r="D5897" s="162" t="s">
        <v>2702</v>
      </c>
      <c r="F5897" s="162">
        <v>899</v>
      </c>
      <c r="G5897" s="162">
        <v>1</v>
      </c>
    </row>
    <row r="5898" spans="2:7" ht="115.2">
      <c r="B5898" s="162" t="s">
        <v>2114</v>
      </c>
      <c r="C5898" s="162" t="s">
        <v>2703</v>
      </c>
      <c r="D5898" s="162" t="s">
        <v>2704</v>
      </c>
      <c r="F5898" s="162">
        <v>899</v>
      </c>
      <c r="G5898" s="162">
        <v>1</v>
      </c>
    </row>
    <row r="5899" spans="2:7" ht="115.2">
      <c r="B5899" s="162" t="s">
        <v>2114</v>
      </c>
      <c r="C5899" s="162" t="s">
        <v>2705</v>
      </c>
      <c r="D5899" s="162" t="s">
        <v>2706</v>
      </c>
      <c r="F5899" s="162">
        <v>849</v>
      </c>
      <c r="G5899" s="162">
        <v>1</v>
      </c>
    </row>
    <row r="5900" spans="2:7" ht="115.2">
      <c r="B5900" s="162" t="s">
        <v>2114</v>
      </c>
      <c r="C5900" s="162" t="s">
        <v>2707</v>
      </c>
      <c r="D5900" s="162" t="s">
        <v>2708</v>
      </c>
      <c r="F5900" s="162">
        <v>849</v>
      </c>
      <c r="G5900" s="162">
        <v>1</v>
      </c>
    </row>
    <row r="5901" spans="2:7" ht="115.2">
      <c r="B5901" s="162" t="s">
        <v>2114</v>
      </c>
      <c r="C5901" s="162" t="s">
        <v>2709</v>
      </c>
      <c r="D5901" s="162" t="s">
        <v>2710</v>
      </c>
      <c r="F5901" s="162">
        <v>849</v>
      </c>
      <c r="G5901" s="162">
        <v>1</v>
      </c>
    </row>
    <row r="5902" spans="2:7" ht="129.6">
      <c r="B5902" s="162" t="s">
        <v>2114</v>
      </c>
      <c r="C5902" s="162" t="s">
        <v>2711</v>
      </c>
      <c r="D5902" s="162" t="s">
        <v>2712</v>
      </c>
      <c r="F5902" s="162">
        <v>699</v>
      </c>
      <c r="G5902" s="162">
        <v>1</v>
      </c>
    </row>
    <row r="5903" spans="2:7" ht="129.6">
      <c r="B5903" s="162" t="s">
        <v>2114</v>
      </c>
      <c r="C5903" s="162" t="s">
        <v>2713</v>
      </c>
      <c r="D5903" s="162" t="s">
        <v>2714</v>
      </c>
      <c r="F5903" s="162">
        <v>699</v>
      </c>
      <c r="G5903" s="162">
        <v>1</v>
      </c>
    </row>
    <row r="5904" spans="2:7" ht="129.6">
      <c r="B5904" s="162" t="s">
        <v>2114</v>
      </c>
      <c r="C5904" s="162" t="s">
        <v>2715</v>
      </c>
      <c r="D5904" s="162" t="s">
        <v>2716</v>
      </c>
      <c r="F5904" s="162">
        <v>699</v>
      </c>
      <c r="G5904" s="162">
        <v>1</v>
      </c>
    </row>
    <row r="5905" spans="2:7" ht="144">
      <c r="B5905" s="162" t="s">
        <v>2114</v>
      </c>
      <c r="C5905" s="162" t="s">
        <v>2717</v>
      </c>
      <c r="D5905" s="162" t="s">
        <v>2718</v>
      </c>
      <c r="F5905" s="162">
        <v>699</v>
      </c>
      <c r="G5905" s="162">
        <v>1</v>
      </c>
    </row>
    <row r="5906" spans="2:7" ht="144">
      <c r="B5906" s="162" t="s">
        <v>2114</v>
      </c>
      <c r="C5906" s="162" t="s">
        <v>2719</v>
      </c>
      <c r="D5906" s="162" t="s">
        <v>2720</v>
      </c>
      <c r="F5906" s="162">
        <v>699</v>
      </c>
      <c r="G5906" s="162">
        <v>1</v>
      </c>
    </row>
    <row r="5907" spans="2:7" ht="144">
      <c r="B5907" s="162" t="s">
        <v>2114</v>
      </c>
      <c r="C5907" s="162" t="s">
        <v>2721</v>
      </c>
      <c r="D5907" s="162" t="s">
        <v>2722</v>
      </c>
      <c r="F5907" s="162">
        <v>699</v>
      </c>
      <c r="G5907" s="162">
        <v>1</v>
      </c>
    </row>
    <row r="5908" spans="2:7" ht="43.2">
      <c r="B5908" s="162" t="s">
        <v>2114</v>
      </c>
      <c r="C5908" s="162" t="s">
        <v>2723</v>
      </c>
      <c r="D5908" s="162" t="s">
        <v>2724</v>
      </c>
      <c r="F5908" s="162">
        <v>349</v>
      </c>
      <c r="G5908" s="162">
        <v>1</v>
      </c>
    </row>
    <row r="5909" spans="2:7" ht="43.2">
      <c r="B5909" s="162" t="s">
        <v>2114</v>
      </c>
      <c r="C5909" s="162" t="s">
        <v>2725</v>
      </c>
      <c r="D5909" s="162" t="s">
        <v>2726</v>
      </c>
      <c r="F5909" s="162">
        <v>349</v>
      </c>
      <c r="G5909" s="162">
        <v>1</v>
      </c>
    </row>
    <row r="5910" spans="2:7" ht="43.2">
      <c r="B5910" s="162" t="s">
        <v>2114</v>
      </c>
      <c r="C5910" s="162" t="s">
        <v>2727</v>
      </c>
      <c r="D5910" s="162" t="s">
        <v>2728</v>
      </c>
      <c r="F5910" s="162">
        <v>349</v>
      </c>
      <c r="G5910" s="162">
        <v>1</v>
      </c>
    </row>
    <row r="5911" spans="2:7" ht="43.2">
      <c r="B5911" s="162" t="s">
        <v>2114</v>
      </c>
      <c r="C5911" s="162" t="s">
        <v>2729</v>
      </c>
      <c r="D5911" s="162" t="s">
        <v>2730</v>
      </c>
      <c r="F5911" s="162">
        <v>349</v>
      </c>
      <c r="G5911" s="162">
        <v>1</v>
      </c>
    </row>
    <row r="5912" spans="2:7" ht="43.2">
      <c r="B5912" s="162" t="s">
        <v>2114</v>
      </c>
      <c r="C5912" s="162" t="s">
        <v>2731</v>
      </c>
      <c r="D5912" s="162" t="s">
        <v>2732</v>
      </c>
      <c r="F5912" s="162">
        <v>349</v>
      </c>
      <c r="G5912" s="162">
        <v>1</v>
      </c>
    </row>
    <row r="5913" spans="2:7" ht="43.2">
      <c r="B5913" s="162" t="s">
        <v>2114</v>
      </c>
      <c r="C5913" s="162" t="s">
        <v>2733</v>
      </c>
      <c r="D5913" s="162" t="s">
        <v>2734</v>
      </c>
      <c r="F5913" s="162">
        <v>349</v>
      </c>
      <c r="G5913" s="162">
        <v>1</v>
      </c>
    </row>
    <row r="5914" spans="2:7" ht="57.6">
      <c r="B5914" s="162" t="s">
        <v>2114</v>
      </c>
      <c r="C5914" s="162" t="s">
        <v>2735</v>
      </c>
      <c r="D5914" s="162" t="s">
        <v>2736</v>
      </c>
      <c r="F5914" s="162">
        <v>349</v>
      </c>
      <c r="G5914" s="162">
        <v>1</v>
      </c>
    </row>
    <row r="5915" spans="2:7" ht="57.6">
      <c r="B5915" s="162" t="s">
        <v>2114</v>
      </c>
      <c r="C5915" s="162" t="s">
        <v>2737</v>
      </c>
      <c r="D5915" s="162" t="s">
        <v>2738</v>
      </c>
      <c r="F5915" s="162">
        <v>349</v>
      </c>
      <c r="G5915" s="162">
        <v>1</v>
      </c>
    </row>
    <row r="5916" spans="2:7" ht="57.6">
      <c r="B5916" s="162" t="s">
        <v>2114</v>
      </c>
      <c r="C5916" s="162" t="s">
        <v>2739</v>
      </c>
      <c r="D5916" s="162" t="s">
        <v>2740</v>
      </c>
      <c r="F5916" s="162">
        <v>349</v>
      </c>
      <c r="G5916" s="162">
        <v>1</v>
      </c>
    </row>
    <row r="5917" spans="2:7" ht="28.8">
      <c r="B5917" s="162" t="s">
        <v>2114</v>
      </c>
      <c r="C5917" s="162" t="s">
        <v>2741</v>
      </c>
      <c r="D5917" s="162" t="s">
        <v>2742</v>
      </c>
      <c r="F5917" s="162">
        <v>349</v>
      </c>
      <c r="G5917" s="162">
        <v>1</v>
      </c>
    </row>
    <row r="5918" spans="2:7" ht="43.2">
      <c r="B5918" s="162" t="s">
        <v>2114</v>
      </c>
      <c r="C5918" s="162" t="s">
        <v>2743</v>
      </c>
      <c r="D5918" s="162" t="s">
        <v>2744</v>
      </c>
      <c r="F5918" s="162">
        <v>249</v>
      </c>
      <c r="G5918" s="162">
        <v>1</v>
      </c>
    </row>
    <row r="5919" spans="2:7" ht="43.2">
      <c r="B5919" s="162" t="s">
        <v>2114</v>
      </c>
      <c r="C5919" s="162" t="s">
        <v>2745</v>
      </c>
      <c r="D5919" s="162" t="s">
        <v>2746</v>
      </c>
      <c r="F5919" s="162">
        <v>249</v>
      </c>
      <c r="G5919" s="162">
        <v>1</v>
      </c>
    </row>
    <row r="5920" spans="2:7" ht="43.2">
      <c r="B5920" s="162" t="s">
        <v>2114</v>
      </c>
      <c r="C5920" s="162" t="s">
        <v>2747</v>
      </c>
      <c r="D5920" s="162" t="s">
        <v>2748</v>
      </c>
      <c r="F5920" s="162">
        <v>35</v>
      </c>
      <c r="G5920" s="162">
        <v>1</v>
      </c>
    </row>
    <row r="5921" spans="2:7" ht="57.6">
      <c r="B5921" s="162" t="s">
        <v>2114</v>
      </c>
      <c r="C5921" s="162" t="s">
        <v>2749</v>
      </c>
      <c r="D5921" s="162" t="s">
        <v>2750</v>
      </c>
      <c r="F5921" s="162">
        <v>699</v>
      </c>
      <c r="G5921" s="162">
        <v>1</v>
      </c>
    </row>
    <row r="5922" spans="2:7" ht="57.6">
      <c r="B5922" s="162" t="s">
        <v>2114</v>
      </c>
      <c r="C5922" s="162" t="s">
        <v>2751</v>
      </c>
      <c r="D5922" s="162" t="s">
        <v>2750</v>
      </c>
      <c r="F5922" s="162">
        <v>699</v>
      </c>
      <c r="G5922" s="162">
        <v>1</v>
      </c>
    </row>
    <row r="5923" spans="2:7" ht="86.4">
      <c r="B5923" s="162" t="s">
        <v>2114</v>
      </c>
      <c r="C5923" s="162" t="s">
        <v>2752</v>
      </c>
      <c r="D5923" s="162" t="s">
        <v>2753</v>
      </c>
      <c r="F5923" s="162">
        <v>59</v>
      </c>
      <c r="G5923" s="162">
        <v>1</v>
      </c>
    </row>
    <row r="5924" spans="2:7" ht="43.2">
      <c r="B5924" s="162" t="s">
        <v>2114</v>
      </c>
      <c r="C5924" s="162" t="s">
        <v>2754</v>
      </c>
      <c r="D5924" s="162" t="s">
        <v>2755</v>
      </c>
      <c r="F5924" s="162">
        <v>25</v>
      </c>
      <c r="G5924" s="162">
        <v>1</v>
      </c>
    </row>
    <row r="5925" spans="2:7" ht="28.8">
      <c r="B5925" s="162" t="s">
        <v>2114</v>
      </c>
      <c r="C5925" s="162" t="s">
        <v>2756</v>
      </c>
      <c r="D5925" s="162" t="s">
        <v>2757</v>
      </c>
      <c r="F5925" s="162">
        <v>5.95</v>
      </c>
      <c r="G5925" s="162">
        <v>1</v>
      </c>
    </row>
    <row r="5926" spans="2:7" ht="28.8">
      <c r="B5926" s="162" t="s">
        <v>2114</v>
      </c>
      <c r="C5926" s="162" t="s">
        <v>2758</v>
      </c>
      <c r="D5926" s="162" t="s">
        <v>2759</v>
      </c>
      <c r="F5926" s="162">
        <v>12.95</v>
      </c>
      <c r="G5926" s="162">
        <v>1</v>
      </c>
    </row>
    <row r="5927" spans="2:7" ht="43.2">
      <c r="B5927" s="162" t="s">
        <v>2114</v>
      </c>
      <c r="C5927" s="162" t="s">
        <v>2760</v>
      </c>
      <c r="D5927" s="162" t="s">
        <v>2761</v>
      </c>
      <c r="F5927" s="162">
        <v>25</v>
      </c>
      <c r="G5927" s="162">
        <v>1</v>
      </c>
    </row>
    <row r="5928" spans="2:7" ht="43.2">
      <c r="B5928" s="162" t="s">
        <v>2114</v>
      </c>
      <c r="C5928" s="162" t="s">
        <v>2762</v>
      </c>
      <c r="D5928" s="162" t="s">
        <v>2763</v>
      </c>
      <c r="F5928" s="162">
        <v>25</v>
      </c>
      <c r="G5928" s="162">
        <v>1</v>
      </c>
    </row>
    <row r="5929" spans="2:7" ht="28.8">
      <c r="B5929" s="162" t="s">
        <v>2114</v>
      </c>
      <c r="C5929" s="162" t="s">
        <v>2764</v>
      </c>
      <c r="D5929" s="162" t="s">
        <v>2765</v>
      </c>
      <c r="F5929" s="162">
        <v>12.95</v>
      </c>
      <c r="G5929" s="162">
        <v>1</v>
      </c>
    </row>
    <row r="5930" spans="2:7" ht="28.8">
      <c r="B5930" s="162" t="s">
        <v>2114</v>
      </c>
      <c r="C5930" s="162" t="s">
        <v>2766</v>
      </c>
      <c r="D5930" s="162" t="s">
        <v>2767</v>
      </c>
      <c r="F5930" s="162">
        <v>59</v>
      </c>
      <c r="G5930" s="162">
        <v>1</v>
      </c>
    </row>
    <row r="5931" spans="2:7" ht="57.6">
      <c r="B5931" s="162" t="s">
        <v>2114</v>
      </c>
      <c r="C5931" s="162" t="s">
        <v>2768</v>
      </c>
      <c r="D5931" s="162" t="s">
        <v>2769</v>
      </c>
      <c r="F5931" s="162">
        <v>179</v>
      </c>
      <c r="G5931" s="162">
        <v>1</v>
      </c>
    </row>
    <row r="5932" spans="2:7" ht="43.2">
      <c r="B5932" s="162" t="s">
        <v>2114</v>
      </c>
      <c r="C5932" s="162" t="s">
        <v>2770</v>
      </c>
      <c r="D5932" s="162" t="s">
        <v>2771</v>
      </c>
      <c r="F5932" s="162">
        <v>75</v>
      </c>
      <c r="G5932" s="162">
        <v>1</v>
      </c>
    </row>
    <row r="5933" spans="2:7" ht="28.8">
      <c r="B5933" s="162" t="s">
        <v>2114</v>
      </c>
      <c r="C5933" s="162" t="s">
        <v>2772</v>
      </c>
      <c r="D5933" s="162" t="s">
        <v>2773</v>
      </c>
      <c r="F5933" s="162">
        <v>59</v>
      </c>
      <c r="G5933" s="162">
        <v>1</v>
      </c>
    </row>
    <row r="5934" spans="2:7">
      <c r="B5934" s="162" t="s">
        <v>2114</v>
      </c>
      <c r="C5934" s="162" t="s">
        <v>2774</v>
      </c>
      <c r="D5934" s="162" t="s">
        <v>2775</v>
      </c>
      <c r="F5934" s="162">
        <v>25</v>
      </c>
      <c r="G5934" s="162">
        <v>1</v>
      </c>
    </row>
    <row r="5935" spans="2:7">
      <c r="B5935" s="162" t="s">
        <v>2114</v>
      </c>
      <c r="C5935" s="162" t="s">
        <v>2776</v>
      </c>
      <c r="D5935" s="162" t="s">
        <v>2777</v>
      </c>
      <c r="F5935" s="162">
        <v>25</v>
      </c>
      <c r="G5935" s="162">
        <v>1</v>
      </c>
    </row>
    <row r="5936" spans="2:7" ht="115.2">
      <c r="B5936" s="162" t="s">
        <v>700</v>
      </c>
      <c r="C5936" s="162" t="s">
        <v>12238</v>
      </c>
      <c r="D5936" s="162" t="s">
        <v>12239</v>
      </c>
      <c r="F5936" s="162">
        <v>475</v>
      </c>
      <c r="G5936" s="162">
        <v>1</v>
      </c>
    </row>
    <row r="5937" spans="2:7" ht="115.2">
      <c r="B5937" s="162" t="s">
        <v>700</v>
      </c>
      <c r="C5937" s="162" t="s">
        <v>12240</v>
      </c>
      <c r="D5937" s="162" t="s">
        <v>12241</v>
      </c>
      <c r="F5937" s="162">
        <v>590</v>
      </c>
      <c r="G5937" s="162">
        <v>1</v>
      </c>
    </row>
    <row r="5938" spans="2:7" ht="115.2">
      <c r="B5938" s="162" t="s">
        <v>700</v>
      </c>
      <c r="C5938" s="162" t="s">
        <v>12242</v>
      </c>
      <c r="D5938" s="162" t="s">
        <v>12243</v>
      </c>
      <c r="F5938" s="162">
        <v>635</v>
      </c>
      <c r="G5938" s="162">
        <v>1</v>
      </c>
    </row>
    <row r="5939" spans="2:7" ht="115.2">
      <c r="B5939" s="162" t="s">
        <v>700</v>
      </c>
      <c r="C5939" s="162" t="s">
        <v>12244</v>
      </c>
      <c r="D5939" s="162" t="s">
        <v>12245</v>
      </c>
      <c r="F5939" s="162">
        <v>850</v>
      </c>
      <c r="G5939" s="162">
        <v>1</v>
      </c>
    </row>
    <row r="5940" spans="2:7" ht="115.2">
      <c r="B5940" s="162" t="s">
        <v>700</v>
      </c>
      <c r="C5940" s="162" t="s">
        <v>12246</v>
      </c>
      <c r="D5940" s="162" t="s">
        <v>12247</v>
      </c>
      <c r="F5940" s="162">
        <v>1290</v>
      </c>
      <c r="G5940" s="162">
        <v>1</v>
      </c>
    </row>
    <row r="5941" spans="2:7" ht="129.6">
      <c r="B5941" s="162" t="s">
        <v>700</v>
      </c>
      <c r="C5941" s="162" t="s">
        <v>12248</v>
      </c>
      <c r="D5941" s="162" t="s">
        <v>12249</v>
      </c>
      <c r="F5941" s="162">
        <v>2365</v>
      </c>
      <c r="G5941" s="162">
        <v>1</v>
      </c>
    </row>
    <row r="5942" spans="2:7" ht="144">
      <c r="B5942" s="162" t="s">
        <v>700</v>
      </c>
      <c r="C5942" s="162" t="s">
        <v>1778</v>
      </c>
      <c r="D5942" s="162" t="s">
        <v>1779</v>
      </c>
      <c r="F5942" s="162">
        <v>535</v>
      </c>
      <c r="G5942" s="162">
        <v>1</v>
      </c>
    </row>
    <row r="5943" spans="2:7" ht="158.4">
      <c r="B5943" s="162" t="s">
        <v>700</v>
      </c>
      <c r="C5943" s="162" t="s">
        <v>1780</v>
      </c>
      <c r="D5943" s="162" t="s">
        <v>1781</v>
      </c>
      <c r="F5943" s="162">
        <v>769</v>
      </c>
      <c r="G5943" s="162">
        <v>1</v>
      </c>
    </row>
    <row r="5944" spans="2:7" ht="158.4">
      <c r="B5944" s="162" t="s">
        <v>700</v>
      </c>
      <c r="C5944" s="162" t="s">
        <v>1782</v>
      </c>
      <c r="D5944" s="162" t="s">
        <v>1783</v>
      </c>
      <c r="F5944" s="162">
        <v>895</v>
      </c>
      <c r="G5944" s="162">
        <v>1</v>
      </c>
    </row>
    <row r="5945" spans="2:7" ht="158.4">
      <c r="B5945" s="162" t="s">
        <v>700</v>
      </c>
      <c r="C5945" s="162" t="s">
        <v>1784</v>
      </c>
      <c r="D5945" s="162" t="s">
        <v>1785</v>
      </c>
      <c r="F5945" s="162">
        <v>989</v>
      </c>
      <c r="G5945" s="162">
        <v>1</v>
      </c>
    </row>
    <row r="5946" spans="2:7" ht="172.8">
      <c r="B5946" s="162" t="s">
        <v>700</v>
      </c>
      <c r="C5946" s="162" t="s">
        <v>1786</v>
      </c>
      <c r="D5946" s="162" t="s">
        <v>1787</v>
      </c>
      <c r="F5946" s="162">
        <v>1069</v>
      </c>
      <c r="G5946" s="162">
        <v>1</v>
      </c>
    </row>
    <row r="5947" spans="2:7" ht="172.8">
      <c r="B5947" s="162" t="s">
        <v>700</v>
      </c>
      <c r="C5947" s="162" t="s">
        <v>12250</v>
      </c>
      <c r="D5947" s="162" t="s">
        <v>12251</v>
      </c>
      <c r="F5947" s="162">
        <v>2264</v>
      </c>
      <c r="G5947" s="162">
        <v>1</v>
      </c>
    </row>
    <row r="5948" spans="2:7" ht="172.8">
      <c r="B5948" s="162" t="s">
        <v>700</v>
      </c>
      <c r="C5948" s="162" t="s">
        <v>12252</v>
      </c>
      <c r="D5948" s="162" t="s">
        <v>12253</v>
      </c>
      <c r="F5948" s="162">
        <v>3096</v>
      </c>
      <c r="G5948" s="162">
        <v>1</v>
      </c>
    </row>
    <row r="5949" spans="2:7" ht="172.8">
      <c r="B5949" s="162" t="s">
        <v>700</v>
      </c>
      <c r="C5949" s="162" t="s">
        <v>12254</v>
      </c>
      <c r="D5949" s="162" t="s">
        <v>12255</v>
      </c>
      <c r="F5949" s="162" t="s">
        <v>12256</v>
      </c>
      <c r="G5949" s="162">
        <v>1</v>
      </c>
    </row>
    <row r="5950" spans="2:7" ht="187.2">
      <c r="B5950" s="162" t="s">
        <v>700</v>
      </c>
      <c r="C5950" s="162" t="s">
        <v>1788</v>
      </c>
      <c r="D5950" s="162" t="s">
        <v>1789</v>
      </c>
      <c r="F5950" s="162">
        <v>859</v>
      </c>
      <c r="G5950" s="162">
        <v>1</v>
      </c>
    </row>
    <row r="5951" spans="2:7" ht="187.2">
      <c r="B5951" s="162" t="s">
        <v>700</v>
      </c>
      <c r="C5951" s="162" t="s">
        <v>1790</v>
      </c>
      <c r="D5951" s="162" t="s">
        <v>1791</v>
      </c>
      <c r="F5951" s="162">
        <v>1125</v>
      </c>
      <c r="G5951" s="162">
        <v>1</v>
      </c>
    </row>
    <row r="5952" spans="2:7" ht="187.2">
      <c r="B5952" s="162" t="s">
        <v>700</v>
      </c>
      <c r="C5952" s="162" t="s">
        <v>1792</v>
      </c>
      <c r="D5952" s="162" t="s">
        <v>1793</v>
      </c>
      <c r="F5952" s="162">
        <v>1249</v>
      </c>
      <c r="G5952" s="162">
        <v>1</v>
      </c>
    </row>
    <row r="5953" spans="2:7" ht="187.2">
      <c r="B5953" s="162" t="s">
        <v>700</v>
      </c>
      <c r="C5953" s="162" t="s">
        <v>1794</v>
      </c>
      <c r="D5953" s="162" t="s">
        <v>1795</v>
      </c>
      <c r="F5953" s="162">
        <v>1565</v>
      </c>
      <c r="G5953" s="162">
        <v>1</v>
      </c>
    </row>
    <row r="5954" spans="2:7" ht="144">
      <c r="B5954" s="162" t="s">
        <v>700</v>
      </c>
      <c r="C5954" s="162" t="s">
        <v>12257</v>
      </c>
      <c r="D5954" s="162" t="s">
        <v>12258</v>
      </c>
      <c r="F5954" s="162">
        <v>755</v>
      </c>
      <c r="G5954" s="162">
        <v>1</v>
      </c>
    </row>
    <row r="5955" spans="2:7" ht="187.2">
      <c r="B5955" s="162" t="s">
        <v>700</v>
      </c>
      <c r="C5955" s="162" t="s">
        <v>1796</v>
      </c>
      <c r="D5955" s="162" t="s">
        <v>1797</v>
      </c>
      <c r="F5955" s="162">
        <v>1049</v>
      </c>
      <c r="G5955" s="162">
        <v>1</v>
      </c>
    </row>
    <row r="5956" spans="2:7" ht="201.6">
      <c r="B5956" s="162" t="s">
        <v>700</v>
      </c>
      <c r="C5956" s="162" t="s">
        <v>1798</v>
      </c>
      <c r="D5956" s="162" t="s">
        <v>1799</v>
      </c>
      <c r="F5956" s="162">
        <v>1259</v>
      </c>
      <c r="G5956" s="162">
        <v>1</v>
      </c>
    </row>
    <row r="5957" spans="2:7" ht="187.2">
      <c r="B5957" s="162" t="s">
        <v>700</v>
      </c>
      <c r="C5957" s="162" t="s">
        <v>1800</v>
      </c>
      <c r="D5957" s="162" t="s">
        <v>1801</v>
      </c>
      <c r="F5957" s="162">
        <v>1659</v>
      </c>
      <c r="G5957" s="162">
        <v>1</v>
      </c>
    </row>
    <row r="5958" spans="2:7" ht="187.2">
      <c r="B5958" s="162" t="s">
        <v>700</v>
      </c>
      <c r="C5958" s="162" t="s">
        <v>1802</v>
      </c>
      <c r="D5958" s="162" t="s">
        <v>1803</v>
      </c>
      <c r="F5958" s="162">
        <v>2399</v>
      </c>
      <c r="G5958" s="162">
        <v>1</v>
      </c>
    </row>
    <row r="5959" spans="2:7" ht="201.6">
      <c r="B5959" s="162" t="s">
        <v>700</v>
      </c>
      <c r="C5959" s="162" t="s">
        <v>12259</v>
      </c>
      <c r="D5959" s="162" t="s">
        <v>12260</v>
      </c>
      <c r="F5959" s="162">
        <v>3218</v>
      </c>
      <c r="G5959" s="162">
        <v>1</v>
      </c>
    </row>
    <row r="5960" spans="2:7" ht="201.6">
      <c r="B5960" s="162" t="s">
        <v>700</v>
      </c>
      <c r="C5960" s="162" t="s">
        <v>12261</v>
      </c>
      <c r="D5960" s="162" t="s">
        <v>12262</v>
      </c>
      <c r="F5960" s="162" t="s">
        <v>12263</v>
      </c>
      <c r="G5960" s="162">
        <v>1</v>
      </c>
    </row>
    <row r="5961" spans="2:7" ht="201.6">
      <c r="B5961" s="162" t="s">
        <v>700</v>
      </c>
      <c r="C5961" s="162" t="s">
        <v>12264</v>
      </c>
      <c r="D5961" s="162" t="s">
        <v>12265</v>
      </c>
      <c r="F5961" s="162" t="s">
        <v>12266</v>
      </c>
      <c r="G5961" s="162">
        <v>1</v>
      </c>
    </row>
    <row r="5962" spans="2:7" ht="201.6">
      <c r="B5962" s="162" t="s">
        <v>700</v>
      </c>
      <c r="C5962" s="162" t="s">
        <v>1804</v>
      </c>
      <c r="D5962" s="162" t="s">
        <v>1805</v>
      </c>
      <c r="F5962" s="162">
        <v>1259</v>
      </c>
      <c r="G5962" s="162">
        <v>1</v>
      </c>
    </row>
    <row r="5963" spans="2:7" ht="201.6">
      <c r="B5963" s="162" t="s">
        <v>700</v>
      </c>
      <c r="C5963" s="162" t="s">
        <v>1806</v>
      </c>
      <c r="D5963" s="162" t="s">
        <v>1807</v>
      </c>
      <c r="F5963" s="162">
        <v>1389</v>
      </c>
      <c r="G5963" s="162">
        <v>1</v>
      </c>
    </row>
    <row r="5964" spans="2:7" ht="201.6">
      <c r="B5964" s="162" t="s">
        <v>700</v>
      </c>
      <c r="C5964" s="162" t="s">
        <v>1808</v>
      </c>
      <c r="D5964" s="162" t="s">
        <v>1809</v>
      </c>
      <c r="F5964" s="162">
        <v>2049</v>
      </c>
      <c r="G5964" s="162">
        <v>1</v>
      </c>
    </row>
    <row r="5965" spans="2:7" ht="201.6">
      <c r="B5965" s="162" t="s">
        <v>700</v>
      </c>
      <c r="C5965" s="162" t="s">
        <v>12267</v>
      </c>
      <c r="D5965" s="162" t="s">
        <v>12268</v>
      </c>
      <c r="F5965" s="162">
        <v>1755</v>
      </c>
      <c r="G5965" s="162">
        <v>1</v>
      </c>
    </row>
    <row r="5966" spans="2:7" ht="201.6">
      <c r="B5966" s="162" t="s">
        <v>700</v>
      </c>
      <c r="C5966" s="162" t="s">
        <v>12269</v>
      </c>
      <c r="D5966" s="162" t="s">
        <v>12270</v>
      </c>
      <c r="F5966" s="162">
        <v>1959</v>
      </c>
      <c r="G5966" s="162">
        <v>1</v>
      </c>
    </row>
    <row r="5967" spans="2:7" ht="201.6">
      <c r="B5967" s="162" t="s">
        <v>700</v>
      </c>
      <c r="C5967" s="162" t="s">
        <v>12271</v>
      </c>
      <c r="D5967" s="162" t="s">
        <v>12272</v>
      </c>
      <c r="F5967" s="162">
        <v>2685</v>
      </c>
      <c r="G5967" s="162">
        <v>1</v>
      </c>
    </row>
    <row r="5968" spans="2:7" ht="100.8">
      <c r="B5968" s="162" t="s">
        <v>700</v>
      </c>
      <c r="C5968" s="162" t="s">
        <v>1810</v>
      </c>
      <c r="D5968" s="162" t="s">
        <v>1811</v>
      </c>
      <c r="E5968" s="162" t="s">
        <v>12273</v>
      </c>
      <c r="F5968" s="162">
        <v>8659</v>
      </c>
      <c r="G5968" s="162">
        <v>1</v>
      </c>
    </row>
    <row r="5969" spans="2:7" ht="100.8">
      <c r="B5969" s="162" t="s">
        <v>700</v>
      </c>
      <c r="C5969" s="162" t="s">
        <v>1812</v>
      </c>
      <c r="D5969" s="162" t="s">
        <v>1813</v>
      </c>
      <c r="E5969" s="162" t="s">
        <v>12274</v>
      </c>
      <c r="F5969" s="162">
        <v>5000</v>
      </c>
      <c r="G5969" s="162">
        <v>1</v>
      </c>
    </row>
    <row r="5970" spans="2:7" ht="100.8">
      <c r="B5970" s="162" t="s">
        <v>700</v>
      </c>
      <c r="C5970" s="162" t="s">
        <v>1814</v>
      </c>
      <c r="D5970" s="162" t="s">
        <v>1815</v>
      </c>
      <c r="E5970" s="162" t="s">
        <v>12275</v>
      </c>
      <c r="F5970" s="162">
        <v>13629</v>
      </c>
      <c r="G5970" s="162">
        <v>1</v>
      </c>
    </row>
    <row r="5971" spans="2:7" ht="115.2">
      <c r="B5971" s="162" t="s">
        <v>700</v>
      </c>
      <c r="C5971" s="162" t="s">
        <v>12276</v>
      </c>
      <c r="D5971" s="162" t="s">
        <v>12277</v>
      </c>
      <c r="E5971" s="162" t="s">
        <v>12278</v>
      </c>
      <c r="F5971" s="162">
        <v>126295</v>
      </c>
      <c r="G5971" s="162">
        <v>1</v>
      </c>
    </row>
    <row r="5972" spans="2:7" ht="172.8">
      <c r="B5972" s="162" t="s">
        <v>700</v>
      </c>
      <c r="C5972" s="162" t="s">
        <v>12279</v>
      </c>
      <c r="D5972" s="162" t="s">
        <v>12280</v>
      </c>
      <c r="F5972" s="162">
        <v>4919</v>
      </c>
      <c r="G5972" s="162">
        <v>1</v>
      </c>
    </row>
    <row r="5973" spans="2:7" ht="187.2">
      <c r="B5973" s="162" t="s">
        <v>700</v>
      </c>
      <c r="C5973" s="162" t="s">
        <v>12281</v>
      </c>
      <c r="D5973" s="162" t="s">
        <v>12282</v>
      </c>
      <c r="F5973" s="162">
        <v>4559</v>
      </c>
      <c r="G5973" s="162">
        <v>1</v>
      </c>
    </row>
    <row r="5974" spans="2:7" ht="230.4">
      <c r="B5974" s="162" t="s">
        <v>700</v>
      </c>
      <c r="C5974" s="162" t="s">
        <v>12283</v>
      </c>
      <c r="D5974" s="162" t="s">
        <v>12284</v>
      </c>
      <c r="F5974" s="162">
        <v>5725</v>
      </c>
      <c r="G5974" s="162">
        <v>1</v>
      </c>
    </row>
    <row r="5975" spans="2:7" ht="230.4">
      <c r="B5975" s="162" t="s">
        <v>700</v>
      </c>
      <c r="C5975" s="162" t="s">
        <v>12285</v>
      </c>
      <c r="D5975" s="162" t="s">
        <v>12286</v>
      </c>
      <c r="F5975" s="162">
        <v>5129</v>
      </c>
      <c r="G5975" s="162">
        <v>1</v>
      </c>
    </row>
    <row r="5976" spans="2:7" ht="100.8">
      <c r="B5976" s="162" t="s">
        <v>700</v>
      </c>
      <c r="C5976" s="162" t="s">
        <v>12287</v>
      </c>
      <c r="D5976" s="162" t="s">
        <v>12288</v>
      </c>
      <c r="F5976" s="162">
        <v>18209</v>
      </c>
      <c r="G5976" s="162">
        <v>1</v>
      </c>
    </row>
    <row r="5977" spans="2:7" ht="100.8">
      <c r="B5977" s="162" t="s">
        <v>700</v>
      </c>
      <c r="C5977" s="162" t="s">
        <v>12289</v>
      </c>
      <c r="D5977" s="162" t="s">
        <v>12290</v>
      </c>
      <c r="F5977" s="162">
        <v>40979</v>
      </c>
      <c r="G5977" s="162">
        <v>1</v>
      </c>
    </row>
    <row r="5978" spans="2:7" ht="100.8">
      <c r="B5978" s="162" t="s">
        <v>700</v>
      </c>
      <c r="C5978" s="162" t="s">
        <v>12291</v>
      </c>
      <c r="D5978" s="162" t="s">
        <v>12292</v>
      </c>
      <c r="F5978" s="162">
        <v>19649</v>
      </c>
      <c r="G5978" s="162">
        <v>1</v>
      </c>
    </row>
    <row r="5979" spans="2:7" ht="100.8">
      <c r="B5979" s="162" t="s">
        <v>700</v>
      </c>
      <c r="C5979" s="162" t="s">
        <v>12293</v>
      </c>
      <c r="D5979" s="162" t="s">
        <v>12294</v>
      </c>
      <c r="F5979" s="162">
        <v>44219</v>
      </c>
      <c r="G5979" s="162">
        <v>1</v>
      </c>
    </row>
    <row r="5980" spans="2:7" ht="86.4">
      <c r="B5980" s="162" t="s">
        <v>700</v>
      </c>
      <c r="C5980" s="162" t="s">
        <v>12295</v>
      </c>
      <c r="D5980" s="162" t="s">
        <v>12296</v>
      </c>
      <c r="F5980" s="162">
        <v>24019</v>
      </c>
      <c r="G5980" s="162">
        <v>1</v>
      </c>
    </row>
    <row r="5981" spans="2:7" ht="86.4">
      <c r="B5981" s="162" t="s">
        <v>700</v>
      </c>
      <c r="C5981" s="162" t="s">
        <v>12297</v>
      </c>
      <c r="D5981" s="162" t="s">
        <v>12298</v>
      </c>
      <c r="F5981" s="162">
        <v>53499</v>
      </c>
      <c r="G5981" s="162">
        <v>1</v>
      </c>
    </row>
    <row r="5982" spans="2:7" ht="86.4">
      <c r="B5982" s="162" t="s">
        <v>700</v>
      </c>
      <c r="C5982" s="162" t="s">
        <v>12299</v>
      </c>
      <c r="D5982" s="162" t="s">
        <v>12300</v>
      </c>
      <c r="F5982" s="162">
        <v>21625</v>
      </c>
      <c r="G5982" s="162">
        <v>1</v>
      </c>
    </row>
    <row r="5983" spans="2:7" ht="86.4">
      <c r="B5983" s="162" t="s">
        <v>700</v>
      </c>
      <c r="C5983" s="162" t="s">
        <v>12301</v>
      </c>
      <c r="D5983" s="162" t="s">
        <v>12302</v>
      </c>
      <c r="F5983" s="162">
        <v>48009</v>
      </c>
      <c r="G5983" s="162">
        <v>1</v>
      </c>
    </row>
    <row r="5984" spans="2:7" ht="72">
      <c r="B5984" s="162" t="s">
        <v>700</v>
      </c>
      <c r="C5984" s="162" t="s">
        <v>12303</v>
      </c>
      <c r="D5984" s="162" t="s">
        <v>12304</v>
      </c>
      <c r="F5984" s="162">
        <v>2945</v>
      </c>
      <c r="G5984" s="162">
        <v>1</v>
      </c>
    </row>
    <row r="5985" spans="2:7" ht="144">
      <c r="B5985" s="162" t="s">
        <v>700</v>
      </c>
      <c r="C5985" s="162" t="s">
        <v>12305</v>
      </c>
      <c r="D5985" s="162" t="s">
        <v>12306</v>
      </c>
      <c r="F5985" s="162">
        <v>1595</v>
      </c>
      <c r="G5985" s="162">
        <v>1</v>
      </c>
    </row>
    <row r="5986" spans="2:7" ht="144">
      <c r="B5986" s="162" t="s">
        <v>700</v>
      </c>
      <c r="C5986" s="162" t="s">
        <v>12307</v>
      </c>
      <c r="D5986" s="162" t="s">
        <v>12308</v>
      </c>
      <c r="F5986" s="162">
        <v>1995</v>
      </c>
      <c r="G5986" s="162">
        <v>1</v>
      </c>
    </row>
    <row r="5987" spans="2:7" ht="144">
      <c r="B5987" s="162" t="s">
        <v>700</v>
      </c>
      <c r="C5987" s="162" t="s">
        <v>12309</v>
      </c>
      <c r="D5987" s="162" t="s">
        <v>12310</v>
      </c>
      <c r="F5987" s="162">
        <v>3120</v>
      </c>
      <c r="G5987" s="162">
        <v>1</v>
      </c>
    </row>
    <row r="5988" spans="2:7" ht="144">
      <c r="B5988" s="162" t="s">
        <v>700</v>
      </c>
      <c r="C5988" s="162" t="s">
        <v>12311</v>
      </c>
      <c r="D5988" s="162" t="s">
        <v>12312</v>
      </c>
      <c r="F5988" s="162">
        <v>4495</v>
      </c>
      <c r="G5988" s="162">
        <v>1</v>
      </c>
    </row>
    <row r="5989" spans="2:7" ht="115.2">
      <c r="B5989" s="162" t="s">
        <v>700</v>
      </c>
      <c r="C5989" s="162" t="s">
        <v>12313</v>
      </c>
      <c r="D5989" s="162" t="s">
        <v>12314</v>
      </c>
      <c r="F5989" s="162">
        <v>4195</v>
      </c>
      <c r="G5989" s="162">
        <v>1</v>
      </c>
    </row>
    <row r="5990" spans="2:7" ht="115.2">
      <c r="B5990" s="162" t="s">
        <v>700</v>
      </c>
      <c r="C5990" s="162" t="s">
        <v>12315</v>
      </c>
      <c r="D5990" s="162" t="s">
        <v>12316</v>
      </c>
      <c r="F5990" s="162">
        <v>5595</v>
      </c>
      <c r="G5990" s="162">
        <v>1</v>
      </c>
    </row>
    <row r="5991" spans="2:7" ht="115.2">
      <c r="B5991" s="162" t="s">
        <v>700</v>
      </c>
      <c r="C5991" s="162" t="s">
        <v>12317</v>
      </c>
      <c r="D5991" s="162" t="s">
        <v>12318</v>
      </c>
      <c r="F5991" s="162">
        <v>8150</v>
      </c>
      <c r="G5991" s="162">
        <v>1</v>
      </c>
    </row>
    <row r="5992" spans="2:7" ht="115.2">
      <c r="B5992" s="162" t="s">
        <v>700</v>
      </c>
      <c r="C5992" s="162" t="s">
        <v>12319</v>
      </c>
      <c r="D5992" s="162" t="s">
        <v>12320</v>
      </c>
      <c r="F5992" s="162">
        <v>3195</v>
      </c>
      <c r="G5992" s="162">
        <v>1</v>
      </c>
    </row>
    <row r="5993" spans="2:7" ht="115.2">
      <c r="B5993" s="162" t="s">
        <v>700</v>
      </c>
      <c r="C5993" s="162" t="s">
        <v>12321</v>
      </c>
      <c r="D5993" s="162" t="s">
        <v>12322</v>
      </c>
      <c r="F5993" s="162">
        <v>4195</v>
      </c>
      <c r="G5993" s="162">
        <v>1</v>
      </c>
    </row>
    <row r="5994" spans="2:7" ht="115.2">
      <c r="B5994" s="162" t="s">
        <v>700</v>
      </c>
      <c r="C5994" s="162" t="s">
        <v>12323</v>
      </c>
      <c r="D5994" s="162" t="s">
        <v>12324</v>
      </c>
      <c r="F5994" s="162">
        <v>6995</v>
      </c>
      <c r="G5994" s="162">
        <v>1</v>
      </c>
    </row>
    <row r="5995" spans="2:7" ht="158.4">
      <c r="B5995" s="162" t="s">
        <v>700</v>
      </c>
      <c r="C5995" s="162" t="s">
        <v>12325</v>
      </c>
      <c r="D5995" s="162" t="s">
        <v>12326</v>
      </c>
      <c r="F5995" s="162">
        <v>7495</v>
      </c>
      <c r="G5995" s="162">
        <v>1</v>
      </c>
    </row>
    <row r="5996" spans="2:7" ht="115.2">
      <c r="B5996" s="162" t="s">
        <v>700</v>
      </c>
      <c r="C5996" s="162" t="s">
        <v>12327</v>
      </c>
      <c r="D5996" s="162" t="s">
        <v>12328</v>
      </c>
      <c r="E5996" s="162" t="s">
        <v>12329</v>
      </c>
      <c r="F5996" s="162">
        <v>204499</v>
      </c>
      <c r="G5996" s="162">
        <v>1</v>
      </c>
    </row>
    <row r="5997" spans="2:7" ht="129.6">
      <c r="B5997" s="162" t="s">
        <v>700</v>
      </c>
      <c r="C5997" s="162" t="s">
        <v>12330</v>
      </c>
      <c r="D5997" s="162" t="s">
        <v>12331</v>
      </c>
      <c r="E5997" s="162" t="s">
        <v>12329</v>
      </c>
      <c r="F5997" s="162">
        <v>76862</v>
      </c>
      <c r="G5997" s="162">
        <v>1</v>
      </c>
    </row>
    <row r="5998" spans="2:7" ht="115.2">
      <c r="B5998" s="162" t="s">
        <v>700</v>
      </c>
      <c r="C5998" s="162" t="s">
        <v>12332</v>
      </c>
      <c r="D5998" s="162" t="s">
        <v>12333</v>
      </c>
      <c r="E5998" s="162" t="s">
        <v>12329</v>
      </c>
      <c r="F5998" s="162">
        <v>47649</v>
      </c>
      <c r="G5998" s="162">
        <v>1</v>
      </c>
    </row>
    <row r="5999" spans="2:7" ht="115.2">
      <c r="B5999" s="162" t="s">
        <v>700</v>
      </c>
      <c r="C5999" s="162" t="s">
        <v>12334</v>
      </c>
      <c r="D5999" s="162" t="s">
        <v>12335</v>
      </c>
      <c r="E5999" s="162" t="s">
        <v>12329</v>
      </c>
      <c r="F5999" s="162">
        <v>67999</v>
      </c>
      <c r="G5999" s="162">
        <v>1</v>
      </c>
    </row>
    <row r="6000" spans="2:7" ht="115.2">
      <c r="B6000" s="162" t="s">
        <v>700</v>
      </c>
      <c r="C6000" s="162" t="s">
        <v>12336</v>
      </c>
      <c r="D6000" s="162" t="s">
        <v>12337</v>
      </c>
      <c r="E6000" s="162" t="s">
        <v>12329</v>
      </c>
      <c r="F6000" s="162">
        <v>82749</v>
      </c>
      <c r="G6000" s="162">
        <v>1</v>
      </c>
    </row>
    <row r="6001" spans="2:7" ht="115.2">
      <c r="B6001" s="162" t="s">
        <v>700</v>
      </c>
      <c r="C6001" s="162" t="s">
        <v>12338</v>
      </c>
      <c r="D6001" s="162" t="s">
        <v>12339</v>
      </c>
      <c r="E6001" s="162" t="s">
        <v>12329</v>
      </c>
      <c r="F6001" s="162">
        <v>87799</v>
      </c>
      <c r="G6001" s="162">
        <v>1</v>
      </c>
    </row>
    <row r="6002" spans="2:7" ht="115.2">
      <c r="B6002" s="162" t="s">
        <v>700</v>
      </c>
      <c r="C6002" s="162" t="s">
        <v>12340</v>
      </c>
      <c r="D6002" s="162" t="s">
        <v>12341</v>
      </c>
      <c r="E6002" s="162" t="s">
        <v>12329</v>
      </c>
      <c r="F6002" s="162">
        <v>244999</v>
      </c>
      <c r="G6002" s="162">
        <v>1</v>
      </c>
    </row>
    <row r="6003" spans="2:7" ht="115.2">
      <c r="B6003" s="162" t="s">
        <v>700</v>
      </c>
      <c r="C6003" s="162" t="s">
        <v>12342</v>
      </c>
      <c r="D6003" s="162" t="s">
        <v>12343</v>
      </c>
      <c r="E6003" s="162" t="s">
        <v>12329</v>
      </c>
      <c r="F6003" s="162">
        <v>104199</v>
      </c>
      <c r="G6003" s="162">
        <v>1</v>
      </c>
    </row>
    <row r="6004" spans="2:7" ht="115.2">
      <c r="B6004" s="162" t="s">
        <v>700</v>
      </c>
      <c r="C6004" s="162" t="s">
        <v>12344</v>
      </c>
      <c r="D6004" s="162" t="s">
        <v>12345</v>
      </c>
      <c r="E6004" s="162" t="s">
        <v>12346</v>
      </c>
      <c r="F6004" s="162">
        <v>54499</v>
      </c>
      <c r="G6004" s="162">
        <v>1</v>
      </c>
    </row>
    <row r="6005" spans="2:7" ht="115.2">
      <c r="B6005" s="162" t="s">
        <v>700</v>
      </c>
      <c r="C6005" s="162" t="s">
        <v>12347</v>
      </c>
      <c r="D6005" s="162" t="s">
        <v>12348</v>
      </c>
      <c r="E6005" s="162" t="s">
        <v>12346</v>
      </c>
      <c r="F6005" s="162">
        <v>66249</v>
      </c>
      <c r="G6005" s="162">
        <v>1</v>
      </c>
    </row>
    <row r="6006" spans="2:7" ht="115.2">
      <c r="B6006" s="162" t="s">
        <v>700</v>
      </c>
      <c r="C6006" s="162" t="s">
        <v>12349</v>
      </c>
      <c r="D6006" s="162" t="s">
        <v>12350</v>
      </c>
      <c r="E6006" s="162" t="s">
        <v>12346</v>
      </c>
      <c r="F6006" s="162">
        <v>70699</v>
      </c>
      <c r="G6006" s="162">
        <v>1</v>
      </c>
    </row>
    <row r="6007" spans="2:7" ht="115.2">
      <c r="B6007" s="162" t="s">
        <v>700</v>
      </c>
      <c r="C6007" s="162" t="s">
        <v>12351</v>
      </c>
      <c r="D6007" s="162" t="s">
        <v>12352</v>
      </c>
      <c r="E6007" s="162" t="s">
        <v>12346</v>
      </c>
      <c r="F6007" s="162">
        <v>198189</v>
      </c>
      <c r="G6007" s="162">
        <v>1</v>
      </c>
    </row>
    <row r="6008" spans="2:7" ht="115.2">
      <c r="B6008" s="162" t="s">
        <v>700</v>
      </c>
      <c r="C6008" s="162" t="s">
        <v>12353</v>
      </c>
      <c r="D6008" s="162" t="s">
        <v>12354</v>
      </c>
      <c r="E6008" s="162" t="s">
        <v>12346</v>
      </c>
      <c r="F6008" s="162">
        <v>101999</v>
      </c>
      <c r="G6008" s="162">
        <v>1</v>
      </c>
    </row>
    <row r="6009" spans="2:7" ht="115.2">
      <c r="B6009" s="162" t="s">
        <v>700</v>
      </c>
      <c r="C6009" s="162" t="s">
        <v>12355</v>
      </c>
      <c r="D6009" s="162" t="s">
        <v>12356</v>
      </c>
      <c r="E6009" s="162" t="s">
        <v>12357</v>
      </c>
      <c r="F6009" s="162">
        <v>283749</v>
      </c>
      <c r="G6009" s="162">
        <v>1</v>
      </c>
    </row>
    <row r="6010" spans="2:7" ht="115.2">
      <c r="B6010" s="162" t="s">
        <v>700</v>
      </c>
      <c r="C6010" s="162" t="s">
        <v>12358</v>
      </c>
      <c r="D6010" s="162" t="s">
        <v>12359</v>
      </c>
      <c r="E6010" s="162" t="s">
        <v>12357</v>
      </c>
      <c r="F6010" s="162">
        <v>78198</v>
      </c>
      <c r="G6010" s="162">
        <v>1</v>
      </c>
    </row>
    <row r="6011" spans="2:7" ht="129.6">
      <c r="B6011" s="162" t="s">
        <v>700</v>
      </c>
      <c r="C6011" s="162" t="s">
        <v>12360</v>
      </c>
      <c r="D6011" s="162" t="s">
        <v>12361</v>
      </c>
      <c r="E6011" s="162" t="s">
        <v>12357</v>
      </c>
      <c r="F6011" s="162">
        <v>299447</v>
      </c>
      <c r="G6011" s="162">
        <v>1</v>
      </c>
    </row>
    <row r="6012" spans="2:7" ht="115.2">
      <c r="B6012" s="162" t="s">
        <v>700</v>
      </c>
      <c r="C6012" s="162" t="s">
        <v>12362</v>
      </c>
      <c r="D6012" s="162" t="s">
        <v>12363</v>
      </c>
      <c r="E6012" s="162" t="s">
        <v>12357</v>
      </c>
      <c r="F6012" s="162">
        <v>97385</v>
      </c>
      <c r="G6012" s="162">
        <v>1</v>
      </c>
    </row>
    <row r="6013" spans="2:7" ht="115.2">
      <c r="B6013" s="162" t="s">
        <v>700</v>
      </c>
      <c r="C6013" s="162" t="s">
        <v>12364</v>
      </c>
      <c r="D6013" s="162" t="s">
        <v>12365</v>
      </c>
      <c r="E6013" s="162" t="s">
        <v>12366</v>
      </c>
      <c r="F6013" s="162">
        <v>246499</v>
      </c>
      <c r="G6013" s="162">
        <v>1</v>
      </c>
    </row>
    <row r="6014" spans="2:7" ht="115.2">
      <c r="B6014" s="162" t="s">
        <v>700</v>
      </c>
      <c r="C6014" s="162" t="s">
        <v>12367</v>
      </c>
      <c r="D6014" s="162" t="s">
        <v>12368</v>
      </c>
      <c r="E6014" s="162" t="s">
        <v>12366</v>
      </c>
      <c r="F6014" s="162">
        <v>55699</v>
      </c>
      <c r="G6014" s="162">
        <v>1</v>
      </c>
    </row>
    <row r="6015" spans="2:7" ht="115.2">
      <c r="B6015" s="162" t="s">
        <v>700</v>
      </c>
      <c r="C6015" s="162" t="s">
        <v>12369</v>
      </c>
      <c r="D6015" s="162" t="s">
        <v>12370</v>
      </c>
      <c r="E6015" s="162" t="s">
        <v>12366</v>
      </c>
      <c r="F6015" s="162">
        <v>73999</v>
      </c>
      <c r="G6015" s="162">
        <v>1</v>
      </c>
    </row>
    <row r="6016" spans="2:7" ht="115.2">
      <c r="B6016" s="162" t="s">
        <v>700</v>
      </c>
      <c r="C6016" s="162" t="s">
        <v>12371</v>
      </c>
      <c r="D6016" s="162" t="s">
        <v>12372</v>
      </c>
      <c r="E6016" s="162" t="s">
        <v>12366</v>
      </c>
      <c r="F6016" s="162">
        <v>91749</v>
      </c>
      <c r="G6016" s="162">
        <v>1</v>
      </c>
    </row>
    <row r="6017" spans="2:7" ht="115.2">
      <c r="B6017" s="162" t="s">
        <v>700</v>
      </c>
      <c r="C6017" s="162" t="s">
        <v>12373</v>
      </c>
      <c r="D6017" s="162" t="s">
        <v>12374</v>
      </c>
      <c r="E6017" s="162" t="s">
        <v>12366</v>
      </c>
      <c r="F6017" s="162">
        <v>99499</v>
      </c>
      <c r="G6017" s="162">
        <v>1</v>
      </c>
    </row>
    <row r="6018" spans="2:7" ht="115.2">
      <c r="B6018" s="162" t="s">
        <v>700</v>
      </c>
      <c r="C6018" s="162" t="s">
        <v>12375</v>
      </c>
      <c r="D6018" s="162" t="s">
        <v>12376</v>
      </c>
      <c r="E6018" s="162" t="s">
        <v>12366</v>
      </c>
      <c r="F6018" s="162">
        <v>272999</v>
      </c>
      <c r="G6018" s="162">
        <v>1</v>
      </c>
    </row>
    <row r="6019" spans="2:7" ht="115.2">
      <c r="B6019" s="162" t="s">
        <v>700</v>
      </c>
      <c r="C6019" s="162" t="s">
        <v>12377</v>
      </c>
      <c r="D6019" s="162" t="s">
        <v>12378</v>
      </c>
      <c r="E6019" s="162" t="s">
        <v>12366</v>
      </c>
      <c r="F6019" s="162">
        <v>138599</v>
      </c>
      <c r="G6019" s="162">
        <v>1</v>
      </c>
    </row>
    <row r="6020" spans="2:7" ht="57.6">
      <c r="B6020" s="162" t="s">
        <v>700</v>
      </c>
      <c r="C6020" s="162" t="s">
        <v>12379</v>
      </c>
      <c r="D6020" s="162" t="s">
        <v>12380</v>
      </c>
      <c r="F6020" s="162">
        <v>2579</v>
      </c>
      <c r="G6020" s="162">
        <v>1</v>
      </c>
    </row>
    <row r="6021" spans="2:7" ht="57.6">
      <c r="B6021" s="162" t="s">
        <v>700</v>
      </c>
      <c r="C6021" s="162" t="s">
        <v>12381</v>
      </c>
      <c r="D6021" s="162" t="s">
        <v>12382</v>
      </c>
      <c r="F6021" s="162">
        <v>2159</v>
      </c>
      <c r="G6021" s="162">
        <v>1</v>
      </c>
    </row>
    <row r="6022" spans="2:7" ht="57.6">
      <c r="B6022" s="162" t="s">
        <v>700</v>
      </c>
      <c r="C6022" s="162" t="s">
        <v>12383</v>
      </c>
      <c r="D6022" s="162" t="s">
        <v>12384</v>
      </c>
      <c r="F6022" s="162">
        <v>2485</v>
      </c>
      <c r="G6022" s="162">
        <v>1</v>
      </c>
    </row>
    <row r="6023" spans="2:7" ht="100.8">
      <c r="B6023" s="162" t="s">
        <v>700</v>
      </c>
      <c r="C6023" s="162" t="s">
        <v>12385</v>
      </c>
      <c r="D6023" s="162" t="s">
        <v>12386</v>
      </c>
      <c r="F6023" s="162">
        <v>3149</v>
      </c>
      <c r="G6023" s="162">
        <v>1</v>
      </c>
    </row>
    <row r="6024" spans="2:7" ht="100.8">
      <c r="B6024" s="162" t="s">
        <v>700</v>
      </c>
      <c r="C6024" s="162" t="s">
        <v>12387</v>
      </c>
      <c r="D6024" s="162" t="s">
        <v>12388</v>
      </c>
      <c r="F6024" s="162">
        <v>3499</v>
      </c>
      <c r="G6024" s="162">
        <v>1</v>
      </c>
    </row>
    <row r="6025" spans="2:7" ht="158.4">
      <c r="B6025" s="162" t="s">
        <v>700</v>
      </c>
      <c r="C6025" s="162" t="s">
        <v>12389</v>
      </c>
      <c r="D6025" s="162" t="s">
        <v>12390</v>
      </c>
      <c r="F6025" s="162">
        <v>5619</v>
      </c>
      <c r="G6025" s="162">
        <v>1</v>
      </c>
    </row>
    <row r="6026" spans="2:7" ht="158.4">
      <c r="B6026" s="162" t="s">
        <v>700</v>
      </c>
      <c r="C6026" s="162" t="s">
        <v>12391</v>
      </c>
      <c r="D6026" s="162" t="s">
        <v>12390</v>
      </c>
      <c r="F6026" s="162">
        <v>5619</v>
      </c>
      <c r="G6026" s="162">
        <v>1</v>
      </c>
    </row>
    <row r="6027" spans="2:7" ht="158.4">
      <c r="B6027" s="162" t="s">
        <v>700</v>
      </c>
      <c r="C6027" s="162" t="s">
        <v>12392</v>
      </c>
      <c r="D6027" s="162" t="s">
        <v>12393</v>
      </c>
      <c r="F6027" s="162">
        <v>9179</v>
      </c>
      <c r="G6027" s="162">
        <v>1</v>
      </c>
    </row>
    <row r="6028" spans="2:7" ht="86.4">
      <c r="B6028" s="162" t="s">
        <v>700</v>
      </c>
      <c r="C6028" s="162" t="s">
        <v>12394</v>
      </c>
      <c r="D6028" s="162" t="s">
        <v>12395</v>
      </c>
      <c r="F6028" s="162">
        <v>9839</v>
      </c>
      <c r="G6028" s="162">
        <v>1</v>
      </c>
    </row>
    <row r="6029" spans="2:7" ht="158.4">
      <c r="B6029" s="162" t="s">
        <v>700</v>
      </c>
      <c r="C6029" s="162" t="s">
        <v>12396</v>
      </c>
      <c r="D6029" s="162" t="s">
        <v>12397</v>
      </c>
      <c r="F6029" s="162">
        <v>9179</v>
      </c>
      <c r="G6029" s="162">
        <v>1</v>
      </c>
    </row>
    <row r="6030" spans="2:7" ht="86.4">
      <c r="B6030" s="162" t="s">
        <v>700</v>
      </c>
      <c r="C6030" s="162" t="s">
        <v>12398</v>
      </c>
      <c r="D6030" s="162" t="s">
        <v>12399</v>
      </c>
      <c r="F6030" s="162">
        <v>9839</v>
      </c>
      <c r="G6030" s="162">
        <v>1</v>
      </c>
    </row>
    <row r="6031" spans="2:7" ht="172.8">
      <c r="B6031" s="162" t="s">
        <v>700</v>
      </c>
      <c r="C6031" s="162" t="s">
        <v>1816</v>
      </c>
      <c r="D6031" s="162" t="s">
        <v>1817</v>
      </c>
      <c r="E6031" s="162" t="s">
        <v>9374</v>
      </c>
      <c r="F6031" s="162">
        <v>11879</v>
      </c>
      <c r="G6031" s="162">
        <v>1</v>
      </c>
    </row>
    <row r="6032" spans="2:7" ht="172.8">
      <c r="B6032" s="162" t="s">
        <v>700</v>
      </c>
      <c r="C6032" s="162" t="s">
        <v>1818</v>
      </c>
      <c r="D6032" s="162" t="s">
        <v>1819</v>
      </c>
      <c r="F6032" s="162">
        <v>11879</v>
      </c>
      <c r="G6032" s="162">
        <v>1</v>
      </c>
    </row>
    <row r="6033" spans="2:7" ht="43.2">
      <c r="B6033" s="162" t="s">
        <v>700</v>
      </c>
      <c r="C6033" s="162" t="s">
        <v>1820</v>
      </c>
      <c r="D6033" s="162" t="s">
        <v>1821</v>
      </c>
      <c r="E6033" s="162" t="s">
        <v>9374</v>
      </c>
      <c r="F6033" s="162">
        <v>12225</v>
      </c>
      <c r="G6033" s="162">
        <v>1</v>
      </c>
    </row>
    <row r="6034" spans="2:7" ht="43.2">
      <c r="B6034" s="162" t="s">
        <v>700</v>
      </c>
      <c r="C6034" s="162" t="s">
        <v>1822</v>
      </c>
      <c r="D6034" s="162" t="s">
        <v>1823</v>
      </c>
      <c r="F6034" s="162">
        <v>12225</v>
      </c>
      <c r="G6034" s="162">
        <v>1</v>
      </c>
    </row>
    <row r="6035" spans="2:7" ht="172.8">
      <c r="B6035" s="162" t="s">
        <v>700</v>
      </c>
      <c r="C6035" s="162" t="s">
        <v>1824</v>
      </c>
      <c r="D6035" s="162" t="s">
        <v>1825</v>
      </c>
      <c r="F6035" s="162">
        <v>16129</v>
      </c>
      <c r="G6035" s="162">
        <v>1</v>
      </c>
    </row>
    <row r="6036" spans="2:7" ht="172.8">
      <c r="B6036" s="162" t="s">
        <v>700</v>
      </c>
      <c r="C6036" s="162" t="s">
        <v>1826</v>
      </c>
      <c r="D6036" s="162" t="s">
        <v>1827</v>
      </c>
      <c r="F6036" s="162">
        <v>16129</v>
      </c>
      <c r="G6036" s="162">
        <v>1</v>
      </c>
    </row>
    <row r="6037" spans="2:7" ht="43.2">
      <c r="B6037" s="162" t="s">
        <v>700</v>
      </c>
      <c r="C6037" s="162" t="s">
        <v>1828</v>
      </c>
      <c r="D6037" s="162" t="s">
        <v>1829</v>
      </c>
      <c r="F6037" s="162">
        <v>16685</v>
      </c>
      <c r="G6037" s="162">
        <v>1</v>
      </c>
    </row>
    <row r="6038" spans="2:7" ht="43.2">
      <c r="B6038" s="162" t="s">
        <v>700</v>
      </c>
      <c r="C6038" s="162" t="s">
        <v>1830</v>
      </c>
      <c r="D6038" s="162" t="s">
        <v>1831</v>
      </c>
      <c r="F6038" s="162">
        <v>16685</v>
      </c>
      <c r="G6038" s="162">
        <v>1</v>
      </c>
    </row>
    <row r="6039" spans="2:7" ht="187.2">
      <c r="B6039" s="162" t="s">
        <v>700</v>
      </c>
      <c r="C6039" s="162" t="s">
        <v>12400</v>
      </c>
      <c r="D6039" s="162" t="s">
        <v>12401</v>
      </c>
      <c r="E6039" s="162" t="s">
        <v>12402</v>
      </c>
      <c r="F6039" s="162">
        <v>18129</v>
      </c>
      <c r="G6039" s="162">
        <v>1</v>
      </c>
    </row>
    <row r="6040" spans="2:7" ht="216">
      <c r="B6040" s="162" t="s">
        <v>700</v>
      </c>
      <c r="C6040" s="162" t="s">
        <v>12403</v>
      </c>
      <c r="D6040" s="162" t="s">
        <v>12404</v>
      </c>
      <c r="F6040" s="162">
        <v>18129</v>
      </c>
      <c r="G6040" s="162">
        <v>1</v>
      </c>
    </row>
    <row r="6041" spans="2:7" ht="72">
      <c r="B6041" s="162" t="s">
        <v>700</v>
      </c>
      <c r="C6041" s="162" t="s">
        <v>12405</v>
      </c>
      <c r="D6041" s="162" t="s">
        <v>12406</v>
      </c>
      <c r="F6041" s="162">
        <v>20799</v>
      </c>
      <c r="G6041" s="162">
        <v>1</v>
      </c>
    </row>
    <row r="6042" spans="2:7" ht="72">
      <c r="B6042" s="162" t="s">
        <v>700</v>
      </c>
      <c r="C6042" s="162" t="s">
        <v>12407</v>
      </c>
      <c r="D6042" s="162" t="s">
        <v>12408</v>
      </c>
      <c r="F6042" s="162">
        <v>20799</v>
      </c>
      <c r="G6042" s="162">
        <v>1</v>
      </c>
    </row>
    <row r="6043" spans="2:7" ht="216">
      <c r="B6043" s="162" t="s">
        <v>700</v>
      </c>
      <c r="C6043" s="162" t="s">
        <v>12409</v>
      </c>
      <c r="D6043" s="162" t="s">
        <v>12410</v>
      </c>
      <c r="F6043" s="162">
        <v>31619</v>
      </c>
      <c r="G6043" s="162">
        <v>1</v>
      </c>
    </row>
    <row r="6044" spans="2:7" ht="72">
      <c r="B6044" s="162" t="s">
        <v>700</v>
      </c>
      <c r="C6044" s="162" t="s">
        <v>12411</v>
      </c>
      <c r="D6044" s="162" t="s">
        <v>12412</v>
      </c>
      <c r="E6044" s="162" t="s">
        <v>12402</v>
      </c>
      <c r="F6044" s="162">
        <v>35499</v>
      </c>
      <c r="G6044" s="162">
        <v>1</v>
      </c>
    </row>
    <row r="6045" spans="2:7" ht="158.4">
      <c r="B6045" s="162" t="s">
        <v>700</v>
      </c>
      <c r="C6045" s="162" t="s">
        <v>12413</v>
      </c>
      <c r="D6045" s="162" t="s">
        <v>12414</v>
      </c>
      <c r="E6045" s="162" t="s">
        <v>12415</v>
      </c>
      <c r="F6045" s="162">
        <v>158359</v>
      </c>
      <c r="G6045" s="162">
        <v>1</v>
      </c>
    </row>
    <row r="6046" spans="2:7" ht="28.8">
      <c r="B6046" s="162" t="s">
        <v>701</v>
      </c>
      <c r="C6046" s="162" t="s">
        <v>1832</v>
      </c>
      <c r="D6046" s="162" t="s">
        <v>1833</v>
      </c>
      <c r="F6046" s="162" t="s">
        <v>12416</v>
      </c>
      <c r="G6046" s="162">
        <v>1</v>
      </c>
    </row>
    <row r="6047" spans="2:7">
      <c r="B6047" s="162" t="s">
        <v>701</v>
      </c>
      <c r="C6047" s="162" t="s">
        <v>1834</v>
      </c>
      <c r="D6047" s="162" t="s">
        <v>1835</v>
      </c>
      <c r="F6047" s="162">
        <v>311</v>
      </c>
      <c r="G6047" s="162">
        <v>1</v>
      </c>
    </row>
    <row r="6048" spans="2:7" ht="28.8">
      <c r="B6048" s="162" t="s">
        <v>701</v>
      </c>
      <c r="C6048" s="162" t="s">
        <v>1836</v>
      </c>
      <c r="D6048" s="162" t="s">
        <v>1837</v>
      </c>
      <c r="F6048" s="162">
        <v>336</v>
      </c>
      <c r="G6048" s="162">
        <v>1</v>
      </c>
    </row>
    <row r="6049" spans="2:7" ht="43.2">
      <c r="B6049" s="162" t="s">
        <v>701</v>
      </c>
      <c r="C6049" s="162" t="s">
        <v>1838</v>
      </c>
      <c r="D6049" s="162" t="s">
        <v>1839</v>
      </c>
      <c r="F6049" s="162">
        <v>362</v>
      </c>
      <c r="G6049" s="162">
        <v>1</v>
      </c>
    </row>
    <row r="6050" spans="2:7" ht="28.8">
      <c r="B6050" s="162" t="s">
        <v>701</v>
      </c>
      <c r="C6050" s="162" t="s">
        <v>1840</v>
      </c>
      <c r="D6050" s="162" t="s">
        <v>1841</v>
      </c>
      <c r="F6050" s="162">
        <v>544</v>
      </c>
      <c r="G6050" s="162">
        <v>1</v>
      </c>
    </row>
    <row r="6051" spans="2:7" ht="28.8">
      <c r="B6051" s="162" t="s">
        <v>701</v>
      </c>
      <c r="C6051" s="162" t="s">
        <v>1842</v>
      </c>
      <c r="D6051" s="162" t="s">
        <v>1843</v>
      </c>
      <c r="F6051" s="162">
        <v>362</v>
      </c>
      <c r="G6051" s="162">
        <v>1</v>
      </c>
    </row>
    <row r="6052" spans="2:7" ht="72">
      <c r="B6052" s="162" t="s">
        <v>701</v>
      </c>
      <c r="C6052" s="162" t="s">
        <v>1844</v>
      </c>
      <c r="D6052" s="162" t="s">
        <v>1845</v>
      </c>
      <c r="F6052" s="162">
        <v>344</v>
      </c>
      <c r="G6052" s="162">
        <v>1</v>
      </c>
    </row>
    <row r="6053" spans="2:7" ht="28.8">
      <c r="B6053" s="162" t="s">
        <v>701</v>
      </c>
      <c r="C6053" s="162" t="s">
        <v>1846</v>
      </c>
      <c r="D6053" s="162" t="s">
        <v>1847</v>
      </c>
      <c r="F6053" s="162" t="s">
        <v>12417</v>
      </c>
      <c r="G6053" s="162">
        <v>1</v>
      </c>
    </row>
    <row r="6054" spans="2:7" ht="28.8">
      <c r="B6054" s="162" t="s">
        <v>701</v>
      </c>
      <c r="C6054" s="162" t="s">
        <v>12418</v>
      </c>
      <c r="D6054" s="162" t="s">
        <v>12419</v>
      </c>
      <c r="F6054" s="162">
        <v>4732</v>
      </c>
      <c r="G6054" s="162">
        <v>1</v>
      </c>
    </row>
    <row r="6055" spans="2:7" ht="28.8">
      <c r="B6055" s="162" t="s">
        <v>701</v>
      </c>
      <c r="C6055" s="162" t="s">
        <v>1848</v>
      </c>
      <c r="D6055" s="162" t="s">
        <v>1849</v>
      </c>
      <c r="F6055" s="162" t="s">
        <v>12417</v>
      </c>
      <c r="G6055" s="162">
        <v>1</v>
      </c>
    </row>
    <row r="6056" spans="2:7" ht="28.8">
      <c r="B6056" s="162" t="s">
        <v>701</v>
      </c>
      <c r="C6056" s="162" t="s">
        <v>12420</v>
      </c>
      <c r="D6056" s="162" t="s">
        <v>12421</v>
      </c>
      <c r="F6056" s="162">
        <v>4732</v>
      </c>
      <c r="G6056" s="162">
        <v>1</v>
      </c>
    </row>
    <row r="6057" spans="2:7">
      <c r="B6057" s="162" t="s">
        <v>701</v>
      </c>
      <c r="C6057" s="162" t="s">
        <v>1850</v>
      </c>
      <c r="D6057" s="162" t="s">
        <v>1851</v>
      </c>
      <c r="F6057" s="162">
        <v>126</v>
      </c>
      <c r="G6057" s="162">
        <v>1</v>
      </c>
    </row>
    <row r="6058" spans="2:7">
      <c r="B6058" s="162" t="s">
        <v>701</v>
      </c>
      <c r="C6058" s="162" t="s">
        <v>1852</v>
      </c>
      <c r="D6058" s="162" t="s">
        <v>1853</v>
      </c>
      <c r="F6058" s="162">
        <v>576</v>
      </c>
      <c r="G6058" s="162">
        <v>1</v>
      </c>
    </row>
    <row r="6059" spans="2:7" ht="43.2">
      <c r="B6059" s="162" t="s">
        <v>701</v>
      </c>
      <c r="C6059" s="162" t="s">
        <v>1854</v>
      </c>
      <c r="D6059" s="162" t="s">
        <v>1855</v>
      </c>
      <c r="F6059" s="162">
        <v>499</v>
      </c>
      <c r="G6059" s="162">
        <v>1</v>
      </c>
    </row>
    <row r="6060" spans="2:7">
      <c r="B6060" s="162" t="s">
        <v>701</v>
      </c>
      <c r="C6060" s="162" t="s">
        <v>12422</v>
      </c>
      <c r="D6060" s="162" t="s">
        <v>12423</v>
      </c>
      <c r="F6060" s="162">
        <v>125</v>
      </c>
      <c r="G6060" s="162">
        <v>1</v>
      </c>
    </row>
    <row r="6061" spans="2:7" ht="28.8">
      <c r="B6061" s="162" t="s">
        <v>701</v>
      </c>
      <c r="C6061" s="162" t="s">
        <v>1856</v>
      </c>
      <c r="D6061" s="162" t="s">
        <v>1857</v>
      </c>
      <c r="F6061" s="162" t="s">
        <v>12417</v>
      </c>
      <c r="G6061" s="162">
        <v>1</v>
      </c>
    </row>
    <row r="6062" spans="2:7" ht="86.4">
      <c r="B6062" s="162" t="s">
        <v>701</v>
      </c>
      <c r="C6062" s="162" t="s">
        <v>1858</v>
      </c>
      <c r="D6062" s="162" t="s">
        <v>1859</v>
      </c>
      <c r="F6062" s="162">
        <v>1474</v>
      </c>
      <c r="G6062" s="162">
        <v>1</v>
      </c>
    </row>
    <row r="6063" spans="2:7" ht="28.8">
      <c r="B6063" s="162" t="s">
        <v>701</v>
      </c>
      <c r="C6063" s="162" t="s">
        <v>1860</v>
      </c>
      <c r="D6063" s="162" t="s">
        <v>1861</v>
      </c>
      <c r="F6063" s="162">
        <v>566</v>
      </c>
      <c r="G6063" s="162">
        <v>1</v>
      </c>
    </row>
    <row r="6064" spans="2:7">
      <c r="B6064" s="162" t="s">
        <v>701</v>
      </c>
      <c r="C6064" s="162" t="s">
        <v>1862</v>
      </c>
      <c r="D6064" s="162" t="s">
        <v>1863</v>
      </c>
      <c r="F6064" s="162">
        <v>708</v>
      </c>
      <c r="G6064" s="162">
        <v>1</v>
      </c>
    </row>
    <row r="6065" spans="2:7" ht="28.8">
      <c r="B6065" s="162" t="s">
        <v>701</v>
      </c>
      <c r="C6065" s="162" t="s">
        <v>1864</v>
      </c>
      <c r="D6065" s="162" t="s">
        <v>1865</v>
      </c>
      <c r="F6065" s="162">
        <v>566</v>
      </c>
      <c r="G6065" s="162">
        <v>1</v>
      </c>
    </row>
    <row r="6066" spans="2:7" ht="28.8">
      <c r="B6066" s="162" t="s">
        <v>701</v>
      </c>
      <c r="C6066" s="162" t="s">
        <v>12424</v>
      </c>
      <c r="D6066" s="162" t="s">
        <v>1866</v>
      </c>
      <c r="F6066" s="162">
        <v>794</v>
      </c>
      <c r="G6066" s="162">
        <v>1</v>
      </c>
    </row>
    <row r="6067" spans="2:7" ht="28.8">
      <c r="B6067" s="162" t="s">
        <v>701</v>
      </c>
      <c r="C6067" s="162" t="s">
        <v>12425</v>
      </c>
      <c r="D6067" s="162" t="s">
        <v>1867</v>
      </c>
      <c r="F6067" s="162">
        <v>1000</v>
      </c>
      <c r="G6067" s="162">
        <v>1</v>
      </c>
    </row>
    <row r="6068" spans="2:7" ht="28.8">
      <c r="B6068" s="162" t="s">
        <v>701</v>
      </c>
      <c r="C6068" s="162" t="s">
        <v>1868</v>
      </c>
      <c r="D6068" s="162" t="s">
        <v>1869</v>
      </c>
      <c r="F6068" s="162">
        <v>1136</v>
      </c>
      <c r="G6068" s="162">
        <v>1</v>
      </c>
    </row>
    <row r="6069" spans="2:7" ht="28.8">
      <c r="B6069" s="162" t="s">
        <v>701</v>
      </c>
      <c r="C6069" s="162" t="s">
        <v>1870</v>
      </c>
      <c r="D6069" s="162" t="s">
        <v>1871</v>
      </c>
      <c r="F6069" s="162">
        <v>1136</v>
      </c>
      <c r="G6069" s="162">
        <v>1</v>
      </c>
    </row>
    <row r="6070" spans="2:7" ht="43.2">
      <c r="B6070" s="162" t="s">
        <v>701</v>
      </c>
      <c r="C6070" s="162" t="s">
        <v>1872</v>
      </c>
      <c r="D6070" s="162" t="s">
        <v>1873</v>
      </c>
      <c r="F6070" s="162">
        <v>9034</v>
      </c>
      <c r="G6070" s="162">
        <v>1</v>
      </c>
    </row>
    <row r="6071" spans="2:7" ht="28.8">
      <c r="B6071" s="162" t="s">
        <v>702</v>
      </c>
      <c r="C6071" s="162" t="s">
        <v>12426</v>
      </c>
      <c r="D6071" s="162" t="s">
        <v>12427</v>
      </c>
      <c r="F6071" s="162">
        <v>137688</v>
      </c>
      <c r="G6071" s="162">
        <v>1</v>
      </c>
    </row>
    <row r="6072" spans="2:7" ht="28.8">
      <c r="B6072" s="162" t="s">
        <v>702</v>
      </c>
      <c r="C6072" s="162" t="s">
        <v>12428</v>
      </c>
      <c r="D6072" s="162" t="s">
        <v>12429</v>
      </c>
      <c r="F6072" s="162">
        <v>137688</v>
      </c>
      <c r="G6072" s="162">
        <v>1</v>
      </c>
    </row>
    <row r="6073" spans="2:7" ht="28.8">
      <c r="B6073" s="162" t="s">
        <v>702</v>
      </c>
      <c r="C6073" s="162" t="s">
        <v>12430</v>
      </c>
      <c r="D6073" s="162" t="s">
        <v>12431</v>
      </c>
      <c r="F6073" s="162">
        <v>176844</v>
      </c>
      <c r="G6073" s="162">
        <v>1</v>
      </c>
    </row>
    <row r="6074" spans="2:7" ht="28.8">
      <c r="B6074" s="162" t="s">
        <v>702</v>
      </c>
      <c r="C6074" s="162" t="s">
        <v>12432</v>
      </c>
      <c r="D6074" s="162" t="s">
        <v>12433</v>
      </c>
      <c r="F6074" s="162">
        <v>176844</v>
      </c>
      <c r="G6074" s="162">
        <v>1</v>
      </c>
    </row>
    <row r="6075" spans="2:7" ht="28.8">
      <c r="B6075" s="162" t="s">
        <v>702</v>
      </c>
      <c r="C6075" s="162" t="s">
        <v>12434</v>
      </c>
      <c r="D6075" s="162" t="s">
        <v>12435</v>
      </c>
      <c r="F6075" s="162">
        <v>485172</v>
      </c>
      <c r="G6075" s="162">
        <v>1</v>
      </c>
    </row>
    <row r="6076" spans="2:7" ht="28.8">
      <c r="B6076" s="162" t="s">
        <v>702</v>
      </c>
      <c r="C6076" s="162" t="s">
        <v>12436</v>
      </c>
      <c r="D6076" s="162" t="s">
        <v>12437</v>
      </c>
      <c r="F6076" s="162">
        <v>485172</v>
      </c>
      <c r="G6076" s="162">
        <v>1</v>
      </c>
    </row>
    <row r="6077" spans="2:7" ht="28.8">
      <c r="B6077" s="162" t="s">
        <v>702</v>
      </c>
      <c r="C6077" s="162" t="s">
        <v>12438</v>
      </c>
      <c r="D6077" s="162" t="s">
        <v>12439</v>
      </c>
      <c r="F6077" s="162">
        <v>453104</v>
      </c>
      <c r="G6077" s="162">
        <v>1</v>
      </c>
    </row>
    <row r="6078" spans="2:7" ht="28.8">
      <c r="B6078" s="162" t="s">
        <v>702</v>
      </c>
      <c r="C6078" s="162" t="s">
        <v>12440</v>
      </c>
      <c r="D6078" s="162" t="s">
        <v>12441</v>
      </c>
      <c r="F6078" s="162">
        <v>614864</v>
      </c>
      <c r="G6078" s="162">
        <v>1</v>
      </c>
    </row>
    <row r="6079" spans="2:7" ht="28.8">
      <c r="B6079" s="162" t="s">
        <v>702</v>
      </c>
      <c r="C6079" s="162" t="s">
        <v>12442</v>
      </c>
      <c r="D6079" s="162" t="s">
        <v>12443</v>
      </c>
      <c r="E6079" s="162" t="s">
        <v>12444</v>
      </c>
      <c r="F6079" s="162">
        <v>785</v>
      </c>
      <c r="G6079" s="162">
        <v>1</v>
      </c>
    </row>
    <row r="6080" spans="2:7" ht="28.8">
      <c r="B6080" s="162" t="s">
        <v>702</v>
      </c>
      <c r="C6080" s="162" t="s">
        <v>12445</v>
      </c>
      <c r="D6080" s="162" t="s">
        <v>12446</v>
      </c>
      <c r="E6080" s="162" t="s">
        <v>12444</v>
      </c>
      <c r="F6080" s="162">
        <v>915</v>
      </c>
      <c r="G6080" s="162">
        <v>1</v>
      </c>
    </row>
    <row r="6081" spans="2:7" ht="28.8">
      <c r="B6081" s="162" t="s">
        <v>702</v>
      </c>
      <c r="C6081" s="162" t="s">
        <v>12447</v>
      </c>
      <c r="D6081" s="162" t="s">
        <v>12448</v>
      </c>
      <c r="E6081" s="162" t="s">
        <v>12444</v>
      </c>
      <c r="F6081" s="162">
        <v>1170</v>
      </c>
      <c r="G6081" s="162">
        <v>1</v>
      </c>
    </row>
    <row r="6082" spans="2:7" ht="28.8">
      <c r="B6082" s="162" t="s">
        <v>702</v>
      </c>
      <c r="C6082" s="162" t="s">
        <v>12449</v>
      </c>
      <c r="D6082" s="162" t="s">
        <v>12450</v>
      </c>
      <c r="E6082" s="162" t="s">
        <v>12444</v>
      </c>
      <c r="F6082" s="162">
        <v>1455</v>
      </c>
      <c r="G6082" s="162">
        <v>1</v>
      </c>
    </row>
    <row r="6083" spans="2:7" ht="28.8">
      <c r="B6083" s="162" t="s">
        <v>702</v>
      </c>
      <c r="C6083" s="162" t="s">
        <v>12451</v>
      </c>
      <c r="D6083" s="162" t="s">
        <v>12452</v>
      </c>
      <c r="E6083" s="162" t="s">
        <v>12444</v>
      </c>
      <c r="F6083" s="162">
        <v>2570</v>
      </c>
      <c r="G6083" s="162">
        <v>1</v>
      </c>
    </row>
    <row r="6084" spans="2:7" ht="28.8">
      <c r="B6084" s="162" t="s">
        <v>702</v>
      </c>
      <c r="C6084" s="162" t="s">
        <v>12453</v>
      </c>
      <c r="D6084" s="162" t="s">
        <v>12454</v>
      </c>
      <c r="E6084" s="162" t="s">
        <v>12444</v>
      </c>
      <c r="F6084" s="162">
        <v>3525</v>
      </c>
      <c r="G6084" s="162">
        <v>1</v>
      </c>
    </row>
    <row r="6085" spans="2:7" ht="28.8">
      <c r="B6085" s="162" t="s">
        <v>702</v>
      </c>
      <c r="C6085" s="162" t="s">
        <v>12455</v>
      </c>
      <c r="D6085" s="162" t="s">
        <v>12456</v>
      </c>
      <c r="E6085" s="162" t="s">
        <v>12444</v>
      </c>
      <c r="F6085" s="162">
        <v>9245</v>
      </c>
      <c r="G6085" s="162">
        <v>1</v>
      </c>
    </row>
    <row r="6086" spans="2:7" ht="28.8">
      <c r="B6086" s="162" t="s">
        <v>702</v>
      </c>
      <c r="C6086" s="162" t="s">
        <v>1880</v>
      </c>
      <c r="D6086" s="162" t="s">
        <v>12457</v>
      </c>
      <c r="F6086" s="162">
        <v>624.99</v>
      </c>
      <c r="G6086" s="162">
        <v>1</v>
      </c>
    </row>
    <row r="6087" spans="2:7" ht="28.8">
      <c r="B6087" s="162" t="s">
        <v>702</v>
      </c>
      <c r="C6087" s="162" t="s">
        <v>1881</v>
      </c>
      <c r="D6087" s="162" t="s">
        <v>12458</v>
      </c>
      <c r="F6087" s="162">
        <v>717.82</v>
      </c>
      <c r="G6087" s="162">
        <v>1</v>
      </c>
    </row>
    <row r="6088" spans="2:7" ht="28.8">
      <c r="B6088" s="162" t="s">
        <v>702</v>
      </c>
      <c r="C6088" s="162" t="s">
        <v>1882</v>
      </c>
      <c r="D6088" s="162" t="s">
        <v>12459</v>
      </c>
      <c r="F6088" s="162">
        <v>1230</v>
      </c>
      <c r="G6088" s="162">
        <v>1</v>
      </c>
    </row>
    <row r="6089" spans="2:7" ht="28.8">
      <c r="B6089" s="162" t="s">
        <v>702</v>
      </c>
      <c r="C6089" s="162" t="s">
        <v>1883</v>
      </c>
      <c r="D6089" s="162" t="s">
        <v>12460</v>
      </c>
      <c r="F6089" s="162">
        <v>1543</v>
      </c>
      <c r="G6089" s="162">
        <v>1</v>
      </c>
    </row>
    <row r="6090" spans="2:7" ht="28.8">
      <c r="B6090" s="162" t="s">
        <v>702</v>
      </c>
      <c r="C6090" s="162" t="s">
        <v>1884</v>
      </c>
      <c r="D6090" s="162" t="s">
        <v>12461</v>
      </c>
      <c r="F6090" s="162">
        <v>2681.92</v>
      </c>
      <c r="G6090" s="162">
        <v>1</v>
      </c>
    </row>
    <row r="6091" spans="2:7" ht="28.8">
      <c r="B6091" s="162" t="s">
        <v>702</v>
      </c>
      <c r="C6091" s="162" t="s">
        <v>12462</v>
      </c>
      <c r="D6091" s="162" t="s">
        <v>12463</v>
      </c>
      <c r="E6091" s="162" t="s">
        <v>12444</v>
      </c>
      <c r="F6091" s="162">
        <v>1465</v>
      </c>
      <c r="G6091" s="162">
        <v>1</v>
      </c>
    </row>
    <row r="6092" spans="2:7" ht="28.8">
      <c r="B6092" s="162" t="s">
        <v>702</v>
      </c>
      <c r="C6092" s="162" t="s">
        <v>12464</v>
      </c>
      <c r="D6092" s="162" t="s">
        <v>12465</v>
      </c>
      <c r="E6092" s="162" t="s">
        <v>12444</v>
      </c>
      <c r="F6092" s="162">
        <v>2100</v>
      </c>
      <c r="G6092" s="162">
        <v>1</v>
      </c>
    </row>
    <row r="6093" spans="2:7" ht="28.8">
      <c r="B6093" s="162" t="s">
        <v>702</v>
      </c>
      <c r="C6093" s="162" t="s">
        <v>12466</v>
      </c>
      <c r="D6093" s="162" t="s">
        <v>12467</v>
      </c>
      <c r="E6093" s="162" t="s">
        <v>12444</v>
      </c>
      <c r="F6093" s="162">
        <v>3360</v>
      </c>
      <c r="G6093" s="162">
        <v>1</v>
      </c>
    </row>
    <row r="6094" spans="2:7" ht="28.8">
      <c r="B6094" s="162" t="s">
        <v>702</v>
      </c>
      <c r="C6094" s="162" t="s">
        <v>12468</v>
      </c>
      <c r="D6094" s="162" t="s">
        <v>12467</v>
      </c>
      <c r="E6094" s="162" t="s">
        <v>12444</v>
      </c>
      <c r="F6094" s="162">
        <v>5405</v>
      </c>
      <c r="G6094" s="162">
        <v>1</v>
      </c>
    </row>
    <row r="6095" spans="2:7" ht="28.8">
      <c r="B6095" s="162" t="s">
        <v>702</v>
      </c>
      <c r="C6095" s="162" t="s">
        <v>1874</v>
      </c>
      <c r="D6095" s="162" t="s">
        <v>12469</v>
      </c>
      <c r="F6095" s="162">
        <v>1050</v>
      </c>
      <c r="G6095" s="162">
        <v>1</v>
      </c>
    </row>
    <row r="6096" spans="2:7" ht="28.8">
      <c r="B6096" s="162" t="s">
        <v>702</v>
      </c>
      <c r="C6096" s="162" t="s">
        <v>1875</v>
      </c>
      <c r="D6096" s="162" t="s">
        <v>12470</v>
      </c>
      <c r="F6096" s="162">
        <v>1384</v>
      </c>
      <c r="G6096" s="162">
        <v>1</v>
      </c>
    </row>
    <row r="6097" spans="2:7" ht="28.8">
      <c r="B6097" s="162" t="s">
        <v>702</v>
      </c>
      <c r="C6097" s="162" t="s">
        <v>1876</v>
      </c>
      <c r="D6097" s="162" t="s">
        <v>12471</v>
      </c>
      <c r="F6097" s="162">
        <v>2199</v>
      </c>
      <c r="G6097" s="162">
        <v>1</v>
      </c>
    </row>
    <row r="6098" spans="2:7" ht="28.8">
      <c r="B6098" s="162" t="s">
        <v>702</v>
      </c>
      <c r="C6098" s="162" t="s">
        <v>1877</v>
      </c>
      <c r="D6098" s="162" t="s">
        <v>12472</v>
      </c>
      <c r="F6098" s="162">
        <v>3284</v>
      </c>
      <c r="G6098" s="162">
        <v>1</v>
      </c>
    </row>
    <row r="6099" spans="2:7" ht="28.8">
      <c r="B6099" s="162" t="s">
        <v>702</v>
      </c>
      <c r="C6099" s="162" t="s">
        <v>1878</v>
      </c>
      <c r="D6099" s="162" t="s">
        <v>12473</v>
      </c>
      <c r="F6099" s="162">
        <v>4559</v>
      </c>
      <c r="G6099" s="162">
        <v>1</v>
      </c>
    </row>
    <row r="6100" spans="2:7" ht="28.8">
      <c r="B6100" s="162" t="s">
        <v>702</v>
      </c>
      <c r="C6100" s="162" t="s">
        <v>1879</v>
      </c>
      <c r="D6100" s="162" t="s">
        <v>12474</v>
      </c>
      <c r="E6100" s="162" t="s">
        <v>12475</v>
      </c>
      <c r="F6100" s="162">
        <v>14675</v>
      </c>
      <c r="G6100" s="162">
        <v>1</v>
      </c>
    </row>
    <row r="6101" spans="2:7" ht="28.8">
      <c r="B6101" s="162" t="s">
        <v>702</v>
      </c>
      <c r="C6101" s="162" t="s">
        <v>12476</v>
      </c>
      <c r="D6101" s="162" t="s">
        <v>12477</v>
      </c>
      <c r="F6101" s="162">
        <v>12035</v>
      </c>
      <c r="G6101" s="162">
        <v>1</v>
      </c>
    </row>
    <row r="6102" spans="2:7">
      <c r="B6102" s="162" t="s">
        <v>702</v>
      </c>
      <c r="C6102" s="162" t="s">
        <v>12478</v>
      </c>
      <c r="D6102" s="162" t="s">
        <v>1885</v>
      </c>
      <c r="F6102" s="162">
        <v>1126.28</v>
      </c>
      <c r="G6102" s="162">
        <v>1</v>
      </c>
    </row>
    <row r="6103" spans="2:7">
      <c r="B6103" s="162" t="s">
        <v>702</v>
      </c>
      <c r="C6103" s="162" t="s">
        <v>12479</v>
      </c>
      <c r="D6103" s="162" t="s">
        <v>1886</v>
      </c>
      <c r="F6103" s="162">
        <v>1545</v>
      </c>
      <c r="G6103" s="162">
        <v>1</v>
      </c>
    </row>
    <row r="6104" spans="2:7">
      <c r="B6104" s="162" t="s">
        <v>702</v>
      </c>
      <c r="C6104" s="162" t="s">
        <v>12480</v>
      </c>
      <c r="D6104" s="162" t="s">
        <v>1887</v>
      </c>
      <c r="F6104" s="162">
        <v>2389.6</v>
      </c>
      <c r="G6104" s="162">
        <v>1</v>
      </c>
    </row>
    <row r="6105" spans="2:7">
      <c r="B6105" s="162" t="s">
        <v>702</v>
      </c>
      <c r="C6105" s="162" t="s">
        <v>12481</v>
      </c>
      <c r="D6105" s="162" t="s">
        <v>1888</v>
      </c>
      <c r="F6105" s="162">
        <v>3857</v>
      </c>
      <c r="G6105" s="162">
        <v>1</v>
      </c>
    </row>
    <row r="6106" spans="2:7" ht="57.6">
      <c r="B6106" s="162" t="s">
        <v>12482</v>
      </c>
      <c r="C6106" s="162" t="s">
        <v>12483</v>
      </c>
      <c r="D6106" s="162" t="s">
        <v>12484</v>
      </c>
      <c r="F6106" s="162">
        <v>1768</v>
      </c>
      <c r="G6106" s="162">
        <v>1</v>
      </c>
    </row>
    <row r="6107" spans="2:7" ht="57.6">
      <c r="B6107" s="162" t="s">
        <v>12482</v>
      </c>
      <c r="C6107" s="162" t="s">
        <v>12485</v>
      </c>
      <c r="D6107" s="162" t="s">
        <v>12486</v>
      </c>
      <c r="F6107" s="162">
        <v>982</v>
      </c>
      <c r="G6107" s="162">
        <v>1</v>
      </c>
    </row>
    <row r="6108" spans="2:7" ht="57.6">
      <c r="B6108" s="162" t="s">
        <v>12482</v>
      </c>
      <c r="C6108" s="162" t="s">
        <v>12487</v>
      </c>
      <c r="D6108" s="162" t="s">
        <v>12488</v>
      </c>
      <c r="F6108" s="162">
        <v>1613</v>
      </c>
      <c r="G6108" s="162">
        <v>1</v>
      </c>
    </row>
    <row r="6109" spans="2:7" ht="57.6">
      <c r="B6109" s="162" t="s">
        <v>12482</v>
      </c>
      <c r="C6109" s="162" t="s">
        <v>12489</v>
      </c>
      <c r="D6109" s="162" t="s">
        <v>12490</v>
      </c>
      <c r="F6109" s="162">
        <v>2096</v>
      </c>
      <c r="G6109" s="162">
        <v>1</v>
      </c>
    </row>
    <row r="6110" spans="2:7" ht="57.6">
      <c r="B6110" s="162" t="s">
        <v>12482</v>
      </c>
      <c r="C6110" s="162" t="s">
        <v>12491</v>
      </c>
      <c r="D6110" s="162" t="s">
        <v>12488</v>
      </c>
      <c r="F6110" s="162">
        <v>1650</v>
      </c>
      <c r="G6110" s="162">
        <v>1</v>
      </c>
    </row>
    <row r="6111" spans="2:7" ht="57.6">
      <c r="B6111" s="162" t="s">
        <v>12482</v>
      </c>
      <c r="C6111" s="162" t="s">
        <v>12492</v>
      </c>
      <c r="D6111" s="162" t="s">
        <v>12493</v>
      </c>
      <c r="F6111" s="162">
        <v>87</v>
      </c>
      <c r="G6111" s="162">
        <v>1</v>
      </c>
    </row>
    <row r="6112" spans="2:7" ht="57.6">
      <c r="B6112" s="162" t="s">
        <v>12482</v>
      </c>
      <c r="C6112" s="162" t="s">
        <v>12494</v>
      </c>
      <c r="D6112" s="162" t="s">
        <v>12495</v>
      </c>
      <c r="F6112" s="162">
        <v>87</v>
      </c>
      <c r="G6112" s="162">
        <v>1</v>
      </c>
    </row>
    <row r="6113" spans="2:7" ht="57.6">
      <c r="B6113" s="162" t="s">
        <v>12482</v>
      </c>
      <c r="C6113" s="162" t="s">
        <v>12496</v>
      </c>
      <c r="D6113" s="162" t="s">
        <v>12497</v>
      </c>
      <c r="F6113" s="162">
        <v>87</v>
      </c>
      <c r="G6113" s="162">
        <v>1</v>
      </c>
    </row>
    <row r="6114" spans="2:7" ht="57.6">
      <c r="B6114" s="162" t="s">
        <v>12482</v>
      </c>
      <c r="C6114" s="162" t="s">
        <v>12498</v>
      </c>
      <c r="D6114" s="162" t="s">
        <v>12499</v>
      </c>
      <c r="F6114" s="162">
        <v>164</v>
      </c>
      <c r="G6114" s="162">
        <v>1</v>
      </c>
    </row>
    <row r="6115" spans="2:7" ht="57.6">
      <c r="B6115" s="162" t="s">
        <v>12482</v>
      </c>
      <c r="C6115" s="162" t="s">
        <v>12500</v>
      </c>
      <c r="D6115" s="162" t="s">
        <v>12501</v>
      </c>
      <c r="F6115" s="162">
        <v>200</v>
      </c>
      <c r="G6115" s="162">
        <v>1</v>
      </c>
    </row>
    <row r="6116" spans="2:7" ht="57.6">
      <c r="B6116" s="162" t="s">
        <v>12482</v>
      </c>
      <c r="C6116" s="162" t="s">
        <v>12502</v>
      </c>
      <c r="D6116" s="162" t="s">
        <v>12503</v>
      </c>
      <c r="F6116" s="162">
        <v>200</v>
      </c>
      <c r="G6116" s="162">
        <v>1</v>
      </c>
    </row>
    <row r="6117" spans="2:7" ht="57.6">
      <c r="B6117" s="162" t="s">
        <v>12482</v>
      </c>
      <c r="C6117" s="162" t="s">
        <v>12504</v>
      </c>
      <c r="D6117" s="162" t="s">
        <v>12505</v>
      </c>
      <c r="F6117" s="162">
        <v>284</v>
      </c>
      <c r="G6117" s="162">
        <v>1</v>
      </c>
    </row>
    <row r="6118" spans="2:7" ht="57.6">
      <c r="B6118" s="162" t="s">
        <v>12482</v>
      </c>
      <c r="C6118" s="162" t="s">
        <v>12506</v>
      </c>
      <c r="D6118" s="162" t="s">
        <v>12507</v>
      </c>
      <c r="F6118" s="162">
        <v>299</v>
      </c>
      <c r="G6118" s="162">
        <v>1</v>
      </c>
    </row>
    <row r="6119" spans="2:7" ht="57.6">
      <c r="B6119" s="162" t="s">
        <v>12482</v>
      </c>
      <c r="C6119" s="162" t="s">
        <v>12508</v>
      </c>
      <c r="D6119" s="162" t="s">
        <v>12509</v>
      </c>
      <c r="F6119" s="162">
        <v>317</v>
      </c>
      <c r="G6119" s="162">
        <v>1</v>
      </c>
    </row>
    <row r="6120" spans="2:7" ht="57.6">
      <c r="B6120" s="162" t="s">
        <v>12482</v>
      </c>
      <c r="C6120" s="162" t="s">
        <v>12510</v>
      </c>
      <c r="D6120" s="162" t="s">
        <v>12511</v>
      </c>
      <c r="F6120" s="162">
        <v>370</v>
      </c>
      <c r="G6120" s="162">
        <v>1</v>
      </c>
    </row>
    <row r="6121" spans="2:7" ht="57.6">
      <c r="B6121" s="162" t="s">
        <v>12482</v>
      </c>
      <c r="C6121" s="162" t="s">
        <v>12512</v>
      </c>
      <c r="D6121" s="162" t="s">
        <v>12513</v>
      </c>
      <c r="F6121" s="162">
        <v>484</v>
      </c>
      <c r="G6121" s="162">
        <v>1</v>
      </c>
    </row>
    <row r="6122" spans="2:7" ht="57.6">
      <c r="B6122" s="162" t="s">
        <v>12482</v>
      </c>
      <c r="C6122" s="162" t="s">
        <v>12514</v>
      </c>
      <c r="D6122" s="162" t="s">
        <v>12515</v>
      </c>
      <c r="F6122" s="162">
        <v>147</v>
      </c>
      <c r="G6122" s="162">
        <v>1</v>
      </c>
    </row>
    <row r="6123" spans="2:7" ht="57.6">
      <c r="B6123" s="162" t="s">
        <v>12482</v>
      </c>
      <c r="C6123" s="162" t="s">
        <v>12516</v>
      </c>
      <c r="D6123" s="162" t="s">
        <v>12517</v>
      </c>
      <c r="F6123" s="162">
        <v>190</v>
      </c>
      <c r="G6123" s="162">
        <v>1</v>
      </c>
    </row>
    <row r="6124" spans="2:7" ht="57.6">
      <c r="B6124" s="162" t="s">
        <v>12482</v>
      </c>
      <c r="C6124" s="162" t="s">
        <v>12518</v>
      </c>
      <c r="D6124" s="162" t="s">
        <v>12519</v>
      </c>
      <c r="F6124" s="162">
        <v>147</v>
      </c>
      <c r="G6124" s="162">
        <v>1</v>
      </c>
    </row>
    <row r="6125" spans="2:7" ht="57.6">
      <c r="B6125" s="162" t="s">
        <v>12482</v>
      </c>
      <c r="C6125" s="162" t="s">
        <v>12520</v>
      </c>
      <c r="D6125" s="162" t="s">
        <v>12521</v>
      </c>
      <c r="F6125" s="162">
        <v>154</v>
      </c>
      <c r="G6125" s="162">
        <v>1</v>
      </c>
    </row>
    <row r="6126" spans="2:7" ht="57.6">
      <c r="B6126" s="162" t="s">
        <v>12482</v>
      </c>
      <c r="C6126" s="162" t="s">
        <v>12522</v>
      </c>
      <c r="D6126" s="162" t="s">
        <v>12523</v>
      </c>
      <c r="F6126" s="162">
        <v>240</v>
      </c>
      <c r="G6126" s="162">
        <v>1</v>
      </c>
    </row>
    <row r="6127" spans="2:7" ht="57.6">
      <c r="B6127" s="162" t="s">
        <v>12482</v>
      </c>
      <c r="C6127" s="162" t="s">
        <v>12524</v>
      </c>
      <c r="D6127" s="162" t="s">
        <v>12525</v>
      </c>
      <c r="F6127" s="162">
        <v>176</v>
      </c>
      <c r="G6127" s="162">
        <v>1</v>
      </c>
    </row>
    <row r="6128" spans="2:7" ht="57.6">
      <c r="B6128" s="162" t="s">
        <v>12482</v>
      </c>
      <c r="C6128" s="162" t="s">
        <v>12526</v>
      </c>
      <c r="D6128" s="162" t="s">
        <v>12527</v>
      </c>
      <c r="F6128" s="162">
        <v>200</v>
      </c>
      <c r="G6128" s="162">
        <v>1</v>
      </c>
    </row>
    <row r="6129" spans="2:7" ht="57.6">
      <c r="B6129" s="162" t="s">
        <v>12482</v>
      </c>
      <c r="C6129" s="162" t="s">
        <v>12528</v>
      </c>
      <c r="D6129" s="162" t="s">
        <v>12529</v>
      </c>
      <c r="F6129" s="162">
        <v>240</v>
      </c>
      <c r="G6129" s="162">
        <v>1</v>
      </c>
    </row>
    <row r="6130" spans="2:7" ht="57.6">
      <c r="B6130" s="162" t="s">
        <v>12482</v>
      </c>
      <c r="C6130" s="162" t="s">
        <v>12530</v>
      </c>
      <c r="D6130" s="162" t="s">
        <v>12531</v>
      </c>
      <c r="F6130" s="162">
        <v>65</v>
      </c>
      <c r="G6130" s="162">
        <v>1</v>
      </c>
    </row>
    <row r="6131" spans="2:7" ht="57.6">
      <c r="B6131" s="162" t="s">
        <v>12482</v>
      </c>
      <c r="C6131" s="162" t="s">
        <v>12532</v>
      </c>
      <c r="D6131" s="162" t="s">
        <v>12533</v>
      </c>
      <c r="F6131" s="162">
        <v>76</v>
      </c>
      <c r="G6131" s="162">
        <v>1</v>
      </c>
    </row>
    <row r="6132" spans="2:7" ht="57.6">
      <c r="B6132" s="162" t="s">
        <v>12482</v>
      </c>
      <c r="C6132" s="162" t="s">
        <v>12534</v>
      </c>
      <c r="D6132" s="162" t="s">
        <v>12535</v>
      </c>
      <c r="F6132" s="162">
        <v>4096</v>
      </c>
      <c r="G6132" s="162">
        <v>1</v>
      </c>
    </row>
    <row r="6133" spans="2:7" ht="57.6">
      <c r="B6133" s="162" t="s">
        <v>12482</v>
      </c>
      <c r="C6133" s="162" t="s">
        <v>12536</v>
      </c>
      <c r="D6133" s="162" t="s">
        <v>12535</v>
      </c>
      <c r="F6133" s="162">
        <v>4096</v>
      </c>
      <c r="G6133" s="162">
        <v>1</v>
      </c>
    </row>
    <row r="6134" spans="2:7" ht="57.6">
      <c r="B6134" s="162" t="s">
        <v>12482</v>
      </c>
      <c r="C6134" s="162" t="s">
        <v>12537</v>
      </c>
      <c r="D6134" s="162" t="s">
        <v>12535</v>
      </c>
      <c r="F6134" s="162">
        <v>4096</v>
      </c>
      <c r="G6134" s="162">
        <v>1</v>
      </c>
    </row>
    <row r="6135" spans="2:7" ht="57.6">
      <c r="B6135" s="162" t="s">
        <v>12482</v>
      </c>
      <c r="C6135" s="162" t="s">
        <v>12538</v>
      </c>
      <c r="D6135" s="162" t="s">
        <v>12535</v>
      </c>
      <c r="F6135" s="162">
        <v>4096</v>
      </c>
      <c r="G6135" s="162">
        <v>1</v>
      </c>
    </row>
    <row r="6136" spans="2:7" ht="57.6">
      <c r="B6136" s="162" t="s">
        <v>12482</v>
      </c>
      <c r="C6136" s="162" t="s">
        <v>12539</v>
      </c>
      <c r="D6136" s="162" t="s">
        <v>12540</v>
      </c>
      <c r="F6136" s="162">
        <v>5354</v>
      </c>
      <c r="G6136" s="162">
        <v>1</v>
      </c>
    </row>
    <row r="6137" spans="2:7" ht="57.6">
      <c r="B6137" s="162" t="s">
        <v>12482</v>
      </c>
      <c r="C6137" s="162" t="s">
        <v>12541</v>
      </c>
      <c r="D6137" s="162" t="s">
        <v>12540</v>
      </c>
      <c r="F6137" s="162">
        <v>5354</v>
      </c>
      <c r="G6137" s="162">
        <v>1</v>
      </c>
    </row>
    <row r="6138" spans="2:7" ht="57.6">
      <c r="B6138" s="162" t="s">
        <v>12482</v>
      </c>
      <c r="C6138" s="162" t="s">
        <v>12542</v>
      </c>
      <c r="D6138" s="162" t="s">
        <v>12543</v>
      </c>
      <c r="F6138" s="162">
        <v>2224</v>
      </c>
      <c r="G6138" s="162">
        <v>1</v>
      </c>
    </row>
    <row r="6139" spans="2:7" ht="57.6">
      <c r="B6139" s="162" t="s">
        <v>12482</v>
      </c>
      <c r="C6139" s="162" t="s">
        <v>12544</v>
      </c>
      <c r="D6139" s="162" t="s">
        <v>12543</v>
      </c>
      <c r="F6139" s="162">
        <v>2224</v>
      </c>
      <c r="G6139" s="162">
        <v>1</v>
      </c>
    </row>
    <row r="6140" spans="2:7" ht="57.6">
      <c r="B6140" s="162" t="s">
        <v>12482</v>
      </c>
      <c r="C6140" s="162" t="s">
        <v>12545</v>
      </c>
      <c r="D6140" s="162" t="s">
        <v>12543</v>
      </c>
      <c r="F6140" s="162">
        <v>2224</v>
      </c>
      <c r="G6140" s="162">
        <v>1</v>
      </c>
    </row>
    <row r="6141" spans="2:7" ht="57.6">
      <c r="B6141" s="162" t="s">
        <v>12482</v>
      </c>
      <c r="C6141" s="162" t="s">
        <v>12546</v>
      </c>
      <c r="D6141" s="162" t="s">
        <v>12543</v>
      </c>
      <c r="F6141" s="162">
        <v>2224</v>
      </c>
      <c r="G6141" s="162">
        <v>1</v>
      </c>
    </row>
    <row r="6142" spans="2:7" ht="57.6">
      <c r="B6142" s="162" t="s">
        <v>12482</v>
      </c>
      <c r="C6142" s="162" t="s">
        <v>12547</v>
      </c>
      <c r="D6142" s="162" t="s">
        <v>12543</v>
      </c>
      <c r="F6142" s="162">
        <v>2224</v>
      </c>
      <c r="G6142" s="162">
        <v>1</v>
      </c>
    </row>
    <row r="6143" spans="2:7" ht="57.6">
      <c r="B6143" s="162" t="s">
        <v>12482</v>
      </c>
      <c r="C6143" s="162" t="s">
        <v>12548</v>
      </c>
      <c r="D6143" s="162" t="s">
        <v>12543</v>
      </c>
      <c r="F6143" s="162">
        <v>2224</v>
      </c>
      <c r="G6143" s="162">
        <v>1</v>
      </c>
    </row>
    <row r="6144" spans="2:7" ht="57.6">
      <c r="B6144" s="162" t="s">
        <v>12482</v>
      </c>
      <c r="C6144" s="162" t="s">
        <v>12549</v>
      </c>
      <c r="D6144" s="162" t="s">
        <v>12543</v>
      </c>
      <c r="F6144" s="162">
        <v>2224</v>
      </c>
      <c r="G6144" s="162">
        <v>1</v>
      </c>
    </row>
    <row r="6145" spans="2:7" ht="57.6">
      <c r="B6145" s="162" t="s">
        <v>12482</v>
      </c>
      <c r="C6145" s="162" t="s">
        <v>12550</v>
      </c>
      <c r="D6145" s="162" t="s">
        <v>12543</v>
      </c>
      <c r="F6145" s="162">
        <v>2224</v>
      </c>
      <c r="G6145" s="162">
        <v>1</v>
      </c>
    </row>
    <row r="6146" spans="2:7" ht="57.6">
      <c r="B6146" s="162" t="s">
        <v>12482</v>
      </c>
      <c r="C6146" s="162" t="s">
        <v>12551</v>
      </c>
      <c r="D6146" s="162" t="s">
        <v>12543</v>
      </c>
      <c r="F6146" s="162">
        <v>2224</v>
      </c>
      <c r="G6146" s="162">
        <v>1</v>
      </c>
    </row>
    <row r="6147" spans="2:7" ht="57.6">
      <c r="B6147" s="162" t="s">
        <v>12482</v>
      </c>
      <c r="C6147" s="162" t="s">
        <v>1889</v>
      </c>
      <c r="D6147" s="162" t="s">
        <v>12543</v>
      </c>
      <c r="F6147" s="162">
        <v>2224</v>
      </c>
      <c r="G6147" s="162">
        <v>1</v>
      </c>
    </row>
    <row r="6148" spans="2:7" ht="57.6">
      <c r="B6148" s="162" t="s">
        <v>12482</v>
      </c>
      <c r="C6148" s="162" t="s">
        <v>12552</v>
      </c>
      <c r="D6148" s="162" t="s">
        <v>12543</v>
      </c>
      <c r="F6148" s="162">
        <v>2224</v>
      </c>
      <c r="G6148" s="162">
        <v>1</v>
      </c>
    </row>
    <row r="6149" spans="2:7" ht="57.6">
      <c r="B6149" s="162" t="s">
        <v>12482</v>
      </c>
      <c r="C6149" s="162" t="s">
        <v>12553</v>
      </c>
      <c r="D6149" s="162" t="s">
        <v>12543</v>
      </c>
      <c r="F6149" s="162">
        <v>2224</v>
      </c>
      <c r="G6149" s="162">
        <v>1</v>
      </c>
    </row>
    <row r="6150" spans="2:7" ht="57.6">
      <c r="B6150" s="162" t="s">
        <v>12482</v>
      </c>
      <c r="C6150" s="162" t="s">
        <v>12554</v>
      </c>
      <c r="D6150" s="162" t="s">
        <v>12543</v>
      </c>
      <c r="F6150" s="162">
        <v>2224</v>
      </c>
      <c r="G6150" s="162">
        <v>1</v>
      </c>
    </row>
    <row r="6151" spans="2:7" ht="57.6">
      <c r="B6151" s="162" t="s">
        <v>12482</v>
      </c>
      <c r="C6151" s="162" t="s">
        <v>12555</v>
      </c>
      <c r="D6151" s="162" t="s">
        <v>12556</v>
      </c>
      <c r="F6151" s="162">
        <v>3124</v>
      </c>
      <c r="G6151" s="162">
        <v>1</v>
      </c>
    </row>
    <row r="6152" spans="2:7" ht="57.6">
      <c r="B6152" s="162" t="s">
        <v>12482</v>
      </c>
      <c r="C6152" s="162" t="s">
        <v>12557</v>
      </c>
      <c r="D6152" s="162" t="s">
        <v>12558</v>
      </c>
      <c r="F6152" s="162">
        <v>3500</v>
      </c>
      <c r="G6152" s="162">
        <v>1</v>
      </c>
    </row>
    <row r="6153" spans="2:7" ht="57.6">
      <c r="B6153" s="162" t="s">
        <v>12482</v>
      </c>
      <c r="C6153" s="162" t="s">
        <v>12559</v>
      </c>
      <c r="D6153" s="162" t="s">
        <v>12560</v>
      </c>
      <c r="F6153" s="162">
        <v>2224</v>
      </c>
      <c r="G6153" s="162">
        <v>1</v>
      </c>
    </row>
    <row r="6154" spans="2:7" ht="57.6">
      <c r="B6154" s="162" t="s">
        <v>12482</v>
      </c>
      <c r="C6154" s="162" t="s">
        <v>12561</v>
      </c>
      <c r="D6154" s="162" t="s">
        <v>12560</v>
      </c>
      <c r="F6154" s="162">
        <v>2224</v>
      </c>
      <c r="G6154" s="162">
        <v>1</v>
      </c>
    </row>
    <row r="6155" spans="2:7" ht="57.6">
      <c r="B6155" s="162" t="s">
        <v>12482</v>
      </c>
      <c r="C6155" s="162" t="s">
        <v>12562</v>
      </c>
      <c r="D6155" s="162" t="s">
        <v>12560</v>
      </c>
      <c r="F6155" s="162">
        <v>2224</v>
      </c>
      <c r="G6155" s="162">
        <v>1</v>
      </c>
    </row>
    <row r="6156" spans="2:7" ht="57.6">
      <c r="B6156" s="162" t="s">
        <v>12482</v>
      </c>
      <c r="C6156" s="162" t="s">
        <v>12563</v>
      </c>
      <c r="D6156" s="162" t="s">
        <v>12560</v>
      </c>
      <c r="F6156" s="162">
        <v>2224</v>
      </c>
      <c r="G6156" s="162">
        <v>1</v>
      </c>
    </row>
    <row r="6157" spans="2:7" ht="57.6">
      <c r="B6157" s="162" t="s">
        <v>12482</v>
      </c>
      <c r="C6157" s="162" t="s">
        <v>12564</v>
      </c>
      <c r="D6157" s="162" t="s">
        <v>12560</v>
      </c>
      <c r="F6157" s="162">
        <v>2224</v>
      </c>
      <c r="G6157" s="162">
        <v>1</v>
      </c>
    </row>
    <row r="6158" spans="2:7" ht="57.6">
      <c r="B6158" s="162" t="s">
        <v>12482</v>
      </c>
      <c r="C6158" s="162" t="s">
        <v>12565</v>
      </c>
      <c r="D6158" s="162" t="s">
        <v>12560</v>
      </c>
      <c r="F6158" s="162">
        <v>2224</v>
      </c>
      <c r="G6158" s="162">
        <v>1</v>
      </c>
    </row>
    <row r="6159" spans="2:7" ht="57.6">
      <c r="B6159" s="162" t="s">
        <v>12482</v>
      </c>
      <c r="C6159" s="162" t="s">
        <v>12566</v>
      </c>
      <c r="D6159" s="162" t="s">
        <v>12560</v>
      </c>
      <c r="F6159" s="162">
        <v>2224</v>
      </c>
      <c r="G6159" s="162">
        <v>1</v>
      </c>
    </row>
    <row r="6160" spans="2:7" ht="57.6">
      <c r="B6160" s="162" t="s">
        <v>12482</v>
      </c>
      <c r="C6160" s="162" t="s">
        <v>12567</v>
      </c>
      <c r="D6160" s="162" t="s">
        <v>12560</v>
      </c>
      <c r="F6160" s="162">
        <v>2224</v>
      </c>
      <c r="G6160" s="162">
        <v>1</v>
      </c>
    </row>
    <row r="6161" spans="2:7" ht="57.6">
      <c r="B6161" s="162" t="s">
        <v>12482</v>
      </c>
      <c r="C6161" s="162" t="s">
        <v>12568</v>
      </c>
      <c r="D6161" s="162" t="s">
        <v>12560</v>
      </c>
      <c r="F6161" s="162">
        <v>2224</v>
      </c>
      <c r="G6161" s="162">
        <v>1</v>
      </c>
    </row>
    <row r="6162" spans="2:7" ht="57.6">
      <c r="B6162" s="162" t="s">
        <v>12482</v>
      </c>
      <c r="C6162" s="162" t="s">
        <v>12569</v>
      </c>
      <c r="D6162" s="162" t="s">
        <v>12560</v>
      </c>
      <c r="F6162" s="162">
        <v>2224</v>
      </c>
      <c r="G6162" s="162">
        <v>1</v>
      </c>
    </row>
    <row r="6163" spans="2:7" ht="57.6">
      <c r="B6163" s="162" t="s">
        <v>12482</v>
      </c>
      <c r="C6163" s="162" t="s">
        <v>12570</v>
      </c>
      <c r="D6163" s="162" t="s">
        <v>12560</v>
      </c>
      <c r="F6163" s="162">
        <v>2224</v>
      </c>
      <c r="G6163" s="162">
        <v>1</v>
      </c>
    </row>
    <row r="6164" spans="2:7" ht="57.6">
      <c r="B6164" s="162" t="s">
        <v>12482</v>
      </c>
      <c r="C6164" s="162" t="s">
        <v>12571</v>
      </c>
      <c r="D6164" s="162" t="s">
        <v>12560</v>
      </c>
      <c r="F6164" s="162">
        <v>2224</v>
      </c>
      <c r="G6164" s="162">
        <v>1</v>
      </c>
    </row>
    <row r="6165" spans="2:7" ht="57.6">
      <c r="B6165" s="162" t="s">
        <v>12482</v>
      </c>
      <c r="C6165" s="162" t="s">
        <v>12572</v>
      </c>
      <c r="D6165" s="162" t="s">
        <v>12560</v>
      </c>
      <c r="F6165" s="162">
        <v>2224</v>
      </c>
      <c r="G6165" s="162">
        <v>1</v>
      </c>
    </row>
    <row r="6166" spans="2:7" ht="57.6">
      <c r="B6166" s="162" t="s">
        <v>12482</v>
      </c>
      <c r="C6166" s="162" t="s">
        <v>12573</v>
      </c>
      <c r="D6166" s="162" t="s">
        <v>12560</v>
      </c>
      <c r="F6166" s="162">
        <v>2224</v>
      </c>
      <c r="G6166" s="162">
        <v>1</v>
      </c>
    </row>
    <row r="6167" spans="2:7" ht="57.6">
      <c r="B6167" s="162" t="s">
        <v>12482</v>
      </c>
      <c r="C6167" s="162" t="s">
        <v>12574</v>
      </c>
      <c r="D6167" s="162" t="s">
        <v>12560</v>
      </c>
      <c r="F6167" s="162">
        <v>2224</v>
      </c>
      <c r="G6167" s="162">
        <v>1</v>
      </c>
    </row>
    <row r="6168" spans="2:7" ht="57.6">
      <c r="B6168" s="162" t="s">
        <v>12482</v>
      </c>
      <c r="C6168" s="162" t="s">
        <v>12575</v>
      </c>
      <c r="D6168" s="162" t="s">
        <v>12560</v>
      </c>
      <c r="F6168" s="162">
        <v>2224</v>
      </c>
      <c r="G6168" s="162">
        <v>1</v>
      </c>
    </row>
    <row r="6169" spans="2:7" ht="57.6">
      <c r="B6169" s="162" t="s">
        <v>12482</v>
      </c>
      <c r="C6169" s="162" t="s">
        <v>12576</v>
      </c>
      <c r="D6169" s="162" t="s">
        <v>12560</v>
      </c>
      <c r="F6169" s="162">
        <v>2224</v>
      </c>
      <c r="G6169" s="162">
        <v>1</v>
      </c>
    </row>
    <row r="6170" spans="2:7" ht="57.6">
      <c r="B6170" s="162" t="s">
        <v>12482</v>
      </c>
      <c r="C6170" s="162" t="s">
        <v>12577</v>
      </c>
      <c r="D6170" s="162" t="s">
        <v>12560</v>
      </c>
      <c r="F6170" s="162">
        <v>2224</v>
      </c>
      <c r="G6170" s="162">
        <v>1</v>
      </c>
    </row>
    <row r="6171" spans="2:7" ht="57.6">
      <c r="B6171" s="162" t="s">
        <v>12482</v>
      </c>
      <c r="C6171" s="162" t="s">
        <v>12578</v>
      </c>
      <c r="D6171" s="162" t="s">
        <v>12560</v>
      </c>
      <c r="F6171" s="162">
        <v>2224</v>
      </c>
      <c r="G6171" s="162">
        <v>1</v>
      </c>
    </row>
    <row r="6172" spans="2:7" ht="57.6">
      <c r="B6172" s="162" t="s">
        <v>12482</v>
      </c>
      <c r="C6172" s="162" t="s">
        <v>12579</v>
      </c>
      <c r="D6172" s="162" t="s">
        <v>12560</v>
      </c>
      <c r="F6172" s="162">
        <v>2224</v>
      </c>
      <c r="G6172" s="162">
        <v>1</v>
      </c>
    </row>
    <row r="6173" spans="2:7" ht="57.6">
      <c r="B6173" s="162" t="s">
        <v>12482</v>
      </c>
      <c r="C6173" s="162" t="s">
        <v>12580</v>
      </c>
      <c r="D6173" s="162" t="s">
        <v>12560</v>
      </c>
      <c r="F6173" s="162">
        <v>2224</v>
      </c>
      <c r="G6173" s="162">
        <v>1</v>
      </c>
    </row>
    <row r="6174" spans="2:7" ht="57.6">
      <c r="B6174" s="162" t="s">
        <v>12482</v>
      </c>
      <c r="C6174" s="162" t="s">
        <v>12581</v>
      </c>
      <c r="D6174" s="162" t="s">
        <v>12582</v>
      </c>
      <c r="F6174" s="162">
        <v>1613</v>
      </c>
      <c r="G6174" s="162">
        <v>1</v>
      </c>
    </row>
    <row r="6175" spans="2:7" ht="57.6">
      <c r="B6175" s="162" t="s">
        <v>12482</v>
      </c>
      <c r="C6175" s="162" t="s">
        <v>12583</v>
      </c>
      <c r="D6175" s="162" t="s">
        <v>12582</v>
      </c>
      <c r="F6175" s="162">
        <v>1613</v>
      </c>
      <c r="G6175" s="162">
        <v>1</v>
      </c>
    </row>
    <row r="6176" spans="2:7" ht="57.6">
      <c r="B6176" s="162" t="s">
        <v>12482</v>
      </c>
      <c r="C6176" s="162" t="s">
        <v>12584</v>
      </c>
      <c r="D6176" s="162" t="s">
        <v>12582</v>
      </c>
      <c r="F6176" s="162">
        <v>1613</v>
      </c>
      <c r="G6176" s="162">
        <v>1</v>
      </c>
    </row>
    <row r="6177" spans="2:7" ht="57.6">
      <c r="B6177" s="162" t="s">
        <v>12482</v>
      </c>
      <c r="C6177" s="162" t="s">
        <v>12585</v>
      </c>
      <c r="D6177" s="162" t="s">
        <v>12586</v>
      </c>
      <c r="F6177" s="162">
        <v>2642</v>
      </c>
      <c r="G6177" s="162">
        <v>1</v>
      </c>
    </row>
    <row r="6178" spans="2:7" ht="57.6">
      <c r="B6178" s="162" t="s">
        <v>12482</v>
      </c>
      <c r="C6178" s="162" t="s">
        <v>12587</v>
      </c>
      <c r="D6178" s="162" t="s">
        <v>12588</v>
      </c>
      <c r="F6178" s="162">
        <v>1924</v>
      </c>
      <c r="G6178" s="162">
        <v>1</v>
      </c>
    </row>
    <row r="6179" spans="2:7" ht="57.6">
      <c r="B6179" s="162" t="s">
        <v>12482</v>
      </c>
      <c r="C6179" s="162" t="s">
        <v>12589</v>
      </c>
      <c r="D6179" s="162" t="s">
        <v>12590</v>
      </c>
      <c r="F6179" s="162">
        <v>1924</v>
      </c>
      <c r="G6179" s="162">
        <v>1</v>
      </c>
    </row>
    <row r="6180" spans="2:7" ht="57.6">
      <c r="B6180" s="162" t="s">
        <v>12482</v>
      </c>
      <c r="C6180" s="162" t="s">
        <v>12591</v>
      </c>
      <c r="D6180" s="162" t="s">
        <v>12590</v>
      </c>
      <c r="F6180" s="162">
        <v>1924</v>
      </c>
      <c r="G6180" s="162">
        <v>1</v>
      </c>
    </row>
    <row r="6181" spans="2:7" ht="57.6">
      <c r="B6181" s="162" t="s">
        <v>12482</v>
      </c>
      <c r="C6181" s="162" t="s">
        <v>12592</v>
      </c>
      <c r="D6181" s="162" t="s">
        <v>12593</v>
      </c>
      <c r="F6181" s="162">
        <v>2224</v>
      </c>
      <c r="G6181" s="162">
        <v>1</v>
      </c>
    </row>
    <row r="6182" spans="2:7" ht="57.6">
      <c r="B6182" s="162" t="s">
        <v>12482</v>
      </c>
      <c r="C6182" s="162" t="s">
        <v>12594</v>
      </c>
      <c r="D6182" s="162" t="s">
        <v>12595</v>
      </c>
      <c r="F6182" s="162">
        <v>2224</v>
      </c>
      <c r="G6182" s="162">
        <v>1</v>
      </c>
    </row>
    <row r="6183" spans="2:7" ht="57.6">
      <c r="B6183" s="162" t="s">
        <v>12482</v>
      </c>
      <c r="C6183" s="162" t="s">
        <v>12596</v>
      </c>
      <c r="D6183" s="162" t="s">
        <v>12597</v>
      </c>
      <c r="F6183" s="162">
        <v>2642</v>
      </c>
      <c r="G6183" s="162">
        <v>1</v>
      </c>
    </row>
    <row r="6184" spans="2:7" ht="57.6">
      <c r="B6184" s="162" t="s">
        <v>12482</v>
      </c>
      <c r="C6184" s="162" t="s">
        <v>12598</v>
      </c>
      <c r="D6184" s="162" t="s">
        <v>12597</v>
      </c>
      <c r="F6184" s="162">
        <v>2642</v>
      </c>
      <c r="G6184" s="162">
        <v>1</v>
      </c>
    </row>
    <row r="6185" spans="2:7" ht="57.6">
      <c r="B6185" s="162" t="s">
        <v>12482</v>
      </c>
      <c r="C6185" s="162" t="s">
        <v>12599</v>
      </c>
      <c r="D6185" s="162" t="s">
        <v>12600</v>
      </c>
      <c r="F6185" s="162">
        <v>1702</v>
      </c>
      <c r="G6185" s="162">
        <v>1</v>
      </c>
    </row>
    <row r="6186" spans="2:7" ht="57.6">
      <c r="B6186" s="162" t="s">
        <v>12482</v>
      </c>
      <c r="C6186" s="162" t="s">
        <v>12601</v>
      </c>
      <c r="D6186" s="162" t="s">
        <v>12602</v>
      </c>
      <c r="F6186" s="162">
        <v>1702</v>
      </c>
      <c r="G6186" s="162">
        <v>1</v>
      </c>
    </row>
    <row r="6187" spans="2:7" ht="57.6">
      <c r="B6187" s="162" t="s">
        <v>12482</v>
      </c>
      <c r="C6187" s="162" t="s">
        <v>12603</v>
      </c>
      <c r="D6187" s="162" t="s">
        <v>12600</v>
      </c>
      <c r="F6187" s="162">
        <v>1702</v>
      </c>
      <c r="G6187" s="162">
        <v>1</v>
      </c>
    </row>
    <row r="6188" spans="2:7" ht="57.6">
      <c r="B6188" s="162" t="s">
        <v>12482</v>
      </c>
      <c r="C6188" s="162" t="s">
        <v>12604</v>
      </c>
      <c r="D6188" s="162" t="s">
        <v>12600</v>
      </c>
      <c r="F6188" s="162">
        <v>1702</v>
      </c>
      <c r="G6188" s="162">
        <v>1</v>
      </c>
    </row>
    <row r="6189" spans="2:7" ht="57.6">
      <c r="B6189" s="162" t="s">
        <v>12482</v>
      </c>
      <c r="C6189" s="162" t="s">
        <v>12605</v>
      </c>
      <c r="D6189" s="162" t="s">
        <v>12602</v>
      </c>
      <c r="F6189" s="162">
        <v>1702</v>
      </c>
      <c r="G6189" s="162">
        <v>1</v>
      </c>
    </row>
    <row r="6190" spans="2:7" ht="57.6">
      <c r="B6190" s="162" t="s">
        <v>12482</v>
      </c>
      <c r="C6190" s="162" t="s">
        <v>12606</v>
      </c>
      <c r="D6190" s="162" t="s">
        <v>12600</v>
      </c>
      <c r="F6190" s="162">
        <v>1702</v>
      </c>
      <c r="G6190" s="162">
        <v>1</v>
      </c>
    </row>
    <row r="6191" spans="2:7" ht="57.6">
      <c r="B6191" s="162" t="s">
        <v>12482</v>
      </c>
      <c r="C6191" s="162" t="s">
        <v>12607</v>
      </c>
      <c r="D6191" s="162" t="s">
        <v>12602</v>
      </c>
      <c r="F6191" s="162">
        <v>1702</v>
      </c>
      <c r="G6191" s="162">
        <v>1</v>
      </c>
    </row>
    <row r="6192" spans="2:7" ht="57.6">
      <c r="B6192" s="162" t="s">
        <v>12482</v>
      </c>
      <c r="C6192" s="162" t="s">
        <v>12608</v>
      </c>
      <c r="D6192" s="162" t="s">
        <v>12602</v>
      </c>
      <c r="F6192" s="162">
        <v>1702</v>
      </c>
      <c r="G6192" s="162">
        <v>1</v>
      </c>
    </row>
    <row r="6193" spans="2:7" ht="57.6">
      <c r="B6193" s="162" t="s">
        <v>12482</v>
      </c>
      <c r="C6193" s="162" t="s">
        <v>12609</v>
      </c>
      <c r="D6193" s="162" t="s">
        <v>12600</v>
      </c>
      <c r="F6193" s="162">
        <v>1702</v>
      </c>
      <c r="G6193" s="162">
        <v>1</v>
      </c>
    </row>
    <row r="6194" spans="2:7" ht="57.6">
      <c r="B6194" s="162" t="s">
        <v>12482</v>
      </c>
      <c r="C6194" s="162" t="s">
        <v>12610</v>
      </c>
      <c r="D6194" s="162" t="s">
        <v>12600</v>
      </c>
      <c r="F6194" s="162">
        <v>1702</v>
      </c>
      <c r="G6194" s="162">
        <v>1</v>
      </c>
    </row>
    <row r="6195" spans="2:7" ht="57.6">
      <c r="B6195" s="162" t="s">
        <v>12482</v>
      </c>
      <c r="C6195" s="162" t="s">
        <v>12611</v>
      </c>
      <c r="D6195" s="162" t="s">
        <v>12600</v>
      </c>
      <c r="F6195" s="162">
        <v>1702</v>
      </c>
      <c r="G6195" s="162">
        <v>1</v>
      </c>
    </row>
    <row r="6196" spans="2:7" ht="57.6">
      <c r="B6196" s="162" t="s">
        <v>12482</v>
      </c>
      <c r="C6196" s="162" t="s">
        <v>12612</v>
      </c>
      <c r="D6196" s="162" t="s">
        <v>12600</v>
      </c>
      <c r="F6196" s="162">
        <v>1702</v>
      </c>
      <c r="G6196" s="162">
        <v>1</v>
      </c>
    </row>
    <row r="6197" spans="2:7" ht="57.6">
      <c r="B6197" s="162" t="s">
        <v>12482</v>
      </c>
      <c r="C6197" s="162" t="s">
        <v>12613</v>
      </c>
      <c r="D6197" s="162" t="s">
        <v>12600</v>
      </c>
      <c r="F6197" s="162">
        <v>1702</v>
      </c>
      <c r="G6197" s="162">
        <v>1</v>
      </c>
    </row>
    <row r="6198" spans="2:7" ht="57.6">
      <c r="B6198" s="162" t="s">
        <v>12482</v>
      </c>
      <c r="C6198" s="162" t="s">
        <v>12614</v>
      </c>
      <c r="D6198" s="162" t="s">
        <v>12600</v>
      </c>
      <c r="F6198" s="162">
        <v>1702</v>
      </c>
      <c r="G6198" s="162">
        <v>1</v>
      </c>
    </row>
    <row r="6199" spans="2:7" ht="57.6">
      <c r="B6199" s="162" t="s">
        <v>12482</v>
      </c>
      <c r="C6199" s="162" t="s">
        <v>12615</v>
      </c>
      <c r="D6199" s="162" t="s">
        <v>12602</v>
      </c>
      <c r="F6199" s="162">
        <v>1702</v>
      </c>
      <c r="G6199" s="162">
        <v>1</v>
      </c>
    </row>
    <row r="6200" spans="2:7" ht="57.6">
      <c r="B6200" s="162" t="s">
        <v>12482</v>
      </c>
      <c r="C6200" s="162" t="s">
        <v>12616</v>
      </c>
      <c r="D6200" s="162" t="s">
        <v>12602</v>
      </c>
      <c r="F6200" s="162">
        <v>1702</v>
      </c>
      <c r="G6200" s="162">
        <v>1</v>
      </c>
    </row>
    <row r="6201" spans="2:7" ht="57.6">
      <c r="B6201" s="162" t="s">
        <v>12482</v>
      </c>
      <c r="C6201" s="162" t="s">
        <v>12617</v>
      </c>
      <c r="D6201" s="162" t="s">
        <v>12600</v>
      </c>
      <c r="F6201" s="162">
        <v>1702</v>
      </c>
      <c r="G6201" s="162">
        <v>1</v>
      </c>
    </row>
    <row r="6202" spans="2:7" ht="57.6">
      <c r="B6202" s="162" t="s">
        <v>12482</v>
      </c>
      <c r="C6202" s="162" t="s">
        <v>12618</v>
      </c>
      <c r="D6202" s="162" t="s">
        <v>12600</v>
      </c>
      <c r="F6202" s="162">
        <v>1702</v>
      </c>
      <c r="G6202" s="162">
        <v>1</v>
      </c>
    </row>
    <row r="6203" spans="2:7" ht="57.6">
      <c r="B6203" s="162" t="s">
        <v>12482</v>
      </c>
      <c r="C6203" s="162" t="s">
        <v>12619</v>
      </c>
      <c r="D6203" s="162" t="s">
        <v>12600</v>
      </c>
      <c r="F6203" s="162">
        <v>1702</v>
      </c>
      <c r="G6203" s="162">
        <v>1</v>
      </c>
    </row>
    <row r="6204" spans="2:7" ht="57.6">
      <c r="B6204" s="162" t="s">
        <v>12482</v>
      </c>
      <c r="C6204" s="162" t="s">
        <v>12620</v>
      </c>
      <c r="D6204" s="162" t="s">
        <v>12600</v>
      </c>
      <c r="F6204" s="162">
        <v>1702</v>
      </c>
      <c r="G6204" s="162">
        <v>1</v>
      </c>
    </row>
    <row r="6205" spans="2:7" ht="57.6">
      <c r="B6205" s="162" t="s">
        <v>12482</v>
      </c>
      <c r="C6205" s="162" t="s">
        <v>12621</v>
      </c>
      <c r="D6205" s="162" t="s">
        <v>12600</v>
      </c>
      <c r="F6205" s="162">
        <v>1702</v>
      </c>
      <c r="G6205" s="162">
        <v>1</v>
      </c>
    </row>
    <row r="6206" spans="2:7" ht="57.6">
      <c r="B6206" s="162" t="s">
        <v>12482</v>
      </c>
      <c r="C6206" s="162" t="s">
        <v>12622</v>
      </c>
      <c r="D6206" s="162" t="s">
        <v>12602</v>
      </c>
      <c r="F6206" s="162">
        <v>1702</v>
      </c>
      <c r="G6206" s="162">
        <v>1</v>
      </c>
    </row>
    <row r="6207" spans="2:7" ht="57.6">
      <c r="B6207" s="162" t="s">
        <v>12482</v>
      </c>
      <c r="C6207" s="162" t="s">
        <v>12623</v>
      </c>
      <c r="D6207" s="162" t="s">
        <v>12600</v>
      </c>
      <c r="F6207" s="162">
        <v>1702</v>
      </c>
      <c r="G6207" s="162">
        <v>1</v>
      </c>
    </row>
    <row r="6208" spans="2:7" ht="57.6">
      <c r="B6208" s="162" t="s">
        <v>12482</v>
      </c>
      <c r="C6208" s="162" t="s">
        <v>12624</v>
      </c>
      <c r="D6208" s="162" t="s">
        <v>12602</v>
      </c>
      <c r="F6208" s="162">
        <v>1702</v>
      </c>
      <c r="G6208" s="162">
        <v>1</v>
      </c>
    </row>
    <row r="6209" spans="2:7" ht="57.6">
      <c r="B6209" s="162" t="s">
        <v>12482</v>
      </c>
      <c r="C6209" s="162" t="s">
        <v>12625</v>
      </c>
      <c r="D6209" s="162" t="s">
        <v>12600</v>
      </c>
      <c r="F6209" s="162">
        <v>1702</v>
      </c>
      <c r="G6209" s="162">
        <v>1</v>
      </c>
    </row>
    <row r="6210" spans="2:7" ht="57.6">
      <c r="B6210" s="162" t="s">
        <v>12482</v>
      </c>
      <c r="C6210" s="162" t="s">
        <v>12626</v>
      </c>
      <c r="D6210" s="162" t="s">
        <v>12600</v>
      </c>
      <c r="F6210" s="162">
        <v>1702</v>
      </c>
      <c r="G6210" s="162">
        <v>1</v>
      </c>
    </row>
    <row r="6211" spans="2:7" ht="57.6">
      <c r="B6211" s="162" t="s">
        <v>12482</v>
      </c>
      <c r="C6211" s="162" t="s">
        <v>12627</v>
      </c>
      <c r="D6211" s="162" t="s">
        <v>12600</v>
      </c>
      <c r="F6211" s="162">
        <v>1702</v>
      </c>
      <c r="G6211" s="162">
        <v>1</v>
      </c>
    </row>
    <row r="6212" spans="2:7" ht="57.6">
      <c r="B6212" s="162" t="s">
        <v>12482</v>
      </c>
      <c r="C6212" s="162" t="s">
        <v>12628</v>
      </c>
      <c r="D6212" s="162" t="s">
        <v>12600</v>
      </c>
      <c r="F6212" s="162">
        <v>1702</v>
      </c>
      <c r="G6212" s="162">
        <v>1</v>
      </c>
    </row>
    <row r="6213" spans="2:7" ht="57.6">
      <c r="B6213" s="162" t="s">
        <v>12482</v>
      </c>
      <c r="C6213" s="162" t="s">
        <v>12629</v>
      </c>
      <c r="D6213" s="162" t="s">
        <v>12600</v>
      </c>
      <c r="F6213" s="162">
        <v>1702</v>
      </c>
      <c r="G6213" s="162">
        <v>1</v>
      </c>
    </row>
    <row r="6214" spans="2:7" ht="57.6">
      <c r="B6214" s="162" t="s">
        <v>12482</v>
      </c>
      <c r="C6214" s="162" t="s">
        <v>12630</v>
      </c>
      <c r="D6214" s="162" t="s">
        <v>12600</v>
      </c>
      <c r="F6214" s="162">
        <v>1702</v>
      </c>
      <c r="G6214" s="162">
        <v>1</v>
      </c>
    </row>
    <row r="6215" spans="2:7" ht="57.6">
      <c r="B6215" s="162" t="s">
        <v>12482</v>
      </c>
      <c r="C6215" s="162" t="s">
        <v>12631</v>
      </c>
      <c r="D6215" s="162" t="s">
        <v>12600</v>
      </c>
      <c r="F6215" s="162">
        <v>1702</v>
      </c>
      <c r="G6215" s="162">
        <v>1</v>
      </c>
    </row>
    <row r="6216" spans="2:7" ht="57.6">
      <c r="B6216" s="162" t="s">
        <v>12482</v>
      </c>
      <c r="C6216" s="162" t="s">
        <v>12632</v>
      </c>
      <c r="D6216" s="162" t="s">
        <v>12633</v>
      </c>
      <c r="F6216" s="162">
        <v>497</v>
      </c>
      <c r="G6216" s="162">
        <v>1</v>
      </c>
    </row>
    <row r="6217" spans="2:7" ht="57.6">
      <c r="B6217" s="162" t="s">
        <v>12482</v>
      </c>
      <c r="C6217" s="162" t="s">
        <v>12634</v>
      </c>
      <c r="D6217" s="162" t="s">
        <v>12635</v>
      </c>
      <c r="F6217" s="162">
        <v>497</v>
      </c>
      <c r="G6217" s="162">
        <v>1</v>
      </c>
    </row>
    <row r="6218" spans="2:7" ht="57.6">
      <c r="B6218" s="162" t="s">
        <v>12482</v>
      </c>
      <c r="C6218" s="162" t="s">
        <v>12636</v>
      </c>
      <c r="D6218" s="162" t="s">
        <v>12637</v>
      </c>
      <c r="F6218" s="162">
        <v>497</v>
      </c>
      <c r="G6218" s="162">
        <v>1</v>
      </c>
    </row>
    <row r="6219" spans="2:7" ht="57.6">
      <c r="B6219" s="162" t="s">
        <v>12482</v>
      </c>
      <c r="C6219" s="162" t="s">
        <v>12638</v>
      </c>
      <c r="D6219" s="162" t="s">
        <v>12639</v>
      </c>
      <c r="F6219" s="162">
        <v>497</v>
      </c>
      <c r="G6219" s="162">
        <v>1</v>
      </c>
    </row>
    <row r="6220" spans="2:7" ht="57.6">
      <c r="B6220" s="162" t="s">
        <v>12482</v>
      </c>
      <c r="C6220" s="162" t="s">
        <v>12640</v>
      </c>
      <c r="D6220" s="162" t="s">
        <v>12641</v>
      </c>
      <c r="F6220" s="162">
        <v>497</v>
      </c>
      <c r="G6220" s="162">
        <v>1</v>
      </c>
    </row>
    <row r="6221" spans="2:7" ht="57.6">
      <c r="B6221" s="162" t="s">
        <v>12482</v>
      </c>
      <c r="C6221" s="162" t="s">
        <v>12642</v>
      </c>
      <c r="D6221" s="162" t="s">
        <v>12643</v>
      </c>
      <c r="F6221" s="162">
        <v>497</v>
      </c>
      <c r="G6221" s="162">
        <v>1</v>
      </c>
    </row>
    <row r="6222" spans="2:7" ht="57.6">
      <c r="B6222" s="162" t="s">
        <v>12482</v>
      </c>
      <c r="C6222" s="162" t="s">
        <v>12644</v>
      </c>
      <c r="D6222" s="162" t="s">
        <v>12645</v>
      </c>
      <c r="F6222" s="162">
        <v>370</v>
      </c>
      <c r="G6222" s="162">
        <v>1</v>
      </c>
    </row>
    <row r="6223" spans="2:7" ht="57.6">
      <c r="B6223" s="162" t="s">
        <v>12482</v>
      </c>
      <c r="C6223" s="162" t="s">
        <v>12646</v>
      </c>
      <c r="D6223" s="162" t="s">
        <v>12647</v>
      </c>
      <c r="F6223" s="162">
        <v>370</v>
      </c>
      <c r="G6223" s="162">
        <v>1</v>
      </c>
    </row>
    <row r="6224" spans="2:7" ht="57.6">
      <c r="B6224" s="162" t="s">
        <v>12482</v>
      </c>
      <c r="C6224" s="162" t="s">
        <v>12648</v>
      </c>
      <c r="D6224" s="162" t="s">
        <v>12649</v>
      </c>
      <c r="F6224" s="162">
        <v>370</v>
      </c>
      <c r="G6224" s="162">
        <v>1</v>
      </c>
    </row>
    <row r="6225" spans="2:7" ht="57.6">
      <c r="B6225" s="162" t="s">
        <v>12482</v>
      </c>
      <c r="C6225" s="162" t="s">
        <v>12650</v>
      </c>
      <c r="D6225" s="162" t="s">
        <v>12651</v>
      </c>
      <c r="F6225" s="162">
        <v>370</v>
      </c>
      <c r="G6225" s="162">
        <v>1</v>
      </c>
    </row>
    <row r="6226" spans="2:7" ht="57.6">
      <c r="B6226" s="162" t="s">
        <v>12482</v>
      </c>
      <c r="C6226" s="162" t="s">
        <v>12652</v>
      </c>
      <c r="D6226" s="162" t="s">
        <v>12653</v>
      </c>
      <c r="F6226" s="162">
        <v>624</v>
      </c>
      <c r="G6226" s="162">
        <v>1</v>
      </c>
    </row>
    <row r="6227" spans="2:7" ht="57.6">
      <c r="B6227" s="162" t="s">
        <v>12482</v>
      </c>
      <c r="C6227" s="162" t="s">
        <v>12654</v>
      </c>
      <c r="D6227" s="162" t="s">
        <v>12655</v>
      </c>
      <c r="F6227" s="162">
        <v>624</v>
      </c>
      <c r="G6227" s="162">
        <v>1</v>
      </c>
    </row>
    <row r="6228" spans="2:7" ht="57.6">
      <c r="B6228" s="162" t="s">
        <v>12482</v>
      </c>
      <c r="C6228" s="162" t="s">
        <v>12656</v>
      </c>
      <c r="D6228" s="162" t="s">
        <v>12657</v>
      </c>
      <c r="F6228" s="162">
        <v>624</v>
      </c>
      <c r="G6228" s="162">
        <v>1</v>
      </c>
    </row>
    <row r="6229" spans="2:7" ht="57.6">
      <c r="B6229" s="162" t="s">
        <v>12482</v>
      </c>
      <c r="C6229" s="162" t="s">
        <v>12658</v>
      </c>
      <c r="D6229" s="162" t="s">
        <v>12659</v>
      </c>
      <c r="F6229" s="162">
        <v>624</v>
      </c>
      <c r="G6229" s="162">
        <v>1</v>
      </c>
    </row>
    <row r="6230" spans="2:7" ht="57.6">
      <c r="B6230" s="162" t="s">
        <v>12482</v>
      </c>
      <c r="C6230" s="162" t="s">
        <v>12660</v>
      </c>
      <c r="D6230" s="162" t="s">
        <v>12661</v>
      </c>
      <c r="F6230" s="162">
        <v>624</v>
      </c>
      <c r="G6230" s="162">
        <v>1</v>
      </c>
    </row>
    <row r="6231" spans="2:7" ht="57.6">
      <c r="B6231" s="162" t="s">
        <v>12482</v>
      </c>
      <c r="C6231" s="162" t="s">
        <v>12662</v>
      </c>
      <c r="D6231" s="162" t="s">
        <v>12663</v>
      </c>
      <c r="F6231" s="162">
        <v>624</v>
      </c>
      <c r="G6231" s="162">
        <v>1</v>
      </c>
    </row>
    <row r="6232" spans="2:7" ht="57.6">
      <c r="B6232" s="162" t="s">
        <v>12482</v>
      </c>
      <c r="C6232" s="162" t="s">
        <v>12664</v>
      </c>
      <c r="D6232" s="162" t="s">
        <v>12665</v>
      </c>
      <c r="F6232" s="162">
        <v>624</v>
      </c>
      <c r="G6232" s="162">
        <v>1</v>
      </c>
    </row>
    <row r="6233" spans="2:7" ht="57.6">
      <c r="B6233" s="162" t="s">
        <v>12482</v>
      </c>
      <c r="C6233" s="162" t="s">
        <v>12666</v>
      </c>
      <c r="D6233" s="162" t="s">
        <v>12667</v>
      </c>
      <c r="F6233" s="162">
        <v>624</v>
      </c>
      <c r="G6233" s="162">
        <v>1</v>
      </c>
    </row>
    <row r="6234" spans="2:7" ht="57.6">
      <c r="B6234" s="162" t="s">
        <v>12482</v>
      </c>
      <c r="C6234" s="162" t="s">
        <v>12668</v>
      </c>
      <c r="D6234" s="162" t="s">
        <v>12669</v>
      </c>
      <c r="F6234" s="162">
        <v>696</v>
      </c>
      <c r="G6234" s="162">
        <v>1</v>
      </c>
    </row>
    <row r="6235" spans="2:7" ht="57.6">
      <c r="B6235" s="162" t="s">
        <v>12482</v>
      </c>
      <c r="C6235" s="162" t="s">
        <v>1890</v>
      </c>
      <c r="D6235" s="162" t="s">
        <v>12670</v>
      </c>
      <c r="F6235" s="162">
        <v>668</v>
      </c>
      <c r="G6235" s="162">
        <v>1</v>
      </c>
    </row>
    <row r="6236" spans="2:7" ht="57.6">
      <c r="B6236" s="162" t="s">
        <v>12482</v>
      </c>
      <c r="C6236" s="162" t="s">
        <v>12671</v>
      </c>
      <c r="D6236" s="162" t="s">
        <v>12672</v>
      </c>
      <c r="F6236" s="162">
        <v>179</v>
      </c>
      <c r="G6236" s="162">
        <v>1</v>
      </c>
    </row>
    <row r="6237" spans="2:7" ht="57.6">
      <c r="B6237" s="162" t="s">
        <v>12482</v>
      </c>
      <c r="C6237" s="162" t="s">
        <v>12673</v>
      </c>
      <c r="D6237" s="162" t="s">
        <v>12674</v>
      </c>
      <c r="F6237" s="162">
        <v>179</v>
      </c>
      <c r="G6237" s="162">
        <v>1</v>
      </c>
    </row>
    <row r="6238" spans="2:7" ht="57.6">
      <c r="B6238" s="162" t="s">
        <v>12482</v>
      </c>
      <c r="C6238" s="162" t="s">
        <v>12675</v>
      </c>
      <c r="D6238" s="162" t="s">
        <v>12676</v>
      </c>
      <c r="F6238" s="162">
        <v>179</v>
      </c>
      <c r="G6238" s="162">
        <v>1</v>
      </c>
    </row>
    <row r="6239" spans="2:7" ht="57.6">
      <c r="B6239" s="162" t="s">
        <v>12482</v>
      </c>
      <c r="C6239" s="162" t="s">
        <v>12677</v>
      </c>
      <c r="D6239" s="162" t="s">
        <v>12678</v>
      </c>
      <c r="F6239" s="162">
        <v>179</v>
      </c>
      <c r="G6239" s="162">
        <v>1</v>
      </c>
    </row>
    <row r="6240" spans="2:7" ht="57.6">
      <c r="B6240" s="162" t="s">
        <v>12482</v>
      </c>
      <c r="C6240" s="162" t="s">
        <v>12679</v>
      </c>
      <c r="D6240" s="162" t="s">
        <v>12680</v>
      </c>
      <c r="F6240" s="162">
        <v>497</v>
      </c>
      <c r="G6240" s="162">
        <v>1</v>
      </c>
    </row>
    <row r="6241" spans="2:7" ht="57.6">
      <c r="B6241" s="162" t="s">
        <v>12482</v>
      </c>
      <c r="C6241" s="162" t="s">
        <v>12681</v>
      </c>
      <c r="D6241" s="162" t="s">
        <v>12682</v>
      </c>
      <c r="F6241" s="162">
        <v>497</v>
      </c>
      <c r="G6241" s="162">
        <v>1</v>
      </c>
    </row>
    <row r="6242" spans="2:7" ht="57.6">
      <c r="B6242" s="162" t="s">
        <v>12482</v>
      </c>
      <c r="C6242" s="162" t="s">
        <v>12683</v>
      </c>
      <c r="D6242" s="162" t="s">
        <v>12684</v>
      </c>
      <c r="F6242" s="162">
        <v>179</v>
      </c>
      <c r="G6242" s="162">
        <v>1</v>
      </c>
    </row>
    <row r="6243" spans="2:7" ht="57.6">
      <c r="B6243" s="162" t="s">
        <v>12482</v>
      </c>
      <c r="C6243" s="162" t="s">
        <v>12685</v>
      </c>
      <c r="D6243" s="162" t="s">
        <v>12686</v>
      </c>
      <c r="F6243" s="162">
        <v>299</v>
      </c>
      <c r="G6243" s="162">
        <v>1</v>
      </c>
    </row>
    <row r="6244" spans="2:7" ht="57.6">
      <c r="B6244" s="162" t="s">
        <v>12482</v>
      </c>
      <c r="C6244" s="162" t="s">
        <v>12687</v>
      </c>
      <c r="D6244" s="162" t="s">
        <v>12688</v>
      </c>
      <c r="F6244" s="162">
        <v>179</v>
      </c>
      <c r="G6244" s="162">
        <v>1</v>
      </c>
    </row>
    <row r="6245" spans="2:7" ht="57.6">
      <c r="B6245" s="162" t="s">
        <v>12482</v>
      </c>
      <c r="C6245" s="162" t="s">
        <v>12689</v>
      </c>
      <c r="D6245" s="162" t="s">
        <v>12690</v>
      </c>
      <c r="F6245" s="162">
        <v>179</v>
      </c>
      <c r="G6245" s="162">
        <v>1</v>
      </c>
    </row>
    <row r="6246" spans="2:7" ht="57.6">
      <c r="B6246" s="162" t="s">
        <v>12482</v>
      </c>
      <c r="C6246" s="162" t="s">
        <v>12691</v>
      </c>
      <c r="D6246" s="162" t="s">
        <v>12692</v>
      </c>
      <c r="F6246" s="162">
        <v>179</v>
      </c>
      <c r="G6246" s="162">
        <v>1</v>
      </c>
    </row>
    <row r="6247" spans="2:7" ht="57.6">
      <c r="B6247" s="162" t="s">
        <v>12482</v>
      </c>
      <c r="C6247" s="162" t="s">
        <v>12693</v>
      </c>
      <c r="D6247" s="162" t="s">
        <v>12694</v>
      </c>
      <c r="F6247" s="162">
        <v>179</v>
      </c>
      <c r="G6247" s="162">
        <v>1</v>
      </c>
    </row>
    <row r="6248" spans="2:7" ht="57.6">
      <c r="B6248" s="162" t="s">
        <v>12482</v>
      </c>
      <c r="C6248" s="162" t="s">
        <v>12695</v>
      </c>
      <c r="D6248" s="162" t="s">
        <v>12696</v>
      </c>
      <c r="F6248" s="162">
        <v>179</v>
      </c>
      <c r="G6248" s="162">
        <v>1</v>
      </c>
    </row>
    <row r="6249" spans="2:7" ht="57.6">
      <c r="B6249" s="162" t="s">
        <v>12482</v>
      </c>
      <c r="C6249" s="162" t="s">
        <v>12697</v>
      </c>
      <c r="D6249" s="162" t="s">
        <v>12698</v>
      </c>
      <c r="F6249" s="162">
        <v>179</v>
      </c>
      <c r="G6249" s="162">
        <v>1</v>
      </c>
    </row>
    <row r="6250" spans="2:7" ht="57.6">
      <c r="B6250" s="162" t="s">
        <v>12482</v>
      </c>
      <c r="C6250" s="162" t="s">
        <v>12699</v>
      </c>
      <c r="D6250" s="162" t="s">
        <v>12700</v>
      </c>
      <c r="F6250" s="162">
        <v>179</v>
      </c>
      <c r="G6250" s="162">
        <v>1</v>
      </c>
    </row>
    <row r="6251" spans="2:7" ht="57.6">
      <c r="B6251" s="162" t="s">
        <v>12482</v>
      </c>
      <c r="C6251" s="162" t="s">
        <v>12701</v>
      </c>
      <c r="D6251" s="162" t="s">
        <v>12702</v>
      </c>
      <c r="F6251" s="162">
        <v>179</v>
      </c>
      <c r="G6251" s="162">
        <v>1</v>
      </c>
    </row>
    <row r="6252" spans="2:7" ht="57.6">
      <c r="B6252" s="162" t="s">
        <v>12482</v>
      </c>
      <c r="C6252" s="162" t="s">
        <v>12703</v>
      </c>
      <c r="D6252" s="162" t="s">
        <v>12704</v>
      </c>
      <c r="F6252" s="162">
        <v>624</v>
      </c>
      <c r="G6252" s="162">
        <v>1</v>
      </c>
    </row>
    <row r="6253" spans="2:7" ht="57.6">
      <c r="B6253" s="162" t="s">
        <v>12482</v>
      </c>
      <c r="C6253" s="162" t="s">
        <v>12705</v>
      </c>
      <c r="D6253" s="162" t="s">
        <v>12706</v>
      </c>
      <c r="F6253" s="162">
        <v>624</v>
      </c>
      <c r="G6253" s="162">
        <v>1</v>
      </c>
    </row>
    <row r="6254" spans="2:7" ht="57.6">
      <c r="B6254" s="162" t="s">
        <v>12482</v>
      </c>
      <c r="C6254" s="162" t="s">
        <v>12707</v>
      </c>
      <c r="D6254" s="162" t="s">
        <v>12708</v>
      </c>
      <c r="F6254" s="162">
        <v>624</v>
      </c>
      <c r="G6254" s="162">
        <v>1</v>
      </c>
    </row>
    <row r="6255" spans="2:7" ht="57.6">
      <c r="B6255" s="162" t="s">
        <v>12482</v>
      </c>
      <c r="C6255" s="162" t="s">
        <v>12709</v>
      </c>
      <c r="D6255" s="162" t="s">
        <v>12710</v>
      </c>
      <c r="F6255" s="162">
        <v>624</v>
      </c>
      <c r="G6255" s="162">
        <v>1</v>
      </c>
    </row>
    <row r="6256" spans="2:7" ht="57.6">
      <c r="B6256" s="162" t="s">
        <v>12482</v>
      </c>
      <c r="C6256" s="162" t="s">
        <v>12711</v>
      </c>
      <c r="D6256" s="162" t="s">
        <v>12712</v>
      </c>
      <c r="F6256" s="162">
        <v>624</v>
      </c>
      <c r="G6256" s="162">
        <v>1</v>
      </c>
    </row>
    <row r="6257" spans="2:7" ht="57.6">
      <c r="B6257" s="162" t="s">
        <v>12482</v>
      </c>
      <c r="C6257" s="162" t="s">
        <v>12713</v>
      </c>
      <c r="D6257" s="162" t="s">
        <v>12714</v>
      </c>
      <c r="F6257" s="162">
        <v>624</v>
      </c>
      <c r="G6257" s="162">
        <v>1</v>
      </c>
    </row>
    <row r="6258" spans="2:7" ht="57.6">
      <c r="B6258" s="162" t="s">
        <v>12482</v>
      </c>
      <c r="C6258" s="162" t="s">
        <v>12715</v>
      </c>
      <c r="D6258" s="162" t="s">
        <v>12716</v>
      </c>
      <c r="F6258" s="162">
        <v>624</v>
      </c>
      <c r="G6258" s="162">
        <v>1</v>
      </c>
    </row>
    <row r="6259" spans="2:7" ht="57.6">
      <c r="B6259" s="162" t="s">
        <v>12482</v>
      </c>
      <c r="C6259" s="162" t="s">
        <v>12717</v>
      </c>
      <c r="D6259" s="162" t="s">
        <v>12718</v>
      </c>
      <c r="F6259" s="162">
        <v>624</v>
      </c>
      <c r="G6259" s="162">
        <v>1</v>
      </c>
    </row>
    <row r="6260" spans="2:7" ht="57.6">
      <c r="B6260" s="162" t="s">
        <v>12482</v>
      </c>
      <c r="C6260" s="162" t="s">
        <v>12719</v>
      </c>
      <c r="D6260" s="162" t="s">
        <v>12720</v>
      </c>
      <c r="F6260" s="162">
        <v>624</v>
      </c>
      <c r="G6260" s="162">
        <v>1</v>
      </c>
    </row>
    <row r="6261" spans="2:7" ht="57.6">
      <c r="B6261" s="162" t="s">
        <v>12482</v>
      </c>
      <c r="C6261" s="162" t="s">
        <v>12721</v>
      </c>
      <c r="D6261" s="162" t="s">
        <v>12722</v>
      </c>
      <c r="F6261" s="162">
        <v>624</v>
      </c>
      <c r="G6261" s="162">
        <v>1</v>
      </c>
    </row>
    <row r="6262" spans="2:7" ht="57.6">
      <c r="B6262" s="162" t="s">
        <v>12482</v>
      </c>
      <c r="C6262" s="162" t="s">
        <v>12723</v>
      </c>
      <c r="D6262" s="162" t="s">
        <v>12724</v>
      </c>
      <c r="F6262" s="162">
        <v>624</v>
      </c>
      <c r="G6262" s="162">
        <v>1</v>
      </c>
    </row>
    <row r="6263" spans="2:7" ht="57.6">
      <c r="B6263" s="162" t="s">
        <v>12482</v>
      </c>
      <c r="C6263" s="162" t="s">
        <v>12725</v>
      </c>
      <c r="D6263" s="162" t="s">
        <v>12726</v>
      </c>
      <c r="F6263" s="162">
        <v>624</v>
      </c>
      <c r="G6263" s="162">
        <v>1</v>
      </c>
    </row>
    <row r="6264" spans="2:7" ht="57.6">
      <c r="B6264" s="162" t="s">
        <v>12482</v>
      </c>
      <c r="C6264" s="162" t="s">
        <v>12727</v>
      </c>
      <c r="D6264" s="162" t="s">
        <v>12728</v>
      </c>
      <c r="F6264" s="162">
        <v>624</v>
      </c>
      <c r="G6264" s="162">
        <v>1</v>
      </c>
    </row>
    <row r="6265" spans="2:7" ht="57.6">
      <c r="B6265" s="162" t="s">
        <v>12482</v>
      </c>
      <c r="C6265" s="162" t="s">
        <v>12729</v>
      </c>
      <c r="D6265" s="162" t="s">
        <v>12730</v>
      </c>
      <c r="F6265" s="162">
        <v>624</v>
      </c>
      <c r="G6265" s="162">
        <v>1</v>
      </c>
    </row>
    <row r="6266" spans="2:7" ht="57.6">
      <c r="B6266" s="162" t="s">
        <v>12482</v>
      </c>
      <c r="C6266" s="162" t="s">
        <v>12731</v>
      </c>
      <c r="D6266" s="162" t="s">
        <v>12732</v>
      </c>
      <c r="F6266" s="162">
        <v>624</v>
      </c>
      <c r="G6266" s="162">
        <v>1</v>
      </c>
    </row>
    <row r="6267" spans="2:7" ht="57.6">
      <c r="B6267" s="162" t="s">
        <v>12482</v>
      </c>
      <c r="C6267" s="162" t="s">
        <v>12733</v>
      </c>
      <c r="D6267" s="162" t="s">
        <v>12734</v>
      </c>
      <c r="F6267" s="162">
        <v>624</v>
      </c>
      <c r="G6267" s="162">
        <v>1</v>
      </c>
    </row>
    <row r="6268" spans="2:7" ht="57.6">
      <c r="B6268" s="162" t="s">
        <v>12482</v>
      </c>
      <c r="C6268" s="162" t="s">
        <v>12735</v>
      </c>
      <c r="D6268" s="162" t="s">
        <v>12734</v>
      </c>
      <c r="F6268" s="162">
        <v>370</v>
      </c>
      <c r="G6268" s="162">
        <v>1</v>
      </c>
    </row>
    <row r="6269" spans="2:7" ht="57.6">
      <c r="B6269" s="162" t="s">
        <v>12482</v>
      </c>
      <c r="C6269" s="162" t="s">
        <v>12736</v>
      </c>
      <c r="D6269" s="162" t="s">
        <v>12734</v>
      </c>
      <c r="F6269" s="162">
        <v>370</v>
      </c>
      <c r="G6269" s="162">
        <v>1</v>
      </c>
    </row>
    <row r="6270" spans="2:7" ht="57.6">
      <c r="B6270" s="162" t="s">
        <v>12482</v>
      </c>
      <c r="C6270" s="162" t="s">
        <v>12737</v>
      </c>
      <c r="D6270" s="162" t="s">
        <v>12734</v>
      </c>
      <c r="F6270" s="162">
        <v>370</v>
      </c>
      <c r="G6270" s="162">
        <v>1</v>
      </c>
    </row>
    <row r="6271" spans="2:7" ht="57.6">
      <c r="B6271" s="162" t="s">
        <v>12482</v>
      </c>
      <c r="C6271" s="162" t="s">
        <v>12738</v>
      </c>
      <c r="D6271" s="162" t="s">
        <v>12739</v>
      </c>
      <c r="F6271" s="162">
        <v>370</v>
      </c>
      <c r="G6271" s="162">
        <v>1</v>
      </c>
    </row>
    <row r="6272" spans="2:7" ht="57.6">
      <c r="B6272" s="162" t="s">
        <v>12482</v>
      </c>
      <c r="C6272" s="162" t="s">
        <v>12740</v>
      </c>
      <c r="D6272" s="162" t="s">
        <v>12741</v>
      </c>
      <c r="F6272" s="162">
        <v>2454</v>
      </c>
      <c r="G6272" s="162">
        <v>1</v>
      </c>
    </row>
    <row r="6273" spans="2:7" ht="57.6">
      <c r="B6273" s="162" t="s">
        <v>12482</v>
      </c>
      <c r="C6273" s="162" t="s">
        <v>12742</v>
      </c>
      <c r="D6273" s="162" t="s">
        <v>12743</v>
      </c>
      <c r="F6273" s="162">
        <v>2284</v>
      </c>
      <c r="G6273" s="162">
        <v>1</v>
      </c>
    </row>
    <row r="6274" spans="2:7" ht="57.6">
      <c r="B6274" s="162" t="s">
        <v>12482</v>
      </c>
      <c r="C6274" s="162" t="s">
        <v>12744</v>
      </c>
      <c r="D6274" s="162" t="s">
        <v>12739</v>
      </c>
      <c r="F6274" s="162">
        <v>2284</v>
      </c>
      <c r="G6274" s="162">
        <v>1</v>
      </c>
    </row>
    <row r="6275" spans="2:7" ht="57.6">
      <c r="B6275" s="162" t="s">
        <v>12482</v>
      </c>
      <c r="C6275" s="162" t="s">
        <v>12745</v>
      </c>
      <c r="D6275" s="162" t="s">
        <v>12741</v>
      </c>
      <c r="F6275" s="162">
        <v>2454</v>
      </c>
      <c r="G6275" s="162">
        <v>1</v>
      </c>
    </row>
    <row r="6276" spans="2:7" ht="57.6">
      <c r="B6276" s="162" t="s">
        <v>12482</v>
      </c>
      <c r="C6276" s="162" t="s">
        <v>12746</v>
      </c>
      <c r="D6276" s="162" t="s">
        <v>12743</v>
      </c>
      <c r="F6276" s="162">
        <v>2284</v>
      </c>
      <c r="G6276" s="162">
        <v>1</v>
      </c>
    </row>
    <row r="6277" spans="2:7" ht="57.6">
      <c r="B6277" s="162" t="s">
        <v>12482</v>
      </c>
      <c r="C6277" s="162" t="s">
        <v>12747</v>
      </c>
      <c r="D6277" s="162" t="s">
        <v>12748</v>
      </c>
      <c r="F6277" s="162">
        <v>2284</v>
      </c>
      <c r="G6277" s="162">
        <v>1</v>
      </c>
    </row>
    <row r="6278" spans="2:7" ht="57.6">
      <c r="B6278" s="162" t="s">
        <v>12482</v>
      </c>
      <c r="C6278" s="162" t="s">
        <v>12749</v>
      </c>
      <c r="D6278" s="162" t="s">
        <v>12750</v>
      </c>
      <c r="F6278" s="162">
        <v>2454</v>
      </c>
      <c r="G6278" s="162">
        <v>1</v>
      </c>
    </row>
    <row r="6279" spans="2:7" ht="57.6">
      <c r="B6279" s="162" t="s">
        <v>12482</v>
      </c>
      <c r="C6279" s="162" t="s">
        <v>12751</v>
      </c>
      <c r="D6279" s="162" t="s">
        <v>12743</v>
      </c>
      <c r="F6279" s="162">
        <v>2284</v>
      </c>
      <c r="G6279" s="162">
        <v>1</v>
      </c>
    </row>
    <row r="6280" spans="2:7" ht="57.6">
      <c r="B6280" s="162" t="s">
        <v>12482</v>
      </c>
      <c r="C6280" s="162" t="s">
        <v>12752</v>
      </c>
      <c r="D6280" s="162" t="s">
        <v>12739</v>
      </c>
      <c r="F6280" s="162">
        <v>2284</v>
      </c>
      <c r="G6280" s="162">
        <v>1</v>
      </c>
    </row>
    <row r="6281" spans="2:7" ht="57.6">
      <c r="B6281" s="162" t="s">
        <v>12482</v>
      </c>
      <c r="C6281" s="162" t="s">
        <v>12753</v>
      </c>
      <c r="D6281" s="162" t="s">
        <v>12741</v>
      </c>
      <c r="F6281" s="162">
        <v>2454</v>
      </c>
      <c r="G6281" s="162">
        <v>1</v>
      </c>
    </row>
    <row r="6282" spans="2:7" ht="57.6">
      <c r="B6282" s="162" t="s">
        <v>12482</v>
      </c>
      <c r="C6282" s="162" t="s">
        <v>12754</v>
      </c>
      <c r="D6282" s="162" t="s">
        <v>12743</v>
      </c>
      <c r="F6282" s="162">
        <v>2284</v>
      </c>
      <c r="G6282" s="162">
        <v>1</v>
      </c>
    </row>
    <row r="6283" spans="2:7" ht="57.6">
      <c r="B6283" s="162" t="s">
        <v>12482</v>
      </c>
      <c r="C6283" s="162" t="s">
        <v>12755</v>
      </c>
      <c r="D6283" s="162" t="s">
        <v>12743</v>
      </c>
      <c r="F6283" s="162">
        <v>2284</v>
      </c>
      <c r="G6283" s="162">
        <v>1</v>
      </c>
    </row>
    <row r="6284" spans="2:7" ht="57.6">
      <c r="B6284" s="162" t="s">
        <v>12482</v>
      </c>
      <c r="C6284" s="162" t="s">
        <v>12756</v>
      </c>
      <c r="D6284" s="162" t="s">
        <v>12757</v>
      </c>
      <c r="F6284" s="162">
        <v>2284</v>
      </c>
      <c r="G6284" s="162">
        <v>1</v>
      </c>
    </row>
    <row r="6285" spans="2:7" ht="57.6">
      <c r="B6285" s="162" t="s">
        <v>12482</v>
      </c>
      <c r="C6285" s="162" t="s">
        <v>12758</v>
      </c>
      <c r="D6285" s="162" t="s">
        <v>12759</v>
      </c>
      <c r="F6285" s="162">
        <v>2454</v>
      </c>
      <c r="G6285" s="162">
        <v>1</v>
      </c>
    </row>
    <row r="6286" spans="2:7" ht="57.6">
      <c r="B6286" s="162" t="s">
        <v>12482</v>
      </c>
      <c r="C6286" s="162" t="s">
        <v>12760</v>
      </c>
      <c r="D6286" s="162" t="s">
        <v>12761</v>
      </c>
      <c r="F6286" s="162">
        <v>2284</v>
      </c>
      <c r="G6286" s="162">
        <v>1</v>
      </c>
    </row>
    <row r="6287" spans="2:7" ht="57.6">
      <c r="B6287" s="162" t="s">
        <v>12482</v>
      </c>
      <c r="C6287" s="162" t="s">
        <v>12762</v>
      </c>
      <c r="D6287" s="162" t="s">
        <v>12739</v>
      </c>
      <c r="F6287" s="162">
        <v>2284</v>
      </c>
      <c r="G6287" s="162">
        <v>1</v>
      </c>
    </row>
    <row r="6288" spans="2:7" ht="57.6">
      <c r="B6288" s="162" t="s">
        <v>12482</v>
      </c>
      <c r="C6288" s="162" t="s">
        <v>12763</v>
      </c>
      <c r="D6288" s="162" t="s">
        <v>12741</v>
      </c>
      <c r="F6288" s="162">
        <v>2454</v>
      </c>
      <c r="G6288" s="162">
        <v>1</v>
      </c>
    </row>
    <row r="6289" spans="2:7" ht="57.6">
      <c r="B6289" s="162" t="s">
        <v>12482</v>
      </c>
      <c r="C6289" s="162" t="s">
        <v>12764</v>
      </c>
      <c r="D6289" s="162" t="s">
        <v>12743</v>
      </c>
      <c r="F6289" s="162">
        <v>2284</v>
      </c>
      <c r="G6289" s="162">
        <v>1</v>
      </c>
    </row>
    <row r="6290" spans="2:7" ht="57.6">
      <c r="B6290" s="162" t="s">
        <v>12482</v>
      </c>
      <c r="C6290" s="162" t="s">
        <v>12765</v>
      </c>
      <c r="D6290" s="162" t="s">
        <v>12739</v>
      </c>
      <c r="F6290" s="162">
        <v>2284</v>
      </c>
      <c r="G6290" s="162">
        <v>1</v>
      </c>
    </row>
    <row r="6291" spans="2:7" ht="57.6">
      <c r="B6291" s="162" t="s">
        <v>12482</v>
      </c>
      <c r="C6291" s="162" t="s">
        <v>12766</v>
      </c>
      <c r="D6291" s="162" t="s">
        <v>12741</v>
      </c>
      <c r="F6291" s="162">
        <v>2454</v>
      </c>
      <c r="G6291" s="162">
        <v>1</v>
      </c>
    </row>
    <row r="6292" spans="2:7" ht="57.6">
      <c r="B6292" s="162" t="s">
        <v>12482</v>
      </c>
      <c r="C6292" s="162" t="s">
        <v>12767</v>
      </c>
      <c r="D6292" s="162" t="s">
        <v>12743</v>
      </c>
      <c r="F6292" s="162">
        <v>2284</v>
      </c>
      <c r="G6292" s="162">
        <v>1</v>
      </c>
    </row>
    <row r="6293" spans="2:7" ht="57.6">
      <c r="B6293" s="162" t="s">
        <v>12482</v>
      </c>
      <c r="C6293" s="162" t="s">
        <v>12768</v>
      </c>
      <c r="D6293" s="162" t="s">
        <v>12769</v>
      </c>
      <c r="F6293" s="162">
        <v>2394</v>
      </c>
      <c r="G6293" s="162">
        <v>1</v>
      </c>
    </row>
    <row r="6294" spans="2:7" ht="57.6">
      <c r="B6294" s="162" t="s">
        <v>12482</v>
      </c>
      <c r="C6294" s="162" t="s">
        <v>12770</v>
      </c>
      <c r="D6294" s="162" t="s">
        <v>12771</v>
      </c>
      <c r="F6294" s="162">
        <v>2565</v>
      </c>
      <c r="G6294" s="162">
        <v>1</v>
      </c>
    </row>
    <row r="6295" spans="2:7" ht="57.6">
      <c r="B6295" s="162" t="s">
        <v>12482</v>
      </c>
      <c r="C6295" s="162" t="s">
        <v>12772</v>
      </c>
      <c r="D6295" s="162" t="s">
        <v>12743</v>
      </c>
      <c r="F6295" s="162">
        <v>2284</v>
      </c>
      <c r="G6295" s="162">
        <v>1</v>
      </c>
    </row>
    <row r="6296" spans="2:7" ht="57.6">
      <c r="B6296" s="162" t="s">
        <v>12482</v>
      </c>
      <c r="C6296" s="162" t="s">
        <v>12773</v>
      </c>
      <c r="D6296" s="162" t="s">
        <v>12748</v>
      </c>
      <c r="F6296" s="162">
        <v>2284</v>
      </c>
      <c r="G6296" s="162">
        <v>1</v>
      </c>
    </row>
    <row r="6297" spans="2:7" ht="57.6">
      <c r="B6297" s="162" t="s">
        <v>12482</v>
      </c>
      <c r="C6297" s="162" t="s">
        <v>12774</v>
      </c>
      <c r="D6297" s="162" t="s">
        <v>12750</v>
      </c>
      <c r="F6297" s="162">
        <v>2454</v>
      </c>
      <c r="G6297" s="162">
        <v>1</v>
      </c>
    </row>
    <row r="6298" spans="2:7" ht="57.6">
      <c r="B6298" s="162" t="s">
        <v>12482</v>
      </c>
      <c r="C6298" s="162" t="s">
        <v>12775</v>
      </c>
      <c r="D6298" s="162" t="s">
        <v>12743</v>
      </c>
      <c r="F6298" s="162">
        <v>2284</v>
      </c>
      <c r="G6298" s="162">
        <v>1</v>
      </c>
    </row>
    <row r="6299" spans="2:7" ht="57.6">
      <c r="B6299" s="162" t="s">
        <v>12482</v>
      </c>
      <c r="C6299" s="162" t="s">
        <v>12776</v>
      </c>
      <c r="D6299" s="162" t="s">
        <v>12739</v>
      </c>
      <c r="F6299" s="162">
        <v>2284</v>
      </c>
      <c r="G6299" s="162">
        <v>1</v>
      </c>
    </row>
    <row r="6300" spans="2:7" ht="57.6">
      <c r="B6300" s="162" t="s">
        <v>12482</v>
      </c>
      <c r="C6300" s="162" t="s">
        <v>12777</v>
      </c>
      <c r="D6300" s="162" t="s">
        <v>12741</v>
      </c>
      <c r="F6300" s="162">
        <v>2454</v>
      </c>
      <c r="G6300" s="162">
        <v>1</v>
      </c>
    </row>
    <row r="6301" spans="2:7" ht="57.6">
      <c r="B6301" s="162" t="s">
        <v>12482</v>
      </c>
      <c r="C6301" s="162" t="s">
        <v>12778</v>
      </c>
      <c r="D6301" s="162" t="s">
        <v>12743</v>
      </c>
      <c r="F6301" s="162">
        <v>2284</v>
      </c>
      <c r="G6301" s="162">
        <v>1</v>
      </c>
    </row>
    <row r="6302" spans="2:7" ht="57.6">
      <c r="B6302" s="162" t="s">
        <v>12482</v>
      </c>
      <c r="C6302" s="162" t="s">
        <v>12779</v>
      </c>
      <c r="D6302" s="162" t="s">
        <v>12780</v>
      </c>
      <c r="F6302" s="162">
        <v>2582</v>
      </c>
      <c r="G6302" s="162">
        <v>1</v>
      </c>
    </row>
    <row r="6303" spans="2:7" ht="57.6">
      <c r="B6303" s="162" t="s">
        <v>12482</v>
      </c>
      <c r="C6303" s="162" t="s">
        <v>12781</v>
      </c>
      <c r="D6303" s="162" t="s">
        <v>12782</v>
      </c>
      <c r="F6303" s="162">
        <v>2753</v>
      </c>
      <c r="G6303" s="162">
        <v>1</v>
      </c>
    </row>
    <row r="6304" spans="2:7" ht="57.6">
      <c r="B6304" s="162" t="s">
        <v>12482</v>
      </c>
      <c r="C6304" s="162" t="s">
        <v>12783</v>
      </c>
      <c r="D6304" s="162" t="s">
        <v>12761</v>
      </c>
      <c r="F6304" s="162">
        <v>2284</v>
      </c>
      <c r="G6304" s="162">
        <v>1</v>
      </c>
    </row>
    <row r="6305" spans="2:7" ht="57.6">
      <c r="B6305" s="162" t="s">
        <v>12482</v>
      </c>
      <c r="C6305" s="162" t="s">
        <v>12784</v>
      </c>
      <c r="D6305" s="162" t="s">
        <v>12739</v>
      </c>
      <c r="F6305" s="162">
        <v>2284</v>
      </c>
      <c r="G6305" s="162">
        <v>1</v>
      </c>
    </row>
    <row r="6306" spans="2:7" ht="57.6">
      <c r="B6306" s="162" t="s">
        <v>12482</v>
      </c>
      <c r="C6306" s="162" t="s">
        <v>12785</v>
      </c>
      <c r="D6306" s="162" t="s">
        <v>12741</v>
      </c>
      <c r="F6306" s="162">
        <v>2454</v>
      </c>
      <c r="G6306" s="162">
        <v>1</v>
      </c>
    </row>
    <row r="6307" spans="2:7" ht="57.6">
      <c r="B6307" s="162" t="s">
        <v>12482</v>
      </c>
      <c r="C6307" s="162" t="s">
        <v>12786</v>
      </c>
      <c r="D6307" s="162" t="s">
        <v>12743</v>
      </c>
      <c r="F6307" s="162">
        <v>2284</v>
      </c>
      <c r="G6307" s="162">
        <v>1</v>
      </c>
    </row>
    <row r="6308" spans="2:7" ht="57.6">
      <c r="B6308" s="162" t="s">
        <v>12482</v>
      </c>
      <c r="C6308" s="162" t="s">
        <v>12787</v>
      </c>
      <c r="D6308" s="162" t="s">
        <v>12739</v>
      </c>
      <c r="F6308" s="162">
        <v>2284</v>
      </c>
      <c r="G6308" s="162">
        <v>1</v>
      </c>
    </row>
    <row r="6309" spans="2:7" ht="57.6">
      <c r="B6309" s="162" t="s">
        <v>12482</v>
      </c>
      <c r="C6309" s="162" t="s">
        <v>12788</v>
      </c>
      <c r="D6309" s="162" t="s">
        <v>12741</v>
      </c>
      <c r="F6309" s="162">
        <v>2454</v>
      </c>
      <c r="G6309" s="162">
        <v>1</v>
      </c>
    </row>
    <row r="6310" spans="2:7" ht="57.6">
      <c r="B6310" s="162" t="s">
        <v>12482</v>
      </c>
      <c r="C6310" s="162" t="s">
        <v>12789</v>
      </c>
      <c r="D6310" s="162" t="s">
        <v>12743</v>
      </c>
      <c r="F6310" s="162">
        <v>2284</v>
      </c>
      <c r="G6310" s="162">
        <v>1</v>
      </c>
    </row>
    <row r="6311" spans="2:7" ht="57.6">
      <c r="B6311" s="162" t="s">
        <v>12482</v>
      </c>
      <c r="C6311" s="162" t="s">
        <v>12790</v>
      </c>
      <c r="D6311" s="162" t="s">
        <v>12739</v>
      </c>
      <c r="F6311" s="162">
        <v>2284</v>
      </c>
      <c r="G6311" s="162">
        <v>1</v>
      </c>
    </row>
    <row r="6312" spans="2:7" ht="57.6">
      <c r="B6312" s="162" t="s">
        <v>12482</v>
      </c>
      <c r="C6312" s="162" t="s">
        <v>12791</v>
      </c>
      <c r="D6312" s="162" t="s">
        <v>12741</v>
      </c>
      <c r="F6312" s="162">
        <v>2454</v>
      </c>
      <c r="G6312" s="162">
        <v>1</v>
      </c>
    </row>
    <row r="6313" spans="2:7" ht="57.6">
      <c r="B6313" s="162" t="s">
        <v>12482</v>
      </c>
      <c r="C6313" s="162" t="s">
        <v>12792</v>
      </c>
      <c r="D6313" s="162" t="s">
        <v>12743</v>
      </c>
      <c r="F6313" s="162">
        <v>2284</v>
      </c>
      <c r="G6313" s="162">
        <v>1</v>
      </c>
    </row>
    <row r="6314" spans="2:7" ht="57.6">
      <c r="B6314" s="162" t="s">
        <v>12482</v>
      </c>
      <c r="C6314" s="162" t="s">
        <v>12793</v>
      </c>
      <c r="D6314" s="162" t="s">
        <v>12794</v>
      </c>
      <c r="F6314" s="162">
        <v>2284</v>
      </c>
      <c r="G6314" s="162">
        <v>1</v>
      </c>
    </row>
    <row r="6315" spans="2:7" ht="57.6">
      <c r="B6315" s="162" t="s">
        <v>12482</v>
      </c>
      <c r="C6315" s="162" t="s">
        <v>12795</v>
      </c>
      <c r="D6315" s="162" t="s">
        <v>12796</v>
      </c>
      <c r="F6315" s="162">
        <v>2454</v>
      </c>
      <c r="G6315" s="162">
        <v>1</v>
      </c>
    </row>
    <row r="6316" spans="2:7" ht="57.6">
      <c r="B6316" s="162" t="s">
        <v>12482</v>
      </c>
      <c r="C6316" s="162" t="s">
        <v>12797</v>
      </c>
      <c r="D6316" s="162" t="s">
        <v>12743</v>
      </c>
      <c r="F6316" s="162">
        <v>2284</v>
      </c>
      <c r="G6316" s="162">
        <v>1</v>
      </c>
    </row>
    <row r="6317" spans="2:7" ht="57.6">
      <c r="B6317" s="162" t="s">
        <v>12482</v>
      </c>
      <c r="C6317" s="162" t="s">
        <v>12798</v>
      </c>
      <c r="D6317" s="162" t="s">
        <v>12794</v>
      </c>
      <c r="F6317" s="162">
        <v>2284</v>
      </c>
      <c r="G6317" s="162">
        <v>1</v>
      </c>
    </row>
    <row r="6318" spans="2:7" ht="57.6">
      <c r="B6318" s="162" t="s">
        <v>12482</v>
      </c>
      <c r="C6318" s="162" t="s">
        <v>12799</v>
      </c>
      <c r="D6318" s="162" t="s">
        <v>12796</v>
      </c>
      <c r="F6318" s="162">
        <v>2454</v>
      </c>
      <c r="G6318" s="162">
        <v>1</v>
      </c>
    </row>
    <row r="6319" spans="2:7" ht="57.6">
      <c r="B6319" s="162" t="s">
        <v>12482</v>
      </c>
      <c r="C6319" s="162" t="s">
        <v>12800</v>
      </c>
      <c r="D6319" s="162" t="s">
        <v>12743</v>
      </c>
      <c r="F6319" s="162">
        <v>2284</v>
      </c>
      <c r="G6319" s="162">
        <v>1</v>
      </c>
    </row>
    <row r="6320" spans="2:7" ht="57.6">
      <c r="B6320" s="162" t="s">
        <v>12482</v>
      </c>
      <c r="C6320" s="162" t="s">
        <v>12801</v>
      </c>
      <c r="D6320" s="162" t="s">
        <v>12748</v>
      </c>
      <c r="F6320" s="162">
        <v>2284</v>
      </c>
      <c r="G6320" s="162">
        <v>1</v>
      </c>
    </row>
    <row r="6321" spans="2:7" ht="57.6">
      <c r="B6321" s="162" t="s">
        <v>12482</v>
      </c>
      <c r="C6321" s="162" t="s">
        <v>12802</v>
      </c>
      <c r="D6321" s="162" t="s">
        <v>12750</v>
      </c>
      <c r="F6321" s="162">
        <v>2454</v>
      </c>
      <c r="G6321" s="162">
        <v>1</v>
      </c>
    </row>
    <row r="6322" spans="2:7" ht="57.6">
      <c r="B6322" s="162" t="s">
        <v>12482</v>
      </c>
      <c r="C6322" s="162" t="s">
        <v>12803</v>
      </c>
      <c r="D6322" s="162" t="s">
        <v>12743</v>
      </c>
      <c r="F6322" s="162">
        <v>2284</v>
      </c>
      <c r="G6322" s="162">
        <v>1</v>
      </c>
    </row>
    <row r="6323" spans="2:7" ht="57.6">
      <c r="B6323" s="162" t="s">
        <v>12482</v>
      </c>
      <c r="C6323" s="162" t="s">
        <v>12804</v>
      </c>
      <c r="D6323" s="162" t="s">
        <v>12748</v>
      </c>
      <c r="F6323" s="162">
        <v>2284</v>
      </c>
      <c r="G6323" s="162">
        <v>1</v>
      </c>
    </row>
    <row r="6324" spans="2:7" ht="57.6">
      <c r="B6324" s="162" t="s">
        <v>12482</v>
      </c>
      <c r="C6324" s="162" t="s">
        <v>12805</v>
      </c>
      <c r="D6324" s="162" t="s">
        <v>12750</v>
      </c>
      <c r="F6324" s="162">
        <v>2454</v>
      </c>
      <c r="G6324" s="162">
        <v>1</v>
      </c>
    </row>
    <row r="6325" spans="2:7" ht="57.6">
      <c r="B6325" s="162" t="s">
        <v>12482</v>
      </c>
      <c r="C6325" s="162" t="s">
        <v>12806</v>
      </c>
      <c r="D6325" s="162" t="s">
        <v>12743</v>
      </c>
      <c r="F6325" s="162">
        <v>2284</v>
      </c>
      <c r="G6325" s="162">
        <v>1</v>
      </c>
    </row>
    <row r="6326" spans="2:7" ht="57.6">
      <c r="B6326" s="162" t="s">
        <v>12482</v>
      </c>
      <c r="C6326" s="162" t="s">
        <v>12807</v>
      </c>
      <c r="D6326" s="162" t="s">
        <v>12808</v>
      </c>
      <c r="F6326" s="162">
        <v>2284</v>
      </c>
      <c r="G6326" s="162">
        <v>1</v>
      </c>
    </row>
    <row r="6327" spans="2:7" ht="57.6">
      <c r="B6327" s="162" t="s">
        <v>12482</v>
      </c>
      <c r="C6327" s="162" t="s">
        <v>12809</v>
      </c>
      <c r="D6327" s="162" t="s">
        <v>12741</v>
      </c>
      <c r="F6327" s="162">
        <v>2454</v>
      </c>
      <c r="G6327" s="162">
        <v>1</v>
      </c>
    </row>
    <row r="6328" spans="2:7" ht="57.6">
      <c r="B6328" s="162" t="s">
        <v>12482</v>
      </c>
      <c r="C6328" s="162" t="s">
        <v>12810</v>
      </c>
      <c r="D6328" s="162" t="s">
        <v>12743</v>
      </c>
      <c r="F6328" s="162">
        <v>2284</v>
      </c>
      <c r="G6328" s="162">
        <v>1</v>
      </c>
    </row>
    <row r="6329" spans="2:7" ht="57.6">
      <c r="B6329" s="162" t="s">
        <v>12482</v>
      </c>
      <c r="C6329" s="162" t="s">
        <v>12811</v>
      </c>
      <c r="D6329" s="162" t="s">
        <v>12812</v>
      </c>
      <c r="F6329" s="162">
        <v>2284</v>
      </c>
      <c r="G6329" s="162">
        <v>1</v>
      </c>
    </row>
    <row r="6330" spans="2:7" ht="57.6">
      <c r="B6330" s="162" t="s">
        <v>12482</v>
      </c>
      <c r="C6330" s="162" t="s">
        <v>12813</v>
      </c>
      <c r="D6330" s="162" t="s">
        <v>12814</v>
      </c>
      <c r="F6330" s="162">
        <v>2454</v>
      </c>
      <c r="G6330" s="162">
        <v>1</v>
      </c>
    </row>
    <row r="6331" spans="2:7" ht="57.6">
      <c r="B6331" s="162" t="s">
        <v>12482</v>
      </c>
      <c r="C6331" s="162" t="s">
        <v>12815</v>
      </c>
      <c r="D6331" s="162" t="s">
        <v>12743</v>
      </c>
      <c r="F6331" s="162">
        <v>2284</v>
      </c>
      <c r="G6331" s="162">
        <v>1</v>
      </c>
    </row>
    <row r="6332" spans="2:7" ht="57.6">
      <c r="B6332" s="162" t="s">
        <v>12482</v>
      </c>
      <c r="C6332" s="162" t="s">
        <v>12816</v>
      </c>
      <c r="D6332" s="162" t="s">
        <v>12739</v>
      </c>
      <c r="F6332" s="162">
        <v>2284</v>
      </c>
      <c r="G6332" s="162">
        <v>1</v>
      </c>
    </row>
    <row r="6333" spans="2:7" ht="57.6">
      <c r="B6333" s="162" t="s">
        <v>12482</v>
      </c>
      <c r="C6333" s="162" t="s">
        <v>12817</v>
      </c>
      <c r="D6333" s="162" t="s">
        <v>12741</v>
      </c>
      <c r="F6333" s="162">
        <v>2454</v>
      </c>
      <c r="G6333" s="162">
        <v>1</v>
      </c>
    </row>
    <row r="6334" spans="2:7" ht="57.6">
      <c r="B6334" s="162" t="s">
        <v>12482</v>
      </c>
      <c r="C6334" s="162" t="s">
        <v>12818</v>
      </c>
      <c r="D6334" s="162" t="s">
        <v>12743</v>
      </c>
      <c r="F6334" s="162">
        <v>2284</v>
      </c>
      <c r="G6334" s="162">
        <v>1</v>
      </c>
    </row>
    <row r="6335" spans="2:7" ht="57.6">
      <c r="B6335" s="162" t="s">
        <v>12482</v>
      </c>
      <c r="C6335" s="162" t="s">
        <v>12819</v>
      </c>
      <c r="D6335" s="162" t="s">
        <v>12748</v>
      </c>
      <c r="F6335" s="162">
        <v>2284</v>
      </c>
      <c r="G6335" s="162">
        <v>1</v>
      </c>
    </row>
    <row r="6336" spans="2:7" ht="57.6">
      <c r="B6336" s="162" t="s">
        <v>12482</v>
      </c>
      <c r="C6336" s="162" t="s">
        <v>12820</v>
      </c>
      <c r="D6336" s="162" t="s">
        <v>12750</v>
      </c>
      <c r="F6336" s="162">
        <v>2454</v>
      </c>
      <c r="G6336" s="162">
        <v>1</v>
      </c>
    </row>
    <row r="6337" spans="2:7" ht="57.6">
      <c r="B6337" s="162" t="s">
        <v>12482</v>
      </c>
      <c r="C6337" s="162" t="s">
        <v>12821</v>
      </c>
      <c r="D6337" s="162" t="s">
        <v>12743</v>
      </c>
      <c r="F6337" s="162">
        <v>2284</v>
      </c>
      <c r="G6337" s="162">
        <v>1</v>
      </c>
    </row>
    <row r="6338" spans="2:7" ht="57.6">
      <c r="B6338" s="162" t="s">
        <v>12482</v>
      </c>
      <c r="C6338" s="162" t="s">
        <v>12822</v>
      </c>
      <c r="D6338" s="162" t="s">
        <v>12743</v>
      </c>
      <c r="F6338" s="162">
        <v>2284</v>
      </c>
      <c r="G6338" s="162">
        <v>1</v>
      </c>
    </row>
    <row r="6339" spans="2:7" ht="57.6">
      <c r="B6339" s="162" t="s">
        <v>12482</v>
      </c>
      <c r="C6339" s="162" t="s">
        <v>12823</v>
      </c>
      <c r="D6339" s="162" t="s">
        <v>12769</v>
      </c>
      <c r="F6339" s="162">
        <v>2394</v>
      </c>
      <c r="G6339" s="162">
        <v>1</v>
      </c>
    </row>
    <row r="6340" spans="2:7" ht="57.6">
      <c r="B6340" s="162" t="s">
        <v>12482</v>
      </c>
      <c r="C6340" s="162" t="s">
        <v>12824</v>
      </c>
      <c r="D6340" s="162" t="s">
        <v>12771</v>
      </c>
      <c r="F6340" s="162">
        <v>2565</v>
      </c>
      <c r="G6340" s="162">
        <v>1</v>
      </c>
    </row>
    <row r="6341" spans="2:7" ht="57.6">
      <c r="B6341" s="162" t="s">
        <v>12482</v>
      </c>
      <c r="C6341" s="162" t="s">
        <v>12825</v>
      </c>
      <c r="D6341" s="162" t="s">
        <v>12743</v>
      </c>
      <c r="F6341" s="162">
        <v>2284</v>
      </c>
      <c r="G6341" s="162">
        <v>1</v>
      </c>
    </row>
    <row r="6342" spans="2:7" ht="57.6">
      <c r="B6342" s="162" t="s">
        <v>12482</v>
      </c>
      <c r="C6342" s="162" t="s">
        <v>12826</v>
      </c>
      <c r="D6342" s="162" t="s">
        <v>12748</v>
      </c>
      <c r="F6342" s="162">
        <v>2284</v>
      </c>
      <c r="G6342" s="162">
        <v>1</v>
      </c>
    </row>
    <row r="6343" spans="2:7" ht="57.6">
      <c r="B6343" s="162" t="s">
        <v>12482</v>
      </c>
      <c r="C6343" s="162" t="s">
        <v>12827</v>
      </c>
      <c r="D6343" s="162" t="s">
        <v>12750</v>
      </c>
      <c r="F6343" s="162">
        <v>2454</v>
      </c>
      <c r="G6343" s="162">
        <v>1</v>
      </c>
    </row>
    <row r="6344" spans="2:7" ht="57.6">
      <c r="B6344" s="162" t="s">
        <v>12482</v>
      </c>
      <c r="C6344" s="162" t="s">
        <v>12828</v>
      </c>
      <c r="D6344" s="162" t="s">
        <v>12743</v>
      </c>
      <c r="F6344" s="162">
        <v>2284</v>
      </c>
      <c r="G6344" s="162">
        <v>1</v>
      </c>
    </row>
    <row r="6345" spans="2:7" ht="57.6">
      <c r="B6345" s="162" t="s">
        <v>12482</v>
      </c>
      <c r="C6345" s="162" t="s">
        <v>12829</v>
      </c>
      <c r="D6345" s="162" t="s">
        <v>12748</v>
      </c>
      <c r="F6345" s="162">
        <v>2284</v>
      </c>
      <c r="G6345" s="162">
        <v>1</v>
      </c>
    </row>
    <row r="6346" spans="2:7" ht="57.6">
      <c r="B6346" s="162" t="s">
        <v>12482</v>
      </c>
      <c r="C6346" s="162" t="s">
        <v>12830</v>
      </c>
      <c r="D6346" s="162" t="s">
        <v>12750</v>
      </c>
      <c r="F6346" s="162">
        <v>2454</v>
      </c>
      <c r="G6346" s="162">
        <v>1</v>
      </c>
    </row>
    <row r="6347" spans="2:7" ht="57.6">
      <c r="B6347" s="162" t="s">
        <v>12482</v>
      </c>
      <c r="C6347" s="162" t="s">
        <v>12831</v>
      </c>
      <c r="D6347" s="162" t="s">
        <v>12743</v>
      </c>
      <c r="F6347" s="162">
        <v>2284</v>
      </c>
      <c r="G6347" s="162">
        <v>1</v>
      </c>
    </row>
    <row r="6348" spans="2:7" ht="57.6">
      <c r="B6348" s="162" t="s">
        <v>12482</v>
      </c>
      <c r="C6348" s="162" t="s">
        <v>12832</v>
      </c>
      <c r="D6348" s="162" t="s">
        <v>12739</v>
      </c>
      <c r="F6348" s="162">
        <v>2284</v>
      </c>
      <c r="G6348" s="162">
        <v>1</v>
      </c>
    </row>
    <row r="6349" spans="2:7" ht="57.6">
      <c r="B6349" s="162" t="s">
        <v>12482</v>
      </c>
      <c r="C6349" s="162" t="s">
        <v>12833</v>
      </c>
      <c r="D6349" s="162" t="s">
        <v>12741</v>
      </c>
      <c r="F6349" s="162">
        <v>2454</v>
      </c>
      <c r="G6349" s="162">
        <v>1</v>
      </c>
    </row>
    <row r="6350" spans="2:7" ht="57.6">
      <c r="B6350" s="162" t="s">
        <v>12482</v>
      </c>
      <c r="C6350" s="162" t="s">
        <v>12834</v>
      </c>
      <c r="D6350" s="162" t="s">
        <v>12743</v>
      </c>
      <c r="F6350" s="162">
        <v>2284</v>
      </c>
      <c r="G6350" s="162">
        <v>1</v>
      </c>
    </row>
    <row r="6351" spans="2:7" ht="57.6">
      <c r="B6351" s="162" t="s">
        <v>12482</v>
      </c>
      <c r="C6351" s="162" t="s">
        <v>12835</v>
      </c>
      <c r="D6351" s="162" t="s">
        <v>12769</v>
      </c>
      <c r="F6351" s="162">
        <v>2394</v>
      </c>
      <c r="G6351" s="162">
        <v>1</v>
      </c>
    </row>
    <row r="6352" spans="2:7" ht="57.6">
      <c r="B6352" s="162" t="s">
        <v>12482</v>
      </c>
      <c r="C6352" s="162" t="s">
        <v>12836</v>
      </c>
      <c r="D6352" s="162" t="s">
        <v>12771</v>
      </c>
      <c r="F6352" s="162">
        <v>2565</v>
      </c>
      <c r="G6352" s="162">
        <v>1</v>
      </c>
    </row>
    <row r="6353" spans="2:7" ht="57.6">
      <c r="B6353" s="162" t="s">
        <v>12482</v>
      </c>
      <c r="C6353" s="162" t="s">
        <v>12837</v>
      </c>
      <c r="D6353" s="162" t="s">
        <v>12743</v>
      </c>
      <c r="F6353" s="162">
        <v>2284</v>
      </c>
      <c r="G6353" s="162">
        <v>1</v>
      </c>
    </row>
    <row r="6354" spans="2:7" ht="57.6">
      <c r="B6354" s="162" t="s">
        <v>12482</v>
      </c>
      <c r="C6354" s="162" t="s">
        <v>12838</v>
      </c>
      <c r="D6354" s="162" t="s">
        <v>12748</v>
      </c>
      <c r="F6354" s="162">
        <v>2284</v>
      </c>
      <c r="G6354" s="162">
        <v>1</v>
      </c>
    </row>
    <row r="6355" spans="2:7" ht="57.6">
      <c r="B6355" s="162" t="s">
        <v>12482</v>
      </c>
      <c r="C6355" s="162" t="s">
        <v>12839</v>
      </c>
      <c r="D6355" s="162" t="s">
        <v>12750</v>
      </c>
      <c r="F6355" s="162">
        <v>2454</v>
      </c>
      <c r="G6355" s="162">
        <v>1</v>
      </c>
    </row>
    <row r="6356" spans="2:7" ht="57.6">
      <c r="B6356" s="162" t="s">
        <v>12482</v>
      </c>
      <c r="C6356" s="162" t="s">
        <v>12840</v>
      </c>
      <c r="D6356" s="162" t="s">
        <v>12743</v>
      </c>
      <c r="F6356" s="162">
        <v>2284</v>
      </c>
      <c r="G6356" s="162">
        <v>1</v>
      </c>
    </row>
    <row r="6357" spans="2:7" ht="57.6">
      <c r="B6357" s="162" t="s">
        <v>12482</v>
      </c>
      <c r="C6357" s="162" t="s">
        <v>12841</v>
      </c>
      <c r="D6357" s="162" t="s">
        <v>12842</v>
      </c>
      <c r="F6357" s="162">
        <v>2284</v>
      </c>
      <c r="G6357" s="162">
        <v>1</v>
      </c>
    </row>
    <row r="6358" spans="2:7" ht="57.6">
      <c r="B6358" s="162" t="s">
        <v>12482</v>
      </c>
      <c r="C6358" s="162" t="s">
        <v>12843</v>
      </c>
      <c r="D6358" s="162" t="s">
        <v>12844</v>
      </c>
      <c r="F6358" s="162">
        <v>2454</v>
      </c>
      <c r="G6358" s="162">
        <v>1</v>
      </c>
    </row>
    <row r="6359" spans="2:7" ht="57.6">
      <c r="B6359" s="162" t="s">
        <v>12482</v>
      </c>
      <c r="C6359" s="162" t="s">
        <v>12845</v>
      </c>
      <c r="D6359" s="162" t="s">
        <v>12743</v>
      </c>
      <c r="F6359" s="162">
        <v>2284</v>
      </c>
      <c r="G6359" s="162">
        <v>1</v>
      </c>
    </row>
    <row r="6360" spans="2:7" ht="57.6">
      <c r="B6360" s="162" t="s">
        <v>12482</v>
      </c>
      <c r="C6360" s="162" t="s">
        <v>12846</v>
      </c>
      <c r="D6360" s="162" t="s">
        <v>12748</v>
      </c>
      <c r="F6360" s="162">
        <v>2284</v>
      </c>
      <c r="G6360" s="162">
        <v>1</v>
      </c>
    </row>
    <row r="6361" spans="2:7" ht="57.6">
      <c r="B6361" s="162" t="s">
        <v>12482</v>
      </c>
      <c r="C6361" s="162" t="s">
        <v>12847</v>
      </c>
      <c r="D6361" s="162" t="s">
        <v>12750</v>
      </c>
      <c r="F6361" s="162">
        <v>2454</v>
      </c>
      <c r="G6361" s="162">
        <v>1</v>
      </c>
    </row>
    <row r="6362" spans="2:7" ht="57.6">
      <c r="B6362" s="162" t="s">
        <v>12482</v>
      </c>
      <c r="C6362" s="162" t="s">
        <v>12848</v>
      </c>
      <c r="D6362" s="162" t="s">
        <v>12743</v>
      </c>
      <c r="F6362" s="162">
        <v>2284</v>
      </c>
      <c r="G6362" s="162">
        <v>1</v>
      </c>
    </row>
    <row r="6363" spans="2:7" ht="57.6">
      <c r="B6363" s="162" t="s">
        <v>12482</v>
      </c>
      <c r="C6363" s="162" t="s">
        <v>12849</v>
      </c>
      <c r="D6363" s="162" t="s">
        <v>12808</v>
      </c>
      <c r="F6363" s="162">
        <v>2284</v>
      </c>
      <c r="G6363" s="162">
        <v>1</v>
      </c>
    </row>
    <row r="6364" spans="2:7" ht="57.6">
      <c r="B6364" s="162" t="s">
        <v>12482</v>
      </c>
      <c r="C6364" s="162" t="s">
        <v>12850</v>
      </c>
      <c r="D6364" s="162" t="s">
        <v>12741</v>
      </c>
      <c r="F6364" s="162">
        <v>2454</v>
      </c>
      <c r="G6364" s="162">
        <v>1</v>
      </c>
    </row>
    <row r="6365" spans="2:7" ht="57.6">
      <c r="B6365" s="162" t="s">
        <v>12482</v>
      </c>
      <c r="C6365" s="162" t="s">
        <v>12851</v>
      </c>
      <c r="D6365" s="162" t="s">
        <v>12743</v>
      </c>
      <c r="F6365" s="162">
        <v>2284</v>
      </c>
      <c r="G6365" s="162">
        <v>1</v>
      </c>
    </row>
    <row r="6366" spans="2:7" ht="57.6">
      <c r="B6366" s="162" t="s">
        <v>12482</v>
      </c>
      <c r="C6366" s="162" t="s">
        <v>12852</v>
      </c>
      <c r="D6366" s="162" t="s">
        <v>12808</v>
      </c>
      <c r="F6366" s="162">
        <v>2284</v>
      </c>
      <c r="G6366" s="162">
        <v>1</v>
      </c>
    </row>
    <row r="6367" spans="2:7" ht="57.6">
      <c r="B6367" s="162" t="s">
        <v>12482</v>
      </c>
      <c r="C6367" s="162" t="s">
        <v>12853</v>
      </c>
      <c r="D6367" s="162" t="s">
        <v>12814</v>
      </c>
      <c r="F6367" s="162">
        <v>2454</v>
      </c>
      <c r="G6367" s="162">
        <v>1</v>
      </c>
    </row>
    <row r="6368" spans="2:7" ht="57.6">
      <c r="B6368" s="162" t="s">
        <v>12482</v>
      </c>
      <c r="C6368" s="162" t="s">
        <v>12854</v>
      </c>
      <c r="D6368" s="162" t="s">
        <v>12743</v>
      </c>
      <c r="F6368" s="162">
        <v>2284</v>
      </c>
      <c r="G6368" s="162">
        <v>1</v>
      </c>
    </row>
    <row r="6369" spans="2:7" ht="57.6">
      <c r="B6369" s="162" t="s">
        <v>12482</v>
      </c>
      <c r="C6369" s="162" t="s">
        <v>12855</v>
      </c>
      <c r="D6369" s="162" t="s">
        <v>12856</v>
      </c>
      <c r="F6369" s="162">
        <v>3525</v>
      </c>
      <c r="G6369" s="162">
        <v>1</v>
      </c>
    </row>
    <row r="6370" spans="2:7" ht="57.6">
      <c r="B6370" s="162" t="s">
        <v>12482</v>
      </c>
      <c r="C6370" s="162" t="s">
        <v>12857</v>
      </c>
      <c r="D6370" s="162" t="s">
        <v>12858</v>
      </c>
      <c r="F6370" s="162">
        <v>3914</v>
      </c>
      <c r="G6370" s="162">
        <v>1</v>
      </c>
    </row>
    <row r="6371" spans="2:7" ht="57.6">
      <c r="B6371" s="162" t="s">
        <v>12482</v>
      </c>
      <c r="C6371" s="162" t="s">
        <v>1891</v>
      </c>
      <c r="D6371" s="162" t="s">
        <v>12859</v>
      </c>
      <c r="F6371" s="162">
        <v>179</v>
      </c>
      <c r="G6371" s="162">
        <v>1</v>
      </c>
    </row>
    <row r="6372" spans="2:7" ht="57.6">
      <c r="B6372" s="162" t="s">
        <v>12482</v>
      </c>
      <c r="C6372" s="162" t="s">
        <v>12860</v>
      </c>
      <c r="D6372" s="162" t="s">
        <v>12861</v>
      </c>
      <c r="F6372" s="162">
        <v>245</v>
      </c>
      <c r="G6372" s="162">
        <v>1</v>
      </c>
    </row>
    <row r="6373" spans="2:7" ht="57.6">
      <c r="B6373" s="162" t="s">
        <v>12482</v>
      </c>
      <c r="C6373" s="162" t="s">
        <v>12862</v>
      </c>
      <c r="D6373" s="162" t="s">
        <v>12863</v>
      </c>
      <c r="F6373" s="162">
        <v>334</v>
      </c>
      <c r="G6373" s="162">
        <v>1</v>
      </c>
    </row>
    <row r="6374" spans="2:7" ht="57.6">
      <c r="B6374" s="162" t="s">
        <v>12482</v>
      </c>
      <c r="C6374" s="162" t="s">
        <v>12864</v>
      </c>
      <c r="D6374" s="162" t="s">
        <v>12865</v>
      </c>
      <c r="F6374" s="162">
        <v>334</v>
      </c>
      <c r="G6374" s="162">
        <v>1</v>
      </c>
    </row>
    <row r="6375" spans="2:7" ht="57.6">
      <c r="B6375" s="162" t="s">
        <v>12482</v>
      </c>
      <c r="C6375" s="162" t="s">
        <v>12866</v>
      </c>
      <c r="D6375" s="162" t="s">
        <v>12867</v>
      </c>
      <c r="F6375" s="162">
        <v>830</v>
      </c>
      <c r="G6375" s="162">
        <v>1</v>
      </c>
    </row>
    <row r="6376" spans="2:7" ht="57.6">
      <c r="B6376" s="162" t="s">
        <v>12482</v>
      </c>
      <c r="C6376" s="162" t="s">
        <v>12868</v>
      </c>
      <c r="D6376" s="162" t="s">
        <v>12867</v>
      </c>
      <c r="F6376" s="162">
        <v>830</v>
      </c>
      <c r="G6376" s="162">
        <v>1</v>
      </c>
    </row>
    <row r="6377" spans="2:7" ht="57.6">
      <c r="B6377" s="162" t="s">
        <v>12482</v>
      </c>
      <c r="C6377" s="162" t="s">
        <v>12869</v>
      </c>
      <c r="D6377" s="162" t="s">
        <v>12867</v>
      </c>
      <c r="F6377" s="162">
        <v>830</v>
      </c>
      <c r="G6377" s="162">
        <v>1</v>
      </c>
    </row>
    <row r="6378" spans="2:7" ht="57.6">
      <c r="B6378" s="162" t="s">
        <v>12482</v>
      </c>
      <c r="C6378" s="162" t="s">
        <v>12870</v>
      </c>
      <c r="D6378" s="162" t="s">
        <v>12867</v>
      </c>
      <c r="F6378" s="162">
        <v>830</v>
      </c>
      <c r="G6378" s="162">
        <v>1</v>
      </c>
    </row>
    <row r="6379" spans="2:7" ht="57.6">
      <c r="B6379" s="162" t="s">
        <v>12482</v>
      </c>
      <c r="C6379" s="162" t="s">
        <v>12871</v>
      </c>
      <c r="D6379" s="162" t="s">
        <v>12867</v>
      </c>
      <c r="F6379" s="162">
        <v>830</v>
      </c>
      <c r="G6379" s="162">
        <v>1</v>
      </c>
    </row>
    <row r="6380" spans="2:7" ht="57.6">
      <c r="B6380" s="162" t="s">
        <v>12482</v>
      </c>
      <c r="C6380" s="162" t="s">
        <v>12872</v>
      </c>
      <c r="D6380" s="162" t="s">
        <v>12867</v>
      </c>
      <c r="F6380" s="162">
        <v>830</v>
      </c>
      <c r="G6380" s="162">
        <v>1</v>
      </c>
    </row>
    <row r="6381" spans="2:7" ht="57.6">
      <c r="B6381" s="162" t="s">
        <v>12482</v>
      </c>
      <c r="C6381" s="162" t="s">
        <v>12873</v>
      </c>
      <c r="D6381" s="162" t="s">
        <v>12874</v>
      </c>
      <c r="F6381" s="162">
        <v>693</v>
      </c>
      <c r="G6381" s="162">
        <v>1</v>
      </c>
    </row>
    <row r="6382" spans="2:7" ht="28.8">
      <c r="B6382" s="162" t="s">
        <v>12875</v>
      </c>
      <c r="C6382" s="162" t="s">
        <v>1892</v>
      </c>
      <c r="D6382" s="162" t="s">
        <v>12876</v>
      </c>
      <c r="F6382" s="162">
        <v>591.25</v>
      </c>
      <c r="G6382" s="162">
        <v>1</v>
      </c>
    </row>
    <row r="6383" spans="2:7" ht="28.8">
      <c r="B6383" s="162" t="s">
        <v>12875</v>
      </c>
      <c r="C6383" s="162" t="s">
        <v>12877</v>
      </c>
      <c r="D6383" s="162" t="s">
        <v>12878</v>
      </c>
      <c r="F6383" s="162">
        <v>673.95</v>
      </c>
      <c r="G6383" s="162">
        <v>1</v>
      </c>
    </row>
    <row r="6384" spans="2:7" ht="28.8">
      <c r="B6384" s="162" t="s">
        <v>12875</v>
      </c>
      <c r="C6384" s="162" t="s">
        <v>12879</v>
      </c>
      <c r="D6384" s="162" t="s">
        <v>12880</v>
      </c>
      <c r="F6384" s="162">
        <v>1013</v>
      </c>
      <c r="G6384" s="162">
        <v>1</v>
      </c>
    </row>
    <row r="6385" spans="2:7" ht="129.6">
      <c r="B6385" s="162" t="s">
        <v>12875</v>
      </c>
      <c r="C6385" s="162" t="s">
        <v>12881</v>
      </c>
      <c r="D6385" s="162" t="s">
        <v>12882</v>
      </c>
      <c r="F6385" s="162">
        <v>297.45</v>
      </c>
      <c r="G6385" s="162">
        <v>1</v>
      </c>
    </row>
    <row r="6386" spans="2:7" ht="144">
      <c r="B6386" s="162" t="s">
        <v>12875</v>
      </c>
      <c r="C6386" s="162" t="s">
        <v>12883</v>
      </c>
      <c r="D6386" s="162" t="s">
        <v>12884</v>
      </c>
      <c r="F6386" s="162">
        <v>257.95</v>
      </c>
      <c r="G6386" s="162">
        <v>1</v>
      </c>
    </row>
    <row r="6387" spans="2:7" ht="28.8">
      <c r="B6387" s="162" t="s">
        <v>12875</v>
      </c>
      <c r="C6387" s="162" t="s">
        <v>12885</v>
      </c>
      <c r="D6387" s="162" t="s">
        <v>12886</v>
      </c>
      <c r="F6387" s="162">
        <v>95.2</v>
      </c>
      <c r="G6387" s="162">
        <v>1</v>
      </c>
    </row>
    <row r="6388" spans="2:7" ht="28.8">
      <c r="B6388" s="162" t="s">
        <v>12875</v>
      </c>
      <c r="C6388" s="162" t="s">
        <v>12887</v>
      </c>
      <c r="D6388" s="162" t="s">
        <v>12888</v>
      </c>
      <c r="F6388" s="162">
        <v>178.4</v>
      </c>
      <c r="G6388" s="162">
        <v>1</v>
      </c>
    </row>
    <row r="6389" spans="2:7" ht="100.8">
      <c r="B6389" s="162" t="s">
        <v>12875</v>
      </c>
      <c r="C6389" s="162" t="s">
        <v>12889</v>
      </c>
      <c r="D6389" s="162" t="s">
        <v>12890</v>
      </c>
      <c r="F6389" s="162">
        <v>79.599999999999994</v>
      </c>
      <c r="G6389" s="162">
        <v>1</v>
      </c>
    </row>
    <row r="6390" spans="2:7" ht="86.4">
      <c r="B6390" s="162" t="s">
        <v>12875</v>
      </c>
      <c r="C6390" s="162" t="s">
        <v>12891</v>
      </c>
      <c r="D6390" s="162" t="s">
        <v>12892</v>
      </c>
      <c r="F6390" s="162">
        <v>88.4</v>
      </c>
      <c r="G6390" s="162">
        <v>1</v>
      </c>
    </row>
    <row r="6391" spans="2:7" ht="28.8">
      <c r="B6391" s="162" t="s">
        <v>12875</v>
      </c>
      <c r="C6391" s="162" t="s">
        <v>12893</v>
      </c>
      <c r="D6391" s="162" t="s">
        <v>12894</v>
      </c>
      <c r="F6391" s="162">
        <v>90.5</v>
      </c>
      <c r="G6391" s="162">
        <v>1</v>
      </c>
    </row>
    <row r="6392" spans="2:7" ht="43.2">
      <c r="B6392" s="162" t="s">
        <v>129</v>
      </c>
      <c r="C6392" s="162" t="s">
        <v>1894</v>
      </c>
      <c r="D6392" s="162" t="s">
        <v>12895</v>
      </c>
      <c r="E6392" s="162" t="s">
        <v>1893</v>
      </c>
      <c r="F6392" s="162">
        <v>3585</v>
      </c>
      <c r="G6392" s="162">
        <v>1</v>
      </c>
    </row>
    <row r="6393" spans="2:7" ht="28.8">
      <c r="B6393" s="162" t="s">
        <v>129</v>
      </c>
      <c r="C6393" s="162" t="s">
        <v>12896</v>
      </c>
      <c r="D6393" s="162" t="s">
        <v>12895</v>
      </c>
      <c r="E6393" s="162" t="s">
        <v>12897</v>
      </c>
      <c r="F6393" s="162">
        <v>3995</v>
      </c>
      <c r="G6393" s="162">
        <v>1</v>
      </c>
    </row>
    <row r="6394" spans="2:7" ht="28.8">
      <c r="B6394" s="162" t="s">
        <v>129</v>
      </c>
      <c r="C6394" s="162" t="s">
        <v>1896</v>
      </c>
      <c r="D6394" s="162" t="s">
        <v>12895</v>
      </c>
      <c r="E6394" s="162" t="s">
        <v>1895</v>
      </c>
      <c r="F6394" s="162">
        <v>4781</v>
      </c>
      <c r="G6394" s="162">
        <v>1</v>
      </c>
    </row>
    <row r="6395" spans="2:7" ht="28.8">
      <c r="B6395" s="162" t="s">
        <v>129</v>
      </c>
      <c r="C6395" s="162" t="s">
        <v>1898</v>
      </c>
      <c r="D6395" s="162" t="s">
        <v>12895</v>
      </c>
      <c r="E6395" s="162" t="s">
        <v>1897</v>
      </c>
      <c r="F6395" s="162">
        <v>4781</v>
      </c>
      <c r="G6395" s="162">
        <v>1</v>
      </c>
    </row>
    <row r="6396" spans="2:7" ht="28.8">
      <c r="B6396" s="162" t="s">
        <v>129</v>
      </c>
      <c r="C6396" s="162" t="s">
        <v>12898</v>
      </c>
      <c r="D6396" s="162" t="s">
        <v>12895</v>
      </c>
      <c r="E6396" s="162" t="s">
        <v>12899</v>
      </c>
      <c r="F6396" s="162">
        <v>4549</v>
      </c>
      <c r="G6396" s="162">
        <v>1</v>
      </c>
    </row>
    <row r="6397" spans="2:7" ht="28.8">
      <c r="B6397" s="162" t="s">
        <v>129</v>
      </c>
      <c r="C6397" s="162" t="s">
        <v>1900</v>
      </c>
      <c r="D6397" s="162" t="s">
        <v>12895</v>
      </c>
      <c r="E6397" s="162" t="s">
        <v>1899</v>
      </c>
      <c r="F6397" s="162">
        <v>5603</v>
      </c>
      <c r="G6397" s="162">
        <v>1</v>
      </c>
    </row>
    <row r="6398" spans="2:7" ht="28.8">
      <c r="B6398" s="162" t="s">
        <v>129</v>
      </c>
      <c r="C6398" s="162" t="s">
        <v>1902</v>
      </c>
      <c r="D6398" s="162" t="s">
        <v>12895</v>
      </c>
      <c r="E6398" s="162" t="s">
        <v>1901</v>
      </c>
      <c r="F6398" s="162">
        <v>5603</v>
      </c>
      <c r="G6398" s="162">
        <v>1</v>
      </c>
    </row>
    <row r="6399" spans="2:7" ht="28.8">
      <c r="B6399" s="162" t="s">
        <v>129</v>
      </c>
      <c r="C6399" s="162" t="s">
        <v>12900</v>
      </c>
      <c r="D6399" s="162" t="s">
        <v>12895</v>
      </c>
      <c r="E6399" s="162" t="s">
        <v>12901</v>
      </c>
      <c r="F6399" s="162">
        <v>5242</v>
      </c>
      <c r="G6399" s="162">
        <v>1</v>
      </c>
    </row>
    <row r="6400" spans="2:7" ht="28.8">
      <c r="B6400" s="162" t="s">
        <v>129</v>
      </c>
      <c r="C6400" s="162" t="s">
        <v>1904</v>
      </c>
      <c r="D6400" s="162" t="s">
        <v>12895</v>
      </c>
      <c r="E6400" s="162" t="s">
        <v>1903</v>
      </c>
      <c r="F6400" s="162">
        <v>6456</v>
      </c>
      <c r="G6400" s="162">
        <v>1</v>
      </c>
    </row>
    <row r="6401" spans="2:7" ht="28.8">
      <c r="B6401" s="162" t="s">
        <v>129</v>
      </c>
      <c r="C6401" s="162" t="s">
        <v>1906</v>
      </c>
      <c r="D6401" s="162" t="s">
        <v>12895</v>
      </c>
      <c r="E6401" s="162" t="s">
        <v>1905</v>
      </c>
      <c r="F6401" s="162">
        <v>6456</v>
      </c>
      <c r="G6401" s="162">
        <v>1</v>
      </c>
    </row>
    <row r="6402" spans="2:7" ht="28.8">
      <c r="B6402" s="162" t="s">
        <v>129</v>
      </c>
      <c r="C6402" s="162" t="s">
        <v>12902</v>
      </c>
      <c r="D6402" s="162" t="s">
        <v>12895</v>
      </c>
      <c r="E6402" s="162" t="s">
        <v>12903</v>
      </c>
      <c r="F6402" s="162">
        <v>5737</v>
      </c>
      <c r="G6402" s="162">
        <v>1</v>
      </c>
    </row>
    <row r="6403" spans="2:7" ht="28.8">
      <c r="B6403" s="162" t="s">
        <v>129</v>
      </c>
      <c r="C6403" s="162" t="s">
        <v>1908</v>
      </c>
      <c r="D6403" s="162" t="s">
        <v>12895</v>
      </c>
      <c r="E6403" s="162" t="s">
        <v>1907</v>
      </c>
      <c r="F6403" s="162">
        <v>6863</v>
      </c>
      <c r="G6403" s="162">
        <v>1</v>
      </c>
    </row>
    <row r="6404" spans="2:7" ht="28.8">
      <c r="B6404" s="162" t="s">
        <v>129</v>
      </c>
      <c r="C6404" s="162" t="s">
        <v>1910</v>
      </c>
      <c r="D6404" s="162" t="s">
        <v>12895</v>
      </c>
      <c r="E6404" s="162" t="s">
        <v>1909</v>
      </c>
      <c r="F6404" s="162">
        <v>6863</v>
      </c>
      <c r="G6404" s="162">
        <v>1</v>
      </c>
    </row>
    <row r="6405" spans="2:7" ht="28.8">
      <c r="B6405" s="162" t="s">
        <v>129</v>
      </c>
      <c r="C6405" s="162" t="s">
        <v>12904</v>
      </c>
      <c r="D6405" s="162" t="s">
        <v>12895</v>
      </c>
      <c r="E6405" s="162" t="s">
        <v>12905</v>
      </c>
      <c r="F6405" s="162">
        <v>5440</v>
      </c>
      <c r="G6405" s="162">
        <v>1</v>
      </c>
    </row>
    <row r="6406" spans="2:7" ht="28.8">
      <c r="B6406" s="162" t="s">
        <v>129</v>
      </c>
      <c r="C6406" s="162" t="s">
        <v>1912</v>
      </c>
      <c r="D6406" s="162" t="s">
        <v>12895</v>
      </c>
      <c r="E6406" s="162" t="s">
        <v>1911</v>
      </c>
      <c r="F6406" s="162">
        <v>6701</v>
      </c>
      <c r="G6406" s="162">
        <v>1</v>
      </c>
    </row>
    <row r="6407" spans="2:7" ht="28.8">
      <c r="B6407" s="162" t="s">
        <v>129</v>
      </c>
      <c r="C6407" s="162" t="s">
        <v>1914</v>
      </c>
      <c r="D6407" s="162" t="s">
        <v>12895</v>
      </c>
      <c r="E6407" s="162" t="s">
        <v>1913</v>
      </c>
      <c r="F6407" s="162">
        <v>6701</v>
      </c>
      <c r="G6407" s="162">
        <v>1</v>
      </c>
    </row>
    <row r="6408" spans="2:7" ht="28.8">
      <c r="B6408" s="162" t="s">
        <v>129</v>
      </c>
      <c r="C6408" s="162" t="s">
        <v>12906</v>
      </c>
      <c r="D6408" s="162" t="s">
        <v>12895</v>
      </c>
      <c r="E6408" s="162" t="s">
        <v>12907</v>
      </c>
      <c r="F6408" s="162">
        <v>4595</v>
      </c>
      <c r="G6408" s="162">
        <v>1</v>
      </c>
    </row>
    <row r="6409" spans="2:7" ht="28.8">
      <c r="B6409" s="162" t="s">
        <v>129</v>
      </c>
      <c r="C6409" s="162" t="s">
        <v>12908</v>
      </c>
      <c r="D6409" s="162" t="s">
        <v>12895</v>
      </c>
      <c r="E6409" s="162" t="s">
        <v>12909</v>
      </c>
      <c r="F6409" s="162">
        <v>4595</v>
      </c>
      <c r="G6409" s="162">
        <v>1</v>
      </c>
    </row>
    <row r="6410" spans="2:7" ht="28.8">
      <c r="B6410" s="162" t="s">
        <v>129</v>
      </c>
      <c r="C6410" s="162" t="s">
        <v>1916</v>
      </c>
      <c r="D6410" s="162" t="s">
        <v>12895</v>
      </c>
      <c r="E6410" s="162" t="s">
        <v>1915</v>
      </c>
      <c r="F6410" s="162">
        <v>5500</v>
      </c>
      <c r="G6410" s="162">
        <v>1</v>
      </c>
    </row>
    <row r="6411" spans="2:7" ht="28.8">
      <c r="B6411" s="162" t="s">
        <v>129</v>
      </c>
      <c r="C6411" s="162" t="s">
        <v>1918</v>
      </c>
      <c r="D6411" s="162" t="s">
        <v>12895</v>
      </c>
      <c r="E6411" s="162" t="s">
        <v>1917</v>
      </c>
      <c r="F6411" s="162">
        <v>5500</v>
      </c>
      <c r="G6411" s="162">
        <v>1</v>
      </c>
    </row>
    <row r="6412" spans="2:7" ht="43.2">
      <c r="B6412" s="162" t="s">
        <v>129</v>
      </c>
      <c r="C6412" s="162" t="s">
        <v>12910</v>
      </c>
      <c r="D6412" s="162" t="s">
        <v>12895</v>
      </c>
      <c r="E6412" s="162" t="s">
        <v>12911</v>
      </c>
      <c r="F6412" s="162">
        <v>5143</v>
      </c>
      <c r="G6412" s="162">
        <v>1</v>
      </c>
    </row>
    <row r="6413" spans="2:7" ht="43.2">
      <c r="B6413" s="162" t="s">
        <v>129</v>
      </c>
      <c r="C6413" s="162" t="s">
        <v>12912</v>
      </c>
      <c r="D6413" s="162" t="s">
        <v>12895</v>
      </c>
      <c r="E6413" s="162" t="s">
        <v>12913</v>
      </c>
      <c r="F6413" s="162">
        <v>5143</v>
      </c>
      <c r="G6413" s="162">
        <v>1</v>
      </c>
    </row>
    <row r="6414" spans="2:7" ht="28.8">
      <c r="B6414" s="162" t="s">
        <v>129</v>
      </c>
      <c r="C6414" s="162" t="s">
        <v>1920</v>
      </c>
      <c r="D6414" s="162" t="s">
        <v>12895</v>
      </c>
      <c r="E6414" s="162" t="s">
        <v>1919</v>
      </c>
      <c r="F6414" s="162">
        <v>6334</v>
      </c>
      <c r="G6414" s="162">
        <v>1</v>
      </c>
    </row>
    <row r="6415" spans="2:7" ht="28.8">
      <c r="B6415" s="162" t="s">
        <v>129</v>
      </c>
      <c r="C6415" s="162" t="s">
        <v>1922</v>
      </c>
      <c r="D6415" s="162" t="s">
        <v>12895</v>
      </c>
      <c r="E6415" s="162" t="s">
        <v>1921</v>
      </c>
      <c r="F6415" s="162">
        <v>6334</v>
      </c>
      <c r="G6415" s="162">
        <v>1</v>
      </c>
    </row>
    <row r="6416" spans="2:7" ht="28.8">
      <c r="B6416" s="162" t="s">
        <v>129</v>
      </c>
      <c r="C6416" s="162" t="s">
        <v>12914</v>
      </c>
      <c r="D6416" s="162" t="s">
        <v>12895</v>
      </c>
      <c r="E6416" s="162" t="s">
        <v>12915</v>
      </c>
      <c r="F6416" s="162">
        <v>5836</v>
      </c>
      <c r="G6416" s="162">
        <v>1</v>
      </c>
    </row>
    <row r="6417" spans="2:7" ht="28.8">
      <c r="B6417" s="162" t="s">
        <v>129</v>
      </c>
      <c r="C6417" s="162" t="s">
        <v>12916</v>
      </c>
      <c r="D6417" s="162" t="s">
        <v>12895</v>
      </c>
      <c r="E6417" s="162" t="s">
        <v>12917</v>
      </c>
      <c r="F6417" s="162">
        <v>5836</v>
      </c>
      <c r="G6417" s="162">
        <v>1</v>
      </c>
    </row>
    <row r="6418" spans="2:7" ht="28.8">
      <c r="B6418" s="162" t="s">
        <v>129</v>
      </c>
      <c r="C6418" s="162" t="s">
        <v>1924</v>
      </c>
      <c r="D6418" s="162" t="s">
        <v>12895</v>
      </c>
      <c r="E6418" s="162" t="s">
        <v>1923</v>
      </c>
      <c r="F6418" s="162">
        <v>7261</v>
      </c>
      <c r="G6418" s="162">
        <v>1</v>
      </c>
    </row>
    <row r="6419" spans="2:7" ht="28.8">
      <c r="B6419" s="162" t="s">
        <v>129</v>
      </c>
      <c r="C6419" s="162" t="s">
        <v>1926</v>
      </c>
      <c r="D6419" s="162" t="s">
        <v>12895</v>
      </c>
      <c r="E6419" s="162" t="s">
        <v>1925</v>
      </c>
      <c r="F6419" s="162">
        <v>7261</v>
      </c>
      <c r="G6419" s="162">
        <v>1</v>
      </c>
    </row>
    <row r="6420" spans="2:7" ht="28.8">
      <c r="B6420" s="162" t="s">
        <v>129</v>
      </c>
      <c r="C6420" s="162" t="s">
        <v>12918</v>
      </c>
      <c r="D6420" s="162" t="s">
        <v>12895</v>
      </c>
      <c r="E6420" s="162" t="s">
        <v>12919</v>
      </c>
      <c r="F6420" s="162">
        <v>6331</v>
      </c>
      <c r="G6420" s="162">
        <v>1</v>
      </c>
    </row>
    <row r="6421" spans="2:7" ht="28.8">
      <c r="B6421" s="162" t="s">
        <v>129</v>
      </c>
      <c r="C6421" s="162" t="s">
        <v>12920</v>
      </c>
      <c r="D6421" s="162" t="s">
        <v>12895</v>
      </c>
      <c r="E6421" s="162" t="s">
        <v>12921</v>
      </c>
      <c r="F6421" s="162">
        <v>6331</v>
      </c>
      <c r="G6421" s="162">
        <v>1</v>
      </c>
    </row>
    <row r="6422" spans="2:7" ht="28.8">
      <c r="B6422" s="162" t="s">
        <v>129</v>
      </c>
      <c r="C6422" s="162" t="s">
        <v>1928</v>
      </c>
      <c r="D6422" s="162" t="s">
        <v>12895</v>
      </c>
      <c r="E6422" s="162" t="s">
        <v>1927</v>
      </c>
      <c r="F6422" s="162">
        <v>7727</v>
      </c>
      <c r="G6422" s="162">
        <v>1</v>
      </c>
    </row>
    <row r="6423" spans="2:7" ht="28.8">
      <c r="B6423" s="162" t="s">
        <v>129</v>
      </c>
      <c r="C6423" s="162" t="s">
        <v>1930</v>
      </c>
      <c r="D6423" s="162" t="s">
        <v>12895</v>
      </c>
      <c r="E6423" s="162" t="s">
        <v>1929</v>
      </c>
      <c r="F6423" s="162">
        <v>7727</v>
      </c>
      <c r="G6423" s="162">
        <v>1</v>
      </c>
    </row>
    <row r="6424" spans="2:7" ht="28.8">
      <c r="B6424" s="162" t="s">
        <v>129</v>
      </c>
      <c r="C6424" s="162" t="s">
        <v>12922</v>
      </c>
      <c r="D6424" s="162" t="s">
        <v>12895</v>
      </c>
      <c r="E6424" s="162" t="s">
        <v>12923</v>
      </c>
      <c r="F6424" s="162">
        <v>6133</v>
      </c>
      <c r="G6424" s="162">
        <v>1</v>
      </c>
    </row>
    <row r="6425" spans="2:7" ht="28.8">
      <c r="B6425" s="162" t="s">
        <v>129</v>
      </c>
      <c r="C6425" s="162" t="s">
        <v>12924</v>
      </c>
      <c r="D6425" s="162" t="s">
        <v>12895</v>
      </c>
      <c r="E6425" s="162" t="s">
        <v>12925</v>
      </c>
      <c r="F6425" s="162">
        <v>6133</v>
      </c>
      <c r="G6425" s="162">
        <v>1</v>
      </c>
    </row>
    <row r="6426" spans="2:7" ht="28.8">
      <c r="B6426" s="162" t="s">
        <v>129</v>
      </c>
      <c r="C6426" s="162" t="s">
        <v>1932</v>
      </c>
      <c r="D6426" s="162" t="s">
        <v>12895</v>
      </c>
      <c r="E6426" s="162" t="s">
        <v>1931</v>
      </c>
      <c r="F6426" s="162">
        <v>7631</v>
      </c>
      <c r="G6426" s="162">
        <v>1</v>
      </c>
    </row>
    <row r="6427" spans="2:7" ht="28.8">
      <c r="B6427" s="162" t="s">
        <v>129</v>
      </c>
      <c r="C6427" s="162" t="s">
        <v>1934</v>
      </c>
      <c r="D6427" s="162" t="s">
        <v>12895</v>
      </c>
      <c r="E6427" s="162" t="s">
        <v>1933</v>
      </c>
      <c r="F6427" s="162">
        <v>7631</v>
      </c>
      <c r="G6427" s="162">
        <v>1</v>
      </c>
    </row>
    <row r="6428" spans="2:7" ht="28.8">
      <c r="B6428" s="162" t="s">
        <v>129</v>
      </c>
      <c r="C6428" s="162" t="s">
        <v>12926</v>
      </c>
      <c r="D6428" s="162" t="s">
        <v>12895</v>
      </c>
      <c r="E6428" s="162" t="s">
        <v>12927</v>
      </c>
      <c r="F6428" s="162">
        <v>3508</v>
      </c>
      <c r="G6428" s="162">
        <v>1</v>
      </c>
    </row>
    <row r="6429" spans="2:7">
      <c r="B6429" s="162" t="s">
        <v>129</v>
      </c>
      <c r="C6429" s="162" t="s">
        <v>1936</v>
      </c>
      <c r="D6429" s="162" t="s">
        <v>12895</v>
      </c>
      <c r="E6429" s="162" t="s">
        <v>1935</v>
      </c>
      <c r="F6429" s="162">
        <v>4103</v>
      </c>
      <c r="G6429" s="162">
        <v>1</v>
      </c>
    </row>
    <row r="6430" spans="2:7" ht="28.8">
      <c r="B6430" s="162" t="s">
        <v>129</v>
      </c>
      <c r="C6430" s="162" t="s">
        <v>1938</v>
      </c>
      <c r="D6430" s="162" t="s">
        <v>12895</v>
      </c>
      <c r="E6430" s="162" t="s">
        <v>1937</v>
      </c>
      <c r="F6430" s="162">
        <v>4103</v>
      </c>
      <c r="G6430" s="162">
        <v>1</v>
      </c>
    </row>
    <row r="6431" spans="2:7">
      <c r="B6431" s="162" t="s">
        <v>129</v>
      </c>
      <c r="C6431" s="162" t="s">
        <v>1940</v>
      </c>
      <c r="D6431" s="162" t="s">
        <v>12895</v>
      </c>
      <c r="E6431" s="162" t="s">
        <v>1939</v>
      </c>
      <c r="F6431" s="162">
        <v>4673</v>
      </c>
      <c r="G6431" s="162">
        <v>1</v>
      </c>
    </row>
    <row r="6432" spans="2:7" ht="28.8">
      <c r="B6432" s="162" t="s">
        <v>129</v>
      </c>
      <c r="C6432" s="162" t="s">
        <v>1942</v>
      </c>
      <c r="D6432" s="162" t="s">
        <v>12895</v>
      </c>
      <c r="E6432" s="162" t="s">
        <v>1941</v>
      </c>
      <c r="F6432" s="162">
        <v>4673</v>
      </c>
      <c r="G6432" s="162">
        <v>1</v>
      </c>
    </row>
    <row r="6433" spans="2:7" ht="28.8">
      <c r="B6433" s="162" t="s">
        <v>129</v>
      </c>
      <c r="C6433" s="162" t="s">
        <v>12928</v>
      </c>
      <c r="D6433" s="162" t="s">
        <v>12895</v>
      </c>
      <c r="E6433" s="162" t="s">
        <v>12929</v>
      </c>
      <c r="F6433" s="162">
        <v>3436</v>
      </c>
      <c r="G6433" s="162">
        <v>1</v>
      </c>
    </row>
    <row r="6434" spans="2:7">
      <c r="B6434" s="162" t="s">
        <v>129</v>
      </c>
      <c r="C6434" s="162" t="s">
        <v>1944</v>
      </c>
      <c r="D6434" s="162" t="s">
        <v>12895</v>
      </c>
      <c r="E6434" s="162" t="s">
        <v>1943</v>
      </c>
      <c r="F6434" s="162">
        <v>4449</v>
      </c>
      <c r="G6434" s="162">
        <v>1</v>
      </c>
    </row>
    <row r="6435" spans="2:7" ht="28.8">
      <c r="B6435" s="162" t="s">
        <v>129</v>
      </c>
      <c r="C6435" s="162" t="s">
        <v>1946</v>
      </c>
      <c r="D6435" s="162" t="s">
        <v>12895</v>
      </c>
      <c r="E6435" s="162" t="s">
        <v>1945</v>
      </c>
      <c r="F6435" s="162">
        <v>4449</v>
      </c>
      <c r="G6435" s="162">
        <v>1</v>
      </c>
    </row>
    <row r="6436" spans="2:7" ht="28.8">
      <c r="B6436" s="162" t="s">
        <v>129</v>
      </c>
      <c r="C6436" s="162" t="s">
        <v>12930</v>
      </c>
      <c r="D6436" s="162" t="s">
        <v>12895</v>
      </c>
      <c r="E6436" s="162" t="s">
        <v>12931</v>
      </c>
      <c r="F6436" s="162">
        <v>3890</v>
      </c>
      <c r="G6436" s="162">
        <v>1</v>
      </c>
    </row>
    <row r="6437" spans="2:7" ht="28.8">
      <c r="B6437" s="162" t="s">
        <v>129</v>
      </c>
      <c r="C6437" s="162" t="s">
        <v>12932</v>
      </c>
      <c r="D6437" s="162" t="s">
        <v>12895</v>
      </c>
      <c r="E6437" s="162" t="s">
        <v>12933</v>
      </c>
      <c r="F6437" s="162">
        <v>3890</v>
      </c>
      <c r="G6437" s="162">
        <v>1</v>
      </c>
    </row>
    <row r="6438" spans="2:7">
      <c r="B6438" s="162" t="s">
        <v>129</v>
      </c>
      <c r="C6438" s="162" t="s">
        <v>1948</v>
      </c>
      <c r="D6438" s="162" t="s">
        <v>12895</v>
      </c>
      <c r="E6438" s="162" t="s">
        <v>1947</v>
      </c>
      <c r="F6438" s="162">
        <v>5036</v>
      </c>
      <c r="G6438" s="162">
        <v>1</v>
      </c>
    </row>
    <row r="6439" spans="2:7" ht="28.8">
      <c r="B6439" s="162" t="s">
        <v>129</v>
      </c>
      <c r="C6439" s="162" t="s">
        <v>1950</v>
      </c>
      <c r="D6439" s="162" t="s">
        <v>12895</v>
      </c>
      <c r="E6439" s="162" t="s">
        <v>1949</v>
      </c>
      <c r="F6439" s="162">
        <v>5036</v>
      </c>
      <c r="G6439" s="162">
        <v>1</v>
      </c>
    </row>
    <row r="6440" spans="2:7" ht="28.8">
      <c r="B6440" s="162" t="s">
        <v>129</v>
      </c>
      <c r="C6440" s="162" t="s">
        <v>12934</v>
      </c>
      <c r="D6440" s="162" t="s">
        <v>12895</v>
      </c>
      <c r="E6440" s="162" t="s">
        <v>12935</v>
      </c>
      <c r="F6440" s="162">
        <v>2577</v>
      </c>
      <c r="G6440" s="162">
        <v>1</v>
      </c>
    </row>
    <row r="6441" spans="2:7" ht="28.8">
      <c r="B6441" s="162" t="s">
        <v>129</v>
      </c>
      <c r="C6441" s="162" t="s">
        <v>12936</v>
      </c>
      <c r="D6441" s="162" t="s">
        <v>12895</v>
      </c>
      <c r="E6441" s="162" t="s">
        <v>12937</v>
      </c>
      <c r="F6441" s="162">
        <v>2995</v>
      </c>
      <c r="G6441" s="162">
        <v>1</v>
      </c>
    </row>
    <row r="6442" spans="2:7" ht="28.8">
      <c r="B6442" s="162" t="s">
        <v>129</v>
      </c>
      <c r="C6442" s="162" t="s">
        <v>12938</v>
      </c>
      <c r="D6442" s="162" t="s">
        <v>12895</v>
      </c>
      <c r="E6442" s="162" t="s">
        <v>12939</v>
      </c>
      <c r="F6442" s="162">
        <v>2995</v>
      </c>
      <c r="G6442" s="162">
        <v>1</v>
      </c>
    </row>
    <row r="6443" spans="2:7" ht="28.8">
      <c r="B6443" s="162" t="s">
        <v>129</v>
      </c>
      <c r="C6443" s="162" t="s">
        <v>1952</v>
      </c>
      <c r="D6443" s="162" t="s">
        <v>12895</v>
      </c>
      <c r="E6443" s="162" t="s">
        <v>1951</v>
      </c>
      <c r="F6443" s="162">
        <v>3240</v>
      </c>
      <c r="G6443" s="162">
        <v>1</v>
      </c>
    </row>
    <row r="6444" spans="2:7" ht="28.8">
      <c r="B6444" s="162" t="s">
        <v>129</v>
      </c>
      <c r="C6444" s="162" t="s">
        <v>1954</v>
      </c>
      <c r="D6444" s="162" t="s">
        <v>12895</v>
      </c>
      <c r="E6444" s="162" t="s">
        <v>1953</v>
      </c>
      <c r="F6444" s="162">
        <v>3240</v>
      </c>
      <c r="G6444" s="162">
        <v>1</v>
      </c>
    </row>
    <row r="6445" spans="2:7" ht="28.8">
      <c r="B6445" s="162" t="s">
        <v>129</v>
      </c>
      <c r="C6445" s="162" t="s">
        <v>1956</v>
      </c>
      <c r="D6445" s="162" t="s">
        <v>12895</v>
      </c>
      <c r="E6445" s="162" t="s">
        <v>1955</v>
      </c>
      <c r="F6445" s="162">
        <v>3515</v>
      </c>
      <c r="G6445" s="162">
        <v>1</v>
      </c>
    </row>
    <row r="6446" spans="2:7" ht="28.8">
      <c r="B6446" s="162" t="s">
        <v>129</v>
      </c>
      <c r="C6446" s="162" t="s">
        <v>1958</v>
      </c>
      <c r="D6446" s="162" t="s">
        <v>12895</v>
      </c>
      <c r="E6446" s="162" t="s">
        <v>1957</v>
      </c>
      <c r="F6446" s="162">
        <v>3515</v>
      </c>
      <c r="G6446" s="162">
        <v>1</v>
      </c>
    </row>
    <row r="6447" spans="2:7" ht="28.8">
      <c r="B6447" s="162" t="s">
        <v>129</v>
      </c>
      <c r="C6447" s="162" t="s">
        <v>1960</v>
      </c>
      <c r="D6447" s="162" t="s">
        <v>12895</v>
      </c>
      <c r="E6447" s="162" t="s">
        <v>1959</v>
      </c>
      <c r="F6447" s="162">
        <v>3515</v>
      </c>
      <c r="G6447" s="162">
        <v>1</v>
      </c>
    </row>
    <row r="6448" spans="2:7" ht="28.8">
      <c r="B6448" s="162" t="s">
        <v>129</v>
      </c>
      <c r="C6448" s="162" t="s">
        <v>1962</v>
      </c>
      <c r="D6448" s="162" t="s">
        <v>12895</v>
      </c>
      <c r="E6448" s="162" t="s">
        <v>1961</v>
      </c>
      <c r="F6448" s="162">
        <v>3515</v>
      </c>
      <c r="G6448" s="162">
        <v>1</v>
      </c>
    </row>
    <row r="6449" spans="2:7" ht="28.8">
      <c r="B6449" s="162" t="s">
        <v>129</v>
      </c>
      <c r="C6449" s="162" t="s">
        <v>1964</v>
      </c>
      <c r="D6449" s="162" t="s">
        <v>12895</v>
      </c>
      <c r="E6449" s="162" t="s">
        <v>1963</v>
      </c>
      <c r="F6449" s="162">
        <v>4642</v>
      </c>
      <c r="G6449" s="162">
        <v>1</v>
      </c>
    </row>
    <row r="6450" spans="2:7" ht="28.8">
      <c r="B6450" s="162" t="s">
        <v>129</v>
      </c>
      <c r="C6450" s="162" t="s">
        <v>1966</v>
      </c>
      <c r="D6450" s="162" t="s">
        <v>12895</v>
      </c>
      <c r="E6450" s="162" t="s">
        <v>1965</v>
      </c>
      <c r="F6450" s="162">
        <v>4008</v>
      </c>
      <c r="G6450" s="162">
        <v>1</v>
      </c>
    </row>
    <row r="6451" spans="2:7" ht="28.8">
      <c r="B6451" s="162" t="s">
        <v>129</v>
      </c>
      <c r="C6451" s="162" t="s">
        <v>12940</v>
      </c>
      <c r="D6451" s="162" t="s">
        <v>12895</v>
      </c>
      <c r="E6451" s="162" t="s">
        <v>12941</v>
      </c>
      <c r="F6451" s="162">
        <v>2998</v>
      </c>
      <c r="G6451" s="162">
        <v>1</v>
      </c>
    </row>
    <row r="6452" spans="2:7" ht="28.8">
      <c r="B6452" s="162" t="s">
        <v>129</v>
      </c>
      <c r="C6452" s="162" t="s">
        <v>12942</v>
      </c>
      <c r="D6452" s="162" t="s">
        <v>12895</v>
      </c>
      <c r="E6452" s="162" t="s">
        <v>12943</v>
      </c>
      <c r="F6452" s="162">
        <v>2998</v>
      </c>
      <c r="G6452" s="162">
        <v>1</v>
      </c>
    </row>
    <row r="6453" spans="2:7" ht="28.8">
      <c r="B6453" s="162" t="s">
        <v>129</v>
      </c>
      <c r="C6453" s="162" t="s">
        <v>1968</v>
      </c>
      <c r="D6453" s="162" t="s">
        <v>12895</v>
      </c>
      <c r="E6453" s="162" t="s">
        <v>1967</v>
      </c>
      <c r="F6453" s="162">
        <v>3770</v>
      </c>
      <c r="G6453" s="162">
        <v>1</v>
      </c>
    </row>
    <row r="6454" spans="2:7" ht="28.8">
      <c r="B6454" s="162" t="s">
        <v>129</v>
      </c>
      <c r="C6454" s="162" t="s">
        <v>1970</v>
      </c>
      <c r="D6454" s="162" t="s">
        <v>12895</v>
      </c>
      <c r="E6454" s="162" t="s">
        <v>1969</v>
      </c>
      <c r="F6454" s="162">
        <v>3770</v>
      </c>
      <c r="G6454" s="162">
        <v>1</v>
      </c>
    </row>
    <row r="6455" spans="2:7" ht="28.8">
      <c r="B6455" s="162" t="s">
        <v>129</v>
      </c>
      <c r="C6455" s="162" t="s">
        <v>1972</v>
      </c>
      <c r="D6455" s="162" t="s">
        <v>12895</v>
      </c>
      <c r="E6455" s="162" t="s">
        <v>1971</v>
      </c>
      <c r="F6455" s="162">
        <v>4766</v>
      </c>
      <c r="G6455" s="162">
        <v>1</v>
      </c>
    </row>
    <row r="6456" spans="2:7" ht="28.8">
      <c r="B6456" s="162" t="s">
        <v>129</v>
      </c>
      <c r="C6456" s="162" t="s">
        <v>1974</v>
      </c>
      <c r="D6456" s="162" t="s">
        <v>12895</v>
      </c>
      <c r="E6456" s="162" t="s">
        <v>1973</v>
      </c>
      <c r="F6456" s="162">
        <v>4766</v>
      </c>
      <c r="G6456" s="162">
        <v>1</v>
      </c>
    </row>
    <row r="6457" spans="2:7" ht="28.8">
      <c r="B6457" s="162" t="s">
        <v>129</v>
      </c>
      <c r="C6457" s="162" t="s">
        <v>1976</v>
      </c>
      <c r="D6457" s="162" t="s">
        <v>12895</v>
      </c>
      <c r="E6457" s="162" t="s">
        <v>1975</v>
      </c>
      <c r="F6457" s="162">
        <v>6580</v>
      </c>
      <c r="G6457" s="162">
        <v>1</v>
      </c>
    </row>
    <row r="6458" spans="2:7" ht="28.8">
      <c r="B6458" s="162" t="s">
        <v>129</v>
      </c>
      <c r="C6458" s="162" t="s">
        <v>12944</v>
      </c>
      <c r="D6458" s="162" t="s">
        <v>12895</v>
      </c>
      <c r="E6458" s="162" t="s">
        <v>12945</v>
      </c>
      <c r="F6458" s="162">
        <v>6388</v>
      </c>
      <c r="G6458" s="162">
        <v>1</v>
      </c>
    </row>
    <row r="6459" spans="2:7" ht="28.8">
      <c r="B6459" s="162" t="s">
        <v>129</v>
      </c>
      <c r="C6459" s="162" t="s">
        <v>1978</v>
      </c>
      <c r="D6459" s="162" t="s">
        <v>12895</v>
      </c>
      <c r="E6459" s="162" t="s">
        <v>1977</v>
      </c>
      <c r="F6459" s="162">
        <v>6388</v>
      </c>
      <c r="G6459" s="162">
        <v>1</v>
      </c>
    </row>
    <row r="6460" spans="2:7" ht="43.2">
      <c r="B6460" s="162" t="s">
        <v>129</v>
      </c>
      <c r="C6460" s="162" t="s">
        <v>1980</v>
      </c>
      <c r="D6460" s="162" t="s">
        <v>12895</v>
      </c>
      <c r="E6460" s="162" t="s">
        <v>1979</v>
      </c>
      <c r="F6460" s="162">
        <v>8249</v>
      </c>
      <c r="G6460" s="162">
        <v>1</v>
      </c>
    </row>
    <row r="6461" spans="2:7" ht="43.2">
      <c r="B6461" s="162" t="s">
        <v>129</v>
      </c>
      <c r="C6461" s="162" t="s">
        <v>12946</v>
      </c>
      <c r="D6461" s="162" t="s">
        <v>12895</v>
      </c>
      <c r="E6461" s="162" t="s">
        <v>12947</v>
      </c>
      <c r="F6461" s="162">
        <v>8008</v>
      </c>
      <c r="G6461" s="162">
        <v>1</v>
      </c>
    </row>
    <row r="6462" spans="2:7" ht="43.2">
      <c r="B6462" s="162" t="s">
        <v>129</v>
      </c>
      <c r="C6462" s="162" t="s">
        <v>1982</v>
      </c>
      <c r="D6462" s="162" t="s">
        <v>12895</v>
      </c>
      <c r="E6462" s="162" t="s">
        <v>1981</v>
      </c>
      <c r="F6462" s="162">
        <v>8008</v>
      </c>
      <c r="G6462" s="162">
        <v>1</v>
      </c>
    </row>
    <row r="6463" spans="2:7" ht="43.2">
      <c r="B6463" s="162" t="s">
        <v>129</v>
      </c>
      <c r="C6463" s="162" t="s">
        <v>1984</v>
      </c>
      <c r="D6463" s="162" t="s">
        <v>12895</v>
      </c>
      <c r="E6463" s="162" t="s">
        <v>1983</v>
      </c>
      <c r="F6463" s="162">
        <v>9565</v>
      </c>
      <c r="G6463" s="162">
        <v>1</v>
      </c>
    </row>
    <row r="6464" spans="2:7" ht="43.2">
      <c r="B6464" s="162" t="s">
        <v>129</v>
      </c>
      <c r="C6464" s="162" t="s">
        <v>12948</v>
      </c>
      <c r="D6464" s="162" t="s">
        <v>12895</v>
      </c>
      <c r="E6464" s="162" t="s">
        <v>12949</v>
      </c>
      <c r="F6464" s="162">
        <v>9286</v>
      </c>
      <c r="G6464" s="162">
        <v>1</v>
      </c>
    </row>
    <row r="6465" spans="2:7" ht="43.2">
      <c r="B6465" s="162" t="s">
        <v>129</v>
      </c>
      <c r="C6465" s="162" t="s">
        <v>1986</v>
      </c>
      <c r="D6465" s="162" t="s">
        <v>12895</v>
      </c>
      <c r="E6465" s="162" t="s">
        <v>1985</v>
      </c>
      <c r="F6465" s="162">
        <v>9286</v>
      </c>
      <c r="G6465" s="162">
        <v>1</v>
      </c>
    </row>
    <row r="6466" spans="2:7" ht="28.8">
      <c r="B6466" s="162" t="s">
        <v>129</v>
      </c>
      <c r="C6466" s="162" t="s">
        <v>12950</v>
      </c>
      <c r="D6466" s="162" t="s">
        <v>12895</v>
      </c>
      <c r="E6466" s="162" t="s">
        <v>12951</v>
      </c>
      <c r="F6466" s="162">
        <v>9186</v>
      </c>
      <c r="G6466" s="162">
        <v>1</v>
      </c>
    </row>
    <row r="6467" spans="2:7" ht="43.2">
      <c r="B6467" s="162" t="s">
        <v>129</v>
      </c>
      <c r="C6467" s="162" t="s">
        <v>12952</v>
      </c>
      <c r="D6467" s="162" t="s">
        <v>12895</v>
      </c>
      <c r="E6467" s="162" t="s">
        <v>12953</v>
      </c>
      <c r="F6467" s="162">
        <v>9186</v>
      </c>
      <c r="G6467" s="162">
        <v>1</v>
      </c>
    </row>
    <row r="6468" spans="2:7" ht="43.2">
      <c r="B6468" s="162" t="s">
        <v>129</v>
      </c>
      <c r="C6468" s="162" t="s">
        <v>12954</v>
      </c>
      <c r="D6468" s="162" t="s">
        <v>12895</v>
      </c>
      <c r="E6468" s="162" t="s">
        <v>12955</v>
      </c>
      <c r="F6468" s="162">
        <v>9186</v>
      </c>
      <c r="G6468" s="162">
        <v>1</v>
      </c>
    </row>
    <row r="6469" spans="2:7" ht="28.8">
      <c r="B6469" s="162" t="s">
        <v>129</v>
      </c>
      <c r="C6469" s="162" t="s">
        <v>1988</v>
      </c>
      <c r="D6469" s="162" t="s">
        <v>12895</v>
      </c>
      <c r="E6469" s="162" t="s">
        <v>1987</v>
      </c>
      <c r="F6469" s="162">
        <v>7544</v>
      </c>
      <c r="G6469" s="162">
        <v>1</v>
      </c>
    </row>
    <row r="6470" spans="2:7" ht="28.8">
      <c r="B6470" s="162" t="s">
        <v>129</v>
      </c>
      <c r="C6470" s="162" t="s">
        <v>1990</v>
      </c>
      <c r="D6470" s="162" t="s">
        <v>12895</v>
      </c>
      <c r="E6470" s="162" t="s">
        <v>1989</v>
      </c>
      <c r="F6470" s="162">
        <v>7544</v>
      </c>
      <c r="G6470" s="162">
        <v>1</v>
      </c>
    </row>
    <row r="6471" spans="2:7" ht="43.2">
      <c r="B6471" s="162" t="s">
        <v>129</v>
      </c>
      <c r="C6471" s="162" t="s">
        <v>1992</v>
      </c>
      <c r="D6471" s="162" t="s">
        <v>12895</v>
      </c>
      <c r="E6471" s="162" t="s">
        <v>1991</v>
      </c>
      <c r="F6471" s="162">
        <v>9215</v>
      </c>
      <c r="G6471" s="162">
        <v>1</v>
      </c>
    </row>
    <row r="6472" spans="2:7" ht="43.2">
      <c r="B6472" s="162" t="s">
        <v>129</v>
      </c>
      <c r="C6472" s="162" t="s">
        <v>1994</v>
      </c>
      <c r="D6472" s="162" t="s">
        <v>12895</v>
      </c>
      <c r="E6472" s="162" t="s">
        <v>1993</v>
      </c>
      <c r="F6472" s="162">
        <v>9215</v>
      </c>
      <c r="G6472" s="162">
        <v>1</v>
      </c>
    </row>
    <row r="6473" spans="2:7" ht="43.2">
      <c r="B6473" s="162" t="s">
        <v>129</v>
      </c>
      <c r="C6473" s="162" t="s">
        <v>1996</v>
      </c>
      <c r="D6473" s="162" t="s">
        <v>12895</v>
      </c>
      <c r="E6473" s="162" t="s">
        <v>1995</v>
      </c>
      <c r="F6473" s="162">
        <v>10530</v>
      </c>
      <c r="G6473" s="162">
        <v>1</v>
      </c>
    </row>
    <row r="6474" spans="2:7" ht="43.2">
      <c r="B6474" s="162" t="s">
        <v>129</v>
      </c>
      <c r="C6474" s="162" t="s">
        <v>1998</v>
      </c>
      <c r="D6474" s="162" t="s">
        <v>12895</v>
      </c>
      <c r="E6474" s="162" t="s">
        <v>1997</v>
      </c>
      <c r="F6474" s="162">
        <v>10530</v>
      </c>
      <c r="G6474" s="162">
        <v>1</v>
      </c>
    </row>
    <row r="6475" spans="2:7" ht="28.8">
      <c r="B6475" s="162" t="s">
        <v>129</v>
      </c>
      <c r="C6475" s="162" t="s">
        <v>12956</v>
      </c>
      <c r="D6475" s="162" t="s">
        <v>12895</v>
      </c>
      <c r="E6475" s="162" t="s">
        <v>12957</v>
      </c>
      <c r="F6475" s="162">
        <v>10427</v>
      </c>
      <c r="G6475" s="162">
        <v>1</v>
      </c>
    </row>
    <row r="6476" spans="2:7" ht="43.2">
      <c r="B6476" s="162" t="s">
        <v>129</v>
      </c>
      <c r="C6476" s="162" t="s">
        <v>12958</v>
      </c>
      <c r="D6476" s="162" t="s">
        <v>12895</v>
      </c>
      <c r="E6476" s="162" t="s">
        <v>12959</v>
      </c>
      <c r="F6476" s="162">
        <v>10427</v>
      </c>
      <c r="G6476" s="162">
        <v>1</v>
      </c>
    </row>
    <row r="6477" spans="2:7" ht="28.8">
      <c r="B6477" s="162" t="s">
        <v>129</v>
      </c>
      <c r="C6477" s="162" t="s">
        <v>12960</v>
      </c>
      <c r="D6477" s="162" t="s">
        <v>12895</v>
      </c>
      <c r="E6477" s="162" t="s">
        <v>12961</v>
      </c>
      <c r="F6477" s="162">
        <v>3436</v>
      </c>
      <c r="G6477" s="162">
        <v>1</v>
      </c>
    </row>
    <row r="6478" spans="2:7" ht="43.2">
      <c r="B6478" s="162" t="s">
        <v>129</v>
      </c>
      <c r="C6478" s="162" t="s">
        <v>12962</v>
      </c>
      <c r="D6478" s="162" t="s">
        <v>12895</v>
      </c>
      <c r="E6478" s="162" t="s">
        <v>12963</v>
      </c>
      <c r="F6478" s="162">
        <v>4890</v>
      </c>
      <c r="G6478" s="162">
        <v>1</v>
      </c>
    </row>
    <row r="6479" spans="2:7" ht="43.2">
      <c r="B6479" s="162" t="s">
        <v>129</v>
      </c>
      <c r="C6479" s="162" t="s">
        <v>12964</v>
      </c>
      <c r="D6479" s="162" t="s">
        <v>12895</v>
      </c>
      <c r="E6479" s="162" t="s">
        <v>12965</v>
      </c>
      <c r="F6479" s="162">
        <v>5995</v>
      </c>
      <c r="G6479" s="162">
        <v>1</v>
      </c>
    </row>
    <row r="6480" spans="2:7" ht="28.8">
      <c r="B6480" s="162" t="s">
        <v>129</v>
      </c>
      <c r="C6480" s="162" t="s">
        <v>2000</v>
      </c>
      <c r="D6480" s="162" t="s">
        <v>12895</v>
      </c>
      <c r="E6480" s="162" t="s">
        <v>1999</v>
      </c>
      <c r="F6480" s="162">
        <v>4449</v>
      </c>
      <c r="G6480" s="162">
        <v>1</v>
      </c>
    </row>
    <row r="6481" spans="2:7" ht="28.8">
      <c r="B6481" s="162" t="s">
        <v>129</v>
      </c>
      <c r="C6481" s="162" t="s">
        <v>2002</v>
      </c>
      <c r="D6481" s="162" t="s">
        <v>12895</v>
      </c>
      <c r="E6481" s="162" t="s">
        <v>2001</v>
      </c>
      <c r="F6481" s="162">
        <v>4449</v>
      </c>
      <c r="G6481" s="162">
        <v>1</v>
      </c>
    </row>
    <row r="6482" spans="2:7" ht="28.8">
      <c r="B6482" s="162" t="s">
        <v>129</v>
      </c>
      <c r="C6482" s="162" t="s">
        <v>2004</v>
      </c>
      <c r="D6482" s="162" t="s">
        <v>12895</v>
      </c>
      <c r="E6482" s="162" t="s">
        <v>2003</v>
      </c>
      <c r="F6482" s="162">
        <v>5851</v>
      </c>
      <c r="G6482" s="162">
        <v>1</v>
      </c>
    </row>
    <row r="6483" spans="2:7" ht="43.2">
      <c r="B6483" s="162" t="s">
        <v>129</v>
      </c>
      <c r="C6483" s="162" t="s">
        <v>2006</v>
      </c>
      <c r="D6483" s="162" t="s">
        <v>12895</v>
      </c>
      <c r="E6483" s="162" t="s">
        <v>2005</v>
      </c>
      <c r="F6483" s="162">
        <v>5851</v>
      </c>
      <c r="G6483" s="162">
        <v>1</v>
      </c>
    </row>
    <row r="6484" spans="2:7" ht="28.8">
      <c r="B6484" s="162" t="s">
        <v>129</v>
      </c>
      <c r="C6484" s="162" t="s">
        <v>2008</v>
      </c>
      <c r="D6484" s="162" t="s">
        <v>12895</v>
      </c>
      <c r="E6484" s="162" t="s">
        <v>2007</v>
      </c>
      <c r="F6484" s="162">
        <v>7172</v>
      </c>
      <c r="G6484" s="162">
        <v>1</v>
      </c>
    </row>
    <row r="6485" spans="2:7" ht="43.2">
      <c r="B6485" s="162" t="s">
        <v>129</v>
      </c>
      <c r="C6485" s="162" t="s">
        <v>2010</v>
      </c>
      <c r="D6485" s="162" t="s">
        <v>12895</v>
      </c>
      <c r="E6485" s="162" t="s">
        <v>2009</v>
      </c>
      <c r="F6485" s="162">
        <v>7172</v>
      </c>
      <c r="G6485" s="162">
        <v>1</v>
      </c>
    </row>
    <row r="6486" spans="2:7" ht="43.2">
      <c r="B6486" s="162" t="s">
        <v>129</v>
      </c>
      <c r="C6486" s="162" t="s">
        <v>12966</v>
      </c>
      <c r="D6486" s="162" t="s">
        <v>12895</v>
      </c>
      <c r="E6486" s="162" t="s">
        <v>12967</v>
      </c>
      <c r="F6486" s="162">
        <v>6863</v>
      </c>
      <c r="G6486" s="162">
        <v>1</v>
      </c>
    </row>
    <row r="6487" spans="2:7" ht="28.8">
      <c r="B6487" s="162" t="s">
        <v>129</v>
      </c>
      <c r="C6487" s="162" t="s">
        <v>12968</v>
      </c>
      <c r="D6487" s="162" t="s">
        <v>12895</v>
      </c>
      <c r="E6487" s="162" t="s">
        <v>12969</v>
      </c>
      <c r="F6487" s="162">
        <v>6863</v>
      </c>
      <c r="G6487" s="162">
        <v>1</v>
      </c>
    </row>
    <row r="6488" spans="2:7" ht="28.8">
      <c r="B6488" s="162" t="s">
        <v>129</v>
      </c>
      <c r="C6488" s="162" t="s">
        <v>12970</v>
      </c>
      <c r="D6488" s="162" t="s">
        <v>12895</v>
      </c>
      <c r="E6488" s="162" t="s">
        <v>12971</v>
      </c>
      <c r="F6488" s="162">
        <v>3890</v>
      </c>
      <c r="G6488" s="162">
        <v>1</v>
      </c>
    </row>
    <row r="6489" spans="2:7" ht="28.8">
      <c r="B6489" s="162" t="s">
        <v>129</v>
      </c>
      <c r="C6489" s="162" t="s">
        <v>12972</v>
      </c>
      <c r="D6489" s="162" t="s">
        <v>12895</v>
      </c>
      <c r="E6489" s="162" t="s">
        <v>12973</v>
      </c>
      <c r="F6489" s="162">
        <v>3890</v>
      </c>
      <c r="G6489" s="162">
        <v>1</v>
      </c>
    </row>
    <row r="6490" spans="2:7" ht="43.2">
      <c r="B6490" s="162" t="s">
        <v>129</v>
      </c>
      <c r="C6490" s="162" t="s">
        <v>12974</v>
      </c>
      <c r="D6490" s="162" t="s">
        <v>12895</v>
      </c>
      <c r="E6490" s="162" t="s">
        <v>12975</v>
      </c>
      <c r="F6490" s="162">
        <v>5284</v>
      </c>
      <c r="G6490" s="162">
        <v>1</v>
      </c>
    </row>
    <row r="6491" spans="2:7" ht="43.2">
      <c r="B6491" s="162" t="s">
        <v>129</v>
      </c>
      <c r="C6491" s="162" t="s">
        <v>12976</v>
      </c>
      <c r="D6491" s="162" t="s">
        <v>12895</v>
      </c>
      <c r="E6491" s="162" t="s">
        <v>12977</v>
      </c>
      <c r="F6491" s="162">
        <v>5284</v>
      </c>
      <c r="G6491" s="162">
        <v>1</v>
      </c>
    </row>
    <row r="6492" spans="2:7" ht="43.2">
      <c r="B6492" s="162" t="s">
        <v>129</v>
      </c>
      <c r="C6492" s="162" t="s">
        <v>12978</v>
      </c>
      <c r="D6492" s="162" t="s">
        <v>12895</v>
      </c>
      <c r="E6492" s="162" t="s">
        <v>12979</v>
      </c>
      <c r="F6492" s="162">
        <v>6395</v>
      </c>
      <c r="G6492" s="162">
        <v>1</v>
      </c>
    </row>
    <row r="6493" spans="2:7" ht="43.2">
      <c r="B6493" s="162" t="s">
        <v>129</v>
      </c>
      <c r="C6493" s="162" t="s">
        <v>12980</v>
      </c>
      <c r="D6493" s="162" t="s">
        <v>12895</v>
      </c>
      <c r="E6493" s="162" t="s">
        <v>12981</v>
      </c>
      <c r="F6493" s="162">
        <v>6395</v>
      </c>
      <c r="G6493" s="162">
        <v>1</v>
      </c>
    </row>
    <row r="6494" spans="2:7" ht="28.8">
      <c r="B6494" s="162" t="s">
        <v>129</v>
      </c>
      <c r="C6494" s="162" t="s">
        <v>2012</v>
      </c>
      <c r="D6494" s="162" t="s">
        <v>12895</v>
      </c>
      <c r="E6494" s="162" t="s">
        <v>2011</v>
      </c>
      <c r="F6494" s="162">
        <v>5036</v>
      </c>
      <c r="G6494" s="162">
        <v>1</v>
      </c>
    </row>
    <row r="6495" spans="2:7" ht="28.8">
      <c r="B6495" s="162" t="s">
        <v>129</v>
      </c>
      <c r="C6495" s="162" t="s">
        <v>2014</v>
      </c>
      <c r="D6495" s="162" t="s">
        <v>12895</v>
      </c>
      <c r="E6495" s="162" t="s">
        <v>2013</v>
      </c>
      <c r="F6495" s="162">
        <v>5036</v>
      </c>
      <c r="G6495" s="162">
        <v>1</v>
      </c>
    </row>
    <row r="6496" spans="2:7" ht="28.8">
      <c r="B6496" s="162" t="s">
        <v>129</v>
      </c>
      <c r="C6496" s="162" t="s">
        <v>2016</v>
      </c>
      <c r="D6496" s="162" t="s">
        <v>12895</v>
      </c>
      <c r="E6496" s="162" t="s">
        <v>2015</v>
      </c>
      <c r="F6496" s="162">
        <v>6322</v>
      </c>
      <c r="G6496" s="162">
        <v>1</v>
      </c>
    </row>
    <row r="6497" spans="2:7" ht="43.2">
      <c r="B6497" s="162" t="s">
        <v>129</v>
      </c>
      <c r="C6497" s="162" t="s">
        <v>2018</v>
      </c>
      <c r="D6497" s="162" t="s">
        <v>12895</v>
      </c>
      <c r="E6497" s="162" t="s">
        <v>2017</v>
      </c>
      <c r="F6497" s="162">
        <v>6322</v>
      </c>
      <c r="G6497" s="162">
        <v>1</v>
      </c>
    </row>
    <row r="6498" spans="2:7" ht="28.8">
      <c r="B6498" s="162" t="s">
        <v>129</v>
      </c>
      <c r="C6498" s="162" t="s">
        <v>2020</v>
      </c>
      <c r="D6498" s="162" t="s">
        <v>12895</v>
      </c>
      <c r="E6498" s="162" t="s">
        <v>2019</v>
      </c>
      <c r="F6498" s="162">
        <v>7651</v>
      </c>
      <c r="G6498" s="162">
        <v>1</v>
      </c>
    </row>
    <row r="6499" spans="2:7" ht="43.2">
      <c r="B6499" s="162" t="s">
        <v>129</v>
      </c>
      <c r="C6499" s="162" t="s">
        <v>2022</v>
      </c>
      <c r="D6499" s="162" t="s">
        <v>12895</v>
      </c>
      <c r="E6499" s="162" t="s">
        <v>2021</v>
      </c>
      <c r="F6499" s="162">
        <v>7651</v>
      </c>
      <c r="G6499" s="162">
        <v>1</v>
      </c>
    </row>
    <row r="6500" spans="2:7" ht="28.8">
      <c r="B6500" s="162" t="s">
        <v>129</v>
      </c>
      <c r="C6500" s="162" t="s">
        <v>12982</v>
      </c>
      <c r="D6500" s="162" t="s">
        <v>12895</v>
      </c>
      <c r="E6500" s="162" t="s">
        <v>12983</v>
      </c>
      <c r="F6500" s="162">
        <v>7328</v>
      </c>
      <c r="G6500" s="162">
        <v>1</v>
      </c>
    </row>
    <row r="6501" spans="2:7" ht="28.8">
      <c r="B6501" s="162" t="s">
        <v>129</v>
      </c>
      <c r="C6501" s="162" t="s">
        <v>12984</v>
      </c>
      <c r="D6501" s="162" t="s">
        <v>12895</v>
      </c>
      <c r="E6501" s="162" t="s">
        <v>12985</v>
      </c>
      <c r="F6501" s="162">
        <v>7548</v>
      </c>
      <c r="G6501" s="162">
        <v>1</v>
      </c>
    </row>
    <row r="6502" spans="2:7" ht="43.2">
      <c r="B6502" s="162" t="s">
        <v>129</v>
      </c>
      <c r="C6502" s="162" t="s">
        <v>2024</v>
      </c>
      <c r="D6502" s="162" t="s">
        <v>12895</v>
      </c>
      <c r="E6502" s="162" t="s">
        <v>2023</v>
      </c>
      <c r="F6502" s="162">
        <v>7608</v>
      </c>
      <c r="G6502" s="162">
        <v>1</v>
      </c>
    </row>
    <row r="6503" spans="2:7" ht="43.2">
      <c r="B6503" s="162" t="s">
        <v>129</v>
      </c>
      <c r="C6503" s="162" t="s">
        <v>2026</v>
      </c>
      <c r="D6503" s="162" t="s">
        <v>12895</v>
      </c>
      <c r="E6503" s="162" t="s">
        <v>2025</v>
      </c>
      <c r="F6503" s="162">
        <v>7608</v>
      </c>
      <c r="G6503" s="162">
        <v>1</v>
      </c>
    </row>
    <row r="6504" spans="2:7" ht="43.2">
      <c r="B6504" s="162" t="s">
        <v>129</v>
      </c>
      <c r="C6504" s="162" t="s">
        <v>2028</v>
      </c>
      <c r="D6504" s="162" t="s">
        <v>12895</v>
      </c>
      <c r="E6504" s="162" t="s">
        <v>2027</v>
      </c>
      <c r="F6504" s="162">
        <v>8922</v>
      </c>
      <c r="G6504" s="162">
        <v>1</v>
      </c>
    </row>
    <row r="6505" spans="2:7" ht="43.2">
      <c r="B6505" s="162" t="s">
        <v>129</v>
      </c>
      <c r="C6505" s="162" t="s">
        <v>2030</v>
      </c>
      <c r="D6505" s="162" t="s">
        <v>12895</v>
      </c>
      <c r="E6505" s="162" t="s">
        <v>2029</v>
      </c>
      <c r="F6505" s="162">
        <v>8922</v>
      </c>
      <c r="G6505" s="162">
        <v>1</v>
      </c>
    </row>
    <row r="6506" spans="2:7" ht="43.2">
      <c r="B6506" s="162" t="s">
        <v>129</v>
      </c>
      <c r="C6506" s="162" t="s">
        <v>2032</v>
      </c>
      <c r="D6506" s="162" t="s">
        <v>12895</v>
      </c>
      <c r="E6506" s="162" t="s">
        <v>2031</v>
      </c>
      <c r="F6506" s="162">
        <v>5938</v>
      </c>
      <c r="G6506" s="162">
        <v>1</v>
      </c>
    </row>
    <row r="6507" spans="2:7" ht="43.2">
      <c r="B6507" s="162" t="s">
        <v>129</v>
      </c>
      <c r="C6507" s="162" t="s">
        <v>2034</v>
      </c>
      <c r="D6507" s="162" t="s">
        <v>12895</v>
      </c>
      <c r="E6507" s="162" t="s">
        <v>2033</v>
      </c>
      <c r="F6507" s="162">
        <v>5938</v>
      </c>
      <c r="G6507" s="162">
        <v>1</v>
      </c>
    </row>
    <row r="6508" spans="2:7" ht="43.2">
      <c r="B6508" s="162" t="s">
        <v>129</v>
      </c>
      <c r="C6508" s="162" t="s">
        <v>2036</v>
      </c>
      <c r="D6508" s="162" t="s">
        <v>12895</v>
      </c>
      <c r="E6508" s="162" t="s">
        <v>2035</v>
      </c>
      <c r="F6508" s="162">
        <v>6368</v>
      </c>
      <c r="G6508" s="162">
        <v>1</v>
      </c>
    </row>
    <row r="6509" spans="2:7" ht="43.2">
      <c r="B6509" s="162" t="s">
        <v>129</v>
      </c>
      <c r="C6509" s="162" t="s">
        <v>2038</v>
      </c>
      <c r="D6509" s="162" t="s">
        <v>12895</v>
      </c>
      <c r="E6509" s="162" t="s">
        <v>2037</v>
      </c>
      <c r="F6509" s="162">
        <v>6368</v>
      </c>
      <c r="G6509" s="162">
        <v>1</v>
      </c>
    </row>
    <row r="6510" spans="2:7" ht="43.2">
      <c r="B6510" s="162" t="s">
        <v>129</v>
      </c>
      <c r="C6510" s="162" t="s">
        <v>2040</v>
      </c>
      <c r="D6510" s="162" t="s">
        <v>12895</v>
      </c>
      <c r="E6510" s="162" t="s">
        <v>2039</v>
      </c>
      <c r="F6510" s="162">
        <v>7681</v>
      </c>
      <c r="G6510" s="162">
        <v>1</v>
      </c>
    </row>
    <row r="6511" spans="2:7" ht="43.2">
      <c r="B6511" s="162" t="s">
        <v>129</v>
      </c>
      <c r="C6511" s="162" t="s">
        <v>2042</v>
      </c>
      <c r="D6511" s="162" t="s">
        <v>12895</v>
      </c>
      <c r="E6511" s="162" t="s">
        <v>2041</v>
      </c>
      <c r="F6511" s="162">
        <v>7681</v>
      </c>
      <c r="G6511" s="162">
        <v>1</v>
      </c>
    </row>
    <row r="6512" spans="2:7" ht="43.2">
      <c r="B6512" s="162" t="s">
        <v>129</v>
      </c>
      <c r="C6512" s="162" t="s">
        <v>2044</v>
      </c>
      <c r="D6512" s="162" t="s">
        <v>12895</v>
      </c>
      <c r="E6512" s="162" t="s">
        <v>2043</v>
      </c>
      <c r="F6512" s="162">
        <v>4699</v>
      </c>
      <c r="G6512" s="162">
        <v>1</v>
      </c>
    </row>
    <row r="6513" spans="2:7" ht="43.2">
      <c r="B6513" s="162" t="s">
        <v>129</v>
      </c>
      <c r="C6513" s="162" t="s">
        <v>2046</v>
      </c>
      <c r="D6513" s="162" t="s">
        <v>12895</v>
      </c>
      <c r="E6513" s="162" t="s">
        <v>2045</v>
      </c>
      <c r="F6513" s="162">
        <v>4699</v>
      </c>
      <c r="G6513" s="162">
        <v>1</v>
      </c>
    </row>
    <row r="6514" spans="2:7" ht="28.8">
      <c r="B6514" s="162" t="s">
        <v>129</v>
      </c>
      <c r="C6514" s="162" t="s">
        <v>2048</v>
      </c>
      <c r="D6514" s="162" t="s">
        <v>12986</v>
      </c>
      <c r="E6514" s="162" t="s">
        <v>2047</v>
      </c>
      <c r="F6514" s="162">
        <v>4662</v>
      </c>
      <c r="G6514" s="162">
        <v>1</v>
      </c>
    </row>
    <row r="6515" spans="2:7" ht="43.2">
      <c r="B6515" s="162" t="s">
        <v>129</v>
      </c>
      <c r="C6515" s="162" t="s">
        <v>2050</v>
      </c>
      <c r="D6515" s="162" t="s">
        <v>12986</v>
      </c>
      <c r="E6515" s="162" t="s">
        <v>2049</v>
      </c>
      <c r="F6515" s="162">
        <v>6217</v>
      </c>
      <c r="G6515" s="162">
        <v>1</v>
      </c>
    </row>
    <row r="6516" spans="2:7" ht="43.2">
      <c r="B6516" s="162" t="s">
        <v>129</v>
      </c>
      <c r="C6516" s="162" t="s">
        <v>2052</v>
      </c>
      <c r="D6516" s="162" t="s">
        <v>12986</v>
      </c>
      <c r="E6516" s="162" t="s">
        <v>2051</v>
      </c>
      <c r="F6516" s="162">
        <v>7533</v>
      </c>
      <c r="G6516" s="162">
        <v>1</v>
      </c>
    </row>
    <row r="6517" spans="2:7" ht="28.8">
      <c r="B6517" s="162" t="s">
        <v>129</v>
      </c>
      <c r="C6517" s="162" t="s">
        <v>12987</v>
      </c>
      <c r="D6517" s="162" t="s">
        <v>12986</v>
      </c>
      <c r="E6517" s="162" t="s">
        <v>12988</v>
      </c>
      <c r="F6517" s="162">
        <v>7430</v>
      </c>
      <c r="G6517" s="162">
        <v>1</v>
      </c>
    </row>
    <row r="6518" spans="2:7">
      <c r="B6518" s="162" t="s">
        <v>129</v>
      </c>
      <c r="C6518" s="162" t="s">
        <v>2054</v>
      </c>
      <c r="D6518" s="162" t="s">
        <v>12895</v>
      </c>
      <c r="E6518" s="162" t="s">
        <v>2053</v>
      </c>
      <c r="F6518" s="162">
        <v>8180</v>
      </c>
      <c r="G6518" s="162">
        <v>1</v>
      </c>
    </row>
    <row r="6519" spans="2:7" ht="28.8">
      <c r="B6519" s="162" t="s">
        <v>129</v>
      </c>
      <c r="C6519" s="162" t="s">
        <v>2056</v>
      </c>
      <c r="D6519" s="162" t="s">
        <v>12895</v>
      </c>
      <c r="E6519" s="162" t="s">
        <v>2055</v>
      </c>
      <c r="F6519" s="162">
        <v>9350</v>
      </c>
      <c r="G6519" s="162">
        <v>1</v>
      </c>
    </row>
    <row r="6520" spans="2:7" ht="28.8">
      <c r="B6520" s="162" t="s">
        <v>129</v>
      </c>
      <c r="C6520" s="162" t="s">
        <v>2058</v>
      </c>
      <c r="D6520" s="162" t="s">
        <v>12895</v>
      </c>
      <c r="E6520" s="162" t="s">
        <v>2057</v>
      </c>
      <c r="F6520" s="162">
        <v>10519</v>
      </c>
      <c r="G6520" s="162">
        <v>1</v>
      </c>
    </row>
    <row r="6521" spans="2:7" ht="28.8">
      <c r="B6521" s="162" t="s">
        <v>129</v>
      </c>
      <c r="C6521" s="162" t="s">
        <v>12989</v>
      </c>
      <c r="D6521" s="162" t="s">
        <v>12895</v>
      </c>
      <c r="E6521" s="162" t="s">
        <v>12990</v>
      </c>
      <c r="F6521" s="162">
        <v>10416</v>
      </c>
      <c r="G6521" s="162">
        <v>1</v>
      </c>
    </row>
    <row r="6522" spans="2:7" ht="28.8">
      <c r="B6522" s="162" t="s">
        <v>129</v>
      </c>
      <c r="C6522" s="162" t="s">
        <v>2060</v>
      </c>
      <c r="D6522" s="162" t="s">
        <v>12991</v>
      </c>
      <c r="E6522" s="162" t="s">
        <v>2059</v>
      </c>
      <c r="F6522" s="162">
        <v>2085</v>
      </c>
      <c r="G6522" s="162">
        <v>1</v>
      </c>
    </row>
    <row r="6523" spans="2:7" ht="28.8">
      <c r="B6523" s="162" t="s">
        <v>129</v>
      </c>
      <c r="C6523" s="162" t="s">
        <v>2062</v>
      </c>
      <c r="D6523" s="162" t="s">
        <v>12991</v>
      </c>
      <c r="E6523" s="162" t="s">
        <v>2061</v>
      </c>
      <c r="F6523" s="162">
        <v>2085</v>
      </c>
      <c r="G6523" s="162">
        <v>1</v>
      </c>
    </row>
    <row r="6524" spans="2:7" ht="28.8">
      <c r="B6524" s="162" t="s">
        <v>129</v>
      </c>
      <c r="C6524" s="162" t="s">
        <v>2064</v>
      </c>
      <c r="D6524" s="162" t="s">
        <v>12991</v>
      </c>
      <c r="E6524" s="162" t="s">
        <v>2063</v>
      </c>
      <c r="F6524" s="162">
        <v>2387</v>
      </c>
      <c r="G6524" s="162">
        <v>1</v>
      </c>
    </row>
    <row r="6525" spans="2:7" ht="28.8">
      <c r="B6525" s="162" t="s">
        <v>129</v>
      </c>
      <c r="C6525" s="162" t="s">
        <v>2066</v>
      </c>
      <c r="D6525" s="162" t="s">
        <v>12991</v>
      </c>
      <c r="E6525" s="162" t="s">
        <v>2065</v>
      </c>
      <c r="F6525" s="162">
        <v>2387</v>
      </c>
      <c r="G6525" s="162">
        <v>1</v>
      </c>
    </row>
    <row r="6526" spans="2:7" ht="28.8">
      <c r="B6526" s="162" t="s">
        <v>129</v>
      </c>
      <c r="C6526" s="162" t="s">
        <v>2068</v>
      </c>
      <c r="D6526" s="162" t="s">
        <v>12991</v>
      </c>
      <c r="E6526" s="162" t="s">
        <v>2067</v>
      </c>
      <c r="F6526" s="162">
        <v>506</v>
      </c>
      <c r="G6526" s="162">
        <v>1</v>
      </c>
    </row>
    <row r="6527" spans="2:7" ht="43.2">
      <c r="B6527" s="162" t="s">
        <v>129</v>
      </c>
      <c r="C6527" s="162" t="s">
        <v>2070</v>
      </c>
      <c r="D6527" s="162" t="s">
        <v>12991</v>
      </c>
      <c r="E6527" s="162" t="s">
        <v>2069</v>
      </c>
      <c r="F6527" s="162">
        <v>506</v>
      </c>
      <c r="G6527" s="162">
        <v>1</v>
      </c>
    </row>
    <row r="6528" spans="2:7" ht="28.8">
      <c r="B6528" s="162" t="s">
        <v>129</v>
      </c>
      <c r="C6528" s="162" t="s">
        <v>12992</v>
      </c>
      <c r="D6528" s="162" t="s">
        <v>12993</v>
      </c>
      <c r="E6528" s="162" t="s">
        <v>12994</v>
      </c>
      <c r="F6528" s="162">
        <v>220</v>
      </c>
      <c r="G6528" s="162">
        <v>1</v>
      </c>
    </row>
    <row r="6529" spans="2:7" ht="28.8">
      <c r="B6529" s="162" t="s">
        <v>129</v>
      </c>
      <c r="C6529" s="162" t="s">
        <v>12995</v>
      </c>
      <c r="D6529" s="162" t="s">
        <v>12991</v>
      </c>
      <c r="E6529" s="162" t="s">
        <v>12996</v>
      </c>
      <c r="F6529" s="162">
        <v>2795</v>
      </c>
      <c r="G6529" s="162">
        <v>1</v>
      </c>
    </row>
    <row r="6530" spans="2:7" ht="28.8">
      <c r="B6530" s="162" t="s">
        <v>129</v>
      </c>
      <c r="C6530" s="162" t="s">
        <v>12997</v>
      </c>
      <c r="D6530" s="162" t="s">
        <v>12991</v>
      </c>
      <c r="E6530" s="162" t="s">
        <v>12998</v>
      </c>
      <c r="F6530" s="162">
        <v>2795</v>
      </c>
      <c r="G6530" s="162">
        <v>1</v>
      </c>
    </row>
    <row r="6531" spans="2:7" ht="28.8">
      <c r="B6531" s="162" t="s">
        <v>129</v>
      </c>
      <c r="C6531" s="162" t="s">
        <v>12999</v>
      </c>
      <c r="D6531" s="162" t="s">
        <v>12991</v>
      </c>
      <c r="E6531" s="162" t="s">
        <v>13000</v>
      </c>
      <c r="F6531" s="162">
        <v>3295</v>
      </c>
      <c r="G6531" s="162">
        <v>1</v>
      </c>
    </row>
    <row r="6532" spans="2:7" ht="28.8">
      <c r="B6532" s="162" t="s">
        <v>129</v>
      </c>
      <c r="C6532" s="162" t="s">
        <v>13001</v>
      </c>
      <c r="D6532" s="162" t="s">
        <v>12991</v>
      </c>
      <c r="E6532" s="162" t="s">
        <v>13002</v>
      </c>
      <c r="F6532" s="162">
        <v>3295</v>
      </c>
      <c r="G6532" s="162">
        <v>1</v>
      </c>
    </row>
    <row r="6533" spans="2:7" ht="28.8">
      <c r="B6533" s="162" t="s">
        <v>129</v>
      </c>
      <c r="C6533" s="162" t="s">
        <v>13003</v>
      </c>
      <c r="D6533" s="162" t="s">
        <v>12991</v>
      </c>
      <c r="E6533" s="162" t="s">
        <v>13004</v>
      </c>
      <c r="F6533" s="162">
        <v>2570</v>
      </c>
      <c r="G6533" s="162">
        <v>1</v>
      </c>
    </row>
    <row r="6534" spans="2:7" ht="28.8">
      <c r="B6534" s="162" t="s">
        <v>129</v>
      </c>
      <c r="C6534" s="162" t="s">
        <v>13005</v>
      </c>
      <c r="D6534" s="162" t="s">
        <v>12991</v>
      </c>
      <c r="E6534" s="162" t="s">
        <v>13006</v>
      </c>
      <c r="F6534" s="162">
        <v>2570</v>
      </c>
      <c r="G6534" s="162">
        <v>1</v>
      </c>
    </row>
    <row r="6535" spans="2:7">
      <c r="B6535" s="162" t="s">
        <v>129</v>
      </c>
      <c r="C6535" s="162" t="s">
        <v>13007</v>
      </c>
      <c r="D6535" s="162" t="s">
        <v>12991</v>
      </c>
      <c r="E6535" s="162" t="s">
        <v>13008</v>
      </c>
      <c r="F6535" s="162">
        <v>299</v>
      </c>
      <c r="G6535" s="162">
        <v>1</v>
      </c>
    </row>
    <row r="6536" spans="2:7" ht="28.8">
      <c r="B6536" s="162" t="s">
        <v>129</v>
      </c>
      <c r="C6536" s="162" t="s">
        <v>13009</v>
      </c>
      <c r="D6536" s="162" t="s">
        <v>12991</v>
      </c>
      <c r="E6536" s="162" t="s">
        <v>13010</v>
      </c>
      <c r="F6536" s="162">
        <v>3085</v>
      </c>
      <c r="G6536" s="162">
        <v>1</v>
      </c>
    </row>
    <row r="6537" spans="2:7" ht="28.8">
      <c r="B6537" s="162" t="s">
        <v>129</v>
      </c>
      <c r="C6537" s="162" t="s">
        <v>13011</v>
      </c>
      <c r="D6537" s="162" t="s">
        <v>12991</v>
      </c>
      <c r="E6537" s="162" t="s">
        <v>13012</v>
      </c>
      <c r="F6537" s="162">
        <v>3085</v>
      </c>
      <c r="G6537" s="162">
        <v>1</v>
      </c>
    </row>
    <row r="6538" spans="2:7" ht="28.8">
      <c r="B6538" s="162" t="s">
        <v>129</v>
      </c>
      <c r="C6538" s="162" t="s">
        <v>13013</v>
      </c>
      <c r="D6538" s="162" t="s">
        <v>12991</v>
      </c>
      <c r="E6538" s="162" t="s">
        <v>13014</v>
      </c>
      <c r="F6538" s="162">
        <v>2261</v>
      </c>
      <c r="G6538" s="162">
        <v>1</v>
      </c>
    </row>
    <row r="6539" spans="2:7" ht="28.8">
      <c r="B6539" s="162" t="s">
        <v>129</v>
      </c>
      <c r="C6539" s="162" t="s">
        <v>13015</v>
      </c>
      <c r="D6539" s="162" t="s">
        <v>12991</v>
      </c>
      <c r="E6539" s="162" t="s">
        <v>13016</v>
      </c>
      <c r="F6539" s="162">
        <v>2261</v>
      </c>
      <c r="G6539" s="162">
        <v>1</v>
      </c>
    </row>
    <row r="6540" spans="2:7" ht="28.8">
      <c r="B6540" s="162" t="s">
        <v>129</v>
      </c>
      <c r="C6540" s="162" t="s">
        <v>13017</v>
      </c>
      <c r="D6540" s="162" t="s">
        <v>12991</v>
      </c>
      <c r="E6540" s="162" t="s">
        <v>13018</v>
      </c>
      <c r="F6540" s="162">
        <v>2570</v>
      </c>
      <c r="G6540" s="162">
        <v>1</v>
      </c>
    </row>
    <row r="6541" spans="2:7" ht="28.8">
      <c r="B6541" s="162" t="s">
        <v>129</v>
      </c>
      <c r="C6541" s="162" t="s">
        <v>13019</v>
      </c>
      <c r="D6541" s="162" t="s">
        <v>12991</v>
      </c>
      <c r="E6541" s="162" t="s">
        <v>13020</v>
      </c>
      <c r="F6541" s="162">
        <v>2570</v>
      </c>
      <c r="G6541" s="162">
        <v>1</v>
      </c>
    </row>
    <row r="6542" spans="2:7" ht="43.2">
      <c r="B6542" s="162" t="s">
        <v>129</v>
      </c>
      <c r="C6542" s="162" t="s">
        <v>13021</v>
      </c>
      <c r="D6542" s="162" t="s">
        <v>12991</v>
      </c>
      <c r="E6542" s="162" t="s">
        <v>13022</v>
      </c>
      <c r="F6542" s="162">
        <v>2995</v>
      </c>
      <c r="G6542" s="162">
        <v>1</v>
      </c>
    </row>
    <row r="6543" spans="2:7" ht="43.2">
      <c r="B6543" s="162" t="s">
        <v>129</v>
      </c>
      <c r="C6543" s="162" t="s">
        <v>13023</v>
      </c>
      <c r="D6543" s="162" t="s">
        <v>12991</v>
      </c>
      <c r="E6543" s="162" t="s">
        <v>13024</v>
      </c>
      <c r="F6543" s="162">
        <v>2995</v>
      </c>
      <c r="G6543" s="162">
        <v>1</v>
      </c>
    </row>
    <row r="6544" spans="2:7" ht="43.2">
      <c r="B6544" s="162" t="s">
        <v>129</v>
      </c>
      <c r="C6544" s="162" t="s">
        <v>13025</v>
      </c>
      <c r="D6544" s="162" t="s">
        <v>12991</v>
      </c>
      <c r="E6544" s="162" t="s">
        <v>13026</v>
      </c>
      <c r="F6544" s="162">
        <v>2495</v>
      </c>
      <c r="G6544" s="162">
        <v>1</v>
      </c>
    </row>
    <row r="6545" spans="2:7" ht="43.2">
      <c r="B6545" s="162" t="s">
        <v>129</v>
      </c>
      <c r="C6545" s="162" t="s">
        <v>13027</v>
      </c>
      <c r="D6545" s="162" t="s">
        <v>12991</v>
      </c>
      <c r="E6545" s="162" t="s">
        <v>13028</v>
      </c>
      <c r="F6545" s="162">
        <v>2495</v>
      </c>
      <c r="G6545" s="162">
        <v>1</v>
      </c>
    </row>
    <row r="6546" spans="2:7" ht="28.8">
      <c r="B6546" s="162" t="s">
        <v>129</v>
      </c>
      <c r="C6546" s="162" t="s">
        <v>2072</v>
      </c>
      <c r="D6546" s="162" t="s">
        <v>12991</v>
      </c>
      <c r="E6546" s="162" t="s">
        <v>2071</v>
      </c>
      <c r="F6546" s="162">
        <v>3424</v>
      </c>
      <c r="G6546" s="162">
        <v>1</v>
      </c>
    </row>
    <row r="6547" spans="2:7" ht="28.8">
      <c r="B6547" s="162" t="s">
        <v>129</v>
      </c>
      <c r="C6547" s="162" t="s">
        <v>2074</v>
      </c>
      <c r="D6547" s="162" t="s">
        <v>12991</v>
      </c>
      <c r="E6547" s="162" t="s">
        <v>2073</v>
      </c>
      <c r="F6547" s="162">
        <v>3424</v>
      </c>
      <c r="G6547" s="162">
        <v>1</v>
      </c>
    </row>
    <row r="6548" spans="2:7" ht="28.8">
      <c r="B6548" s="162" t="s">
        <v>129</v>
      </c>
      <c r="C6548" s="162" t="s">
        <v>2076</v>
      </c>
      <c r="D6548" s="162" t="s">
        <v>12991</v>
      </c>
      <c r="E6548" s="162" t="s">
        <v>2075</v>
      </c>
      <c r="F6548" s="162">
        <v>4101</v>
      </c>
      <c r="G6548" s="162">
        <v>1</v>
      </c>
    </row>
    <row r="6549" spans="2:7" ht="28.8">
      <c r="B6549" s="162" t="s">
        <v>129</v>
      </c>
      <c r="C6549" s="162" t="s">
        <v>2078</v>
      </c>
      <c r="D6549" s="162" t="s">
        <v>12991</v>
      </c>
      <c r="E6549" s="162" t="s">
        <v>2077</v>
      </c>
      <c r="F6549" s="162">
        <v>4101</v>
      </c>
      <c r="G6549" s="162">
        <v>1</v>
      </c>
    </row>
    <row r="6550" spans="2:7">
      <c r="B6550" s="162" t="s">
        <v>129</v>
      </c>
      <c r="C6550" s="162" t="s">
        <v>2080</v>
      </c>
      <c r="D6550" s="162" t="s">
        <v>12991</v>
      </c>
      <c r="E6550" s="162" t="s">
        <v>2079</v>
      </c>
      <c r="F6550" s="162">
        <v>3424</v>
      </c>
      <c r="G6550" s="162">
        <v>1</v>
      </c>
    </row>
    <row r="6551" spans="2:7" ht="28.8">
      <c r="B6551" s="162" t="s">
        <v>129</v>
      </c>
      <c r="C6551" s="162" t="s">
        <v>2082</v>
      </c>
      <c r="D6551" s="162" t="s">
        <v>12991</v>
      </c>
      <c r="E6551" s="162" t="s">
        <v>2081</v>
      </c>
      <c r="F6551" s="162">
        <v>3424</v>
      </c>
      <c r="G6551" s="162">
        <v>1</v>
      </c>
    </row>
    <row r="6552" spans="2:7">
      <c r="B6552" s="162" t="s">
        <v>129</v>
      </c>
      <c r="C6552" s="162" t="s">
        <v>2084</v>
      </c>
      <c r="D6552" s="162" t="s">
        <v>12991</v>
      </c>
      <c r="E6552" s="162" t="s">
        <v>2083</v>
      </c>
      <c r="F6552" s="162">
        <v>4101</v>
      </c>
      <c r="G6552" s="162">
        <v>1</v>
      </c>
    </row>
    <row r="6553" spans="2:7" ht="28.8">
      <c r="B6553" s="162" t="s">
        <v>129</v>
      </c>
      <c r="C6553" s="162" t="s">
        <v>2086</v>
      </c>
      <c r="D6553" s="162" t="s">
        <v>12991</v>
      </c>
      <c r="E6553" s="162" t="s">
        <v>2085</v>
      </c>
      <c r="F6553" s="162">
        <v>4101</v>
      </c>
      <c r="G6553" s="162">
        <v>1</v>
      </c>
    </row>
    <row r="6554" spans="2:7" ht="28.8">
      <c r="B6554" s="162" t="s">
        <v>129</v>
      </c>
      <c r="C6554" s="162" t="s">
        <v>2088</v>
      </c>
      <c r="D6554" s="162" t="s">
        <v>12991</v>
      </c>
      <c r="E6554" s="162" t="s">
        <v>2087</v>
      </c>
      <c r="F6554" s="162">
        <v>2944</v>
      </c>
      <c r="G6554" s="162">
        <v>1</v>
      </c>
    </row>
    <row r="6555" spans="2:7" ht="28.8">
      <c r="B6555" s="162" t="s">
        <v>129</v>
      </c>
      <c r="C6555" s="162" t="s">
        <v>2090</v>
      </c>
      <c r="D6555" s="162" t="s">
        <v>12991</v>
      </c>
      <c r="E6555" s="162" t="s">
        <v>2089</v>
      </c>
      <c r="F6555" s="162">
        <v>2944</v>
      </c>
      <c r="G6555" s="162">
        <v>1</v>
      </c>
    </row>
    <row r="6556" spans="2:7" ht="28.8">
      <c r="B6556" s="162" t="s">
        <v>129</v>
      </c>
      <c r="C6556" s="162" t="s">
        <v>2092</v>
      </c>
      <c r="D6556" s="162" t="s">
        <v>12991</v>
      </c>
      <c r="E6556" s="162" t="s">
        <v>2091</v>
      </c>
      <c r="F6556" s="162">
        <v>3621</v>
      </c>
      <c r="G6556" s="162">
        <v>1</v>
      </c>
    </row>
    <row r="6557" spans="2:7" ht="28.8">
      <c r="B6557" s="162" t="s">
        <v>129</v>
      </c>
      <c r="C6557" s="162" t="s">
        <v>2094</v>
      </c>
      <c r="D6557" s="162" t="s">
        <v>12991</v>
      </c>
      <c r="E6557" s="162" t="s">
        <v>2093</v>
      </c>
      <c r="F6557" s="162">
        <v>3621</v>
      </c>
      <c r="G6557" s="162">
        <v>1</v>
      </c>
    </row>
    <row r="6558" spans="2:7" ht="43.2">
      <c r="B6558" s="162" t="s">
        <v>129</v>
      </c>
      <c r="C6558" s="162" t="s">
        <v>2095</v>
      </c>
      <c r="D6558" s="162" t="s">
        <v>12991</v>
      </c>
      <c r="E6558" s="162" t="s">
        <v>654</v>
      </c>
      <c r="F6558" s="162">
        <v>3621</v>
      </c>
      <c r="G6558" s="162">
        <v>1</v>
      </c>
    </row>
    <row r="6559" spans="2:7" ht="43.2">
      <c r="B6559" s="162" t="s">
        <v>129</v>
      </c>
      <c r="C6559" s="162" t="s">
        <v>2097</v>
      </c>
      <c r="D6559" s="162" t="s">
        <v>12991</v>
      </c>
      <c r="E6559" s="162" t="s">
        <v>2096</v>
      </c>
      <c r="F6559" s="162">
        <v>3621</v>
      </c>
      <c r="G6559" s="162">
        <v>1</v>
      </c>
    </row>
    <row r="6560" spans="2:7" ht="43.2">
      <c r="B6560" s="162" t="s">
        <v>129</v>
      </c>
      <c r="C6560" s="162" t="s">
        <v>2099</v>
      </c>
      <c r="D6560" s="162" t="s">
        <v>12991</v>
      </c>
      <c r="E6560" s="162" t="s">
        <v>2098</v>
      </c>
      <c r="F6560" s="162">
        <v>2944</v>
      </c>
      <c r="G6560" s="162">
        <v>1</v>
      </c>
    </row>
    <row r="6561" spans="2:7" ht="43.2">
      <c r="B6561" s="162" t="s">
        <v>129</v>
      </c>
      <c r="C6561" s="162" t="s">
        <v>2101</v>
      </c>
      <c r="D6561" s="162" t="s">
        <v>12991</v>
      </c>
      <c r="E6561" s="162" t="s">
        <v>2100</v>
      </c>
      <c r="F6561" s="162">
        <v>2944</v>
      </c>
      <c r="G6561" s="162">
        <v>1</v>
      </c>
    </row>
    <row r="6562" spans="2:7">
      <c r="B6562" s="162" t="s">
        <v>703</v>
      </c>
      <c r="C6562" s="162" t="s">
        <v>2102</v>
      </c>
      <c r="D6562" s="162" t="s">
        <v>2103</v>
      </c>
      <c r="F6562" s="162">
        <v>1510</v>
      </c>
      <c r="G6562" s="162">
        <v>1</v>
      </c>
    </row>
    <row r="6563" spans="2:7" ht="28.8">
      <c r="B6563" s="162" t="s">
        <v>703</v>
      </c>
      <c r="C6563" s="162" t="s">
        <v>2104</v>
      </c>
      <c r="D6563" s="162" t="s">
        <v>2105</v>
      </c>
      <c r="F6563" s="162">
        <v>2070</v>
      </c>
      <c r="G6563" s="162">
        <v>1</v>
      </c>
    </row>
    <row r="6564" spans="2:7" ht="28.8">
      <c r="B6564" s="162" t="s">
        <v>703</v>
      </c>
      <c r="C6564" s="162" t="s">
        <v>2106</v>
      </c>
      <c r="D6564" s="162" t="s">
        <v>2107</v>
      </c>
      <c r="F6564" s="162">
        <v>3190</v>
      </c>
      <c r="G6564" s="162">
        <v>1</v>
      </c>
    </row>
    <row r="6565" spans="2:7">
      <c r="B6565" s="162" t="s">
        <v>13029</v>
      </c>
      <c r="C6565" s="162" t="s">
        <v>13030</v>
      </c>
      <c r="D6565" s="162" t="s">
        <v>13031</v>
      </c>
      <c r="F6565" s="162">
        <v>655</v>
      </c>
      <c r="G6565" s="162">
        <v>1</v>
      </c>
    </row>
    <row r="6566" spans="2:7">
      <c r="B6566" s="162" t="s">
        <v>13029</v>
      </c>
      <c r="C6566" s="162" t="s">
        <v>13032</v>
      </c>
      <c r="D6566" s="162" t="s">
        <v>13033</v>
      </c>
      <c r="F6566" s="162">
        <v>655</v>
      </c>
      <c r="G6566" s="162">
        <v>1</v>
      </c>
    </row>
    <row r="6567" spans="2:7">
      <c r="B6567" s="162" t="s">
        <v>13029</v>
      </c>
      <c r="C6567" s="162" t="s">
        <v>13034</v>
      </c>
      <c r="D6567" s="162" t="s">
        <v>13035</v>
      </c>
      <c r="F6567" s="162">
        <v>4724</v>
      </c>
      <c r="G6567" s="162">
        <v>1</v>
      </c>
    </row>
    <row r="6568" spans="2:7">
      <c r="B6568" s="162" t="s">
        <v>13029</v>
      </c>
      <c r="C6568" s="162" t="s">
        <v>13036</v>
      </c>
      <c r="D6568" s="162" t="s">
        <v>13037</v>
      </c>
      <c r="F6568" s="162">
        <v>4724</v>
      </c>
      <c r="G6568" s="162">
        <v>1</v>
      </c>
    </row>
    <row r="6569" spans="2:7">
      <c r="B6569" s="162" t="s">
        <v>13029</v>
      </c>
      <c r="C6569" s="162" t="s">
        <v>13038</v>
      </c>
      <c r="D6569" s="162" t="s">
        <v>13039</v>
      </c>
      <c r="F6569" s="162">
        <v>2099</v>
      </c>
      <c r="G6569" s="162">
        <v>1</v>
      </c>
    </row>
    <row r="6570" spans="2:7" ht="57.6">
      <c r="B6570" s="162" t="s">
        <v>13029</v>
      </c>
      <c r="C6570" s="162" t="s">
        <v>13040</v>
      </c>
      <c r="D6570" s="162" t="s">
        <v>13041</v>
      </c>
      <c r="F6570" s="162">
        <v>1501</v>
      </c>
      <c r="G6570" s="162">
        <v>1</v>
      </c>
    </row>
    <row r="6571" spans="2:7" ht="57.6">
      <c r="B6571" s="162" t="s">
        <v>13029</v>
      </c>
      <c r="C6571" s="162" t="s">
        <v>13042</v>
      </c>
      <c r="D6571" s="162" t="s">
        <v>13043</v>
      </c>
      <c r="F6571" s="162">
        <v>1501</v>
      </c>
      <c r="G6571" s="162">
        <v>1</v>
      </c>
    </row>
    <row r="6572" spans="2:7" ht="86.4">
      <c r="B6572" s="162" t="s">
        <v>13029</v>
      </c>
      <c r="C6572" s="162" t="s">
        <v>13044</v>
      </c>
      <c r="D6572" s="162" t="s">
        <v>13045</v>
      </c>
      <c r="F6572" s="162">
        <v>1374</v>
      </c>
      <c r="G6572" s="162">
        <v>1</v>
      </c>
    </row>
    <row r="6573" spans="2:7" ht="129.6">
      <c r="B6573" s="162" t="s">
        <v>13029</v>
      </c>
      <c r="C6573" s="162" t="s">
        <v>13046</v>
      </c>
      <c r="D6573" s="162" t="s">
        <v>13047</v>
      </c>
      <c r="F6573" s="162">
        <v>469</v>
      </c>
      <c r="G6573" s="162">
        <v>1</v>
      </c>
    </row>
    <row r="6574" spans="2:7" ht="28.8">
      <c r="B6574" s="162" t="s">
        <v>13029</v>
      </c>
      <c r="C6574" s="162" t="s">
        <v>13048</v>
      </c>
      <c r="D6574" s="162" t="s">
        <v>13049</v>
      </c>
      <c r="F6574" s="162">
        <v>5906</v>
      </c>
      <c r="G6574" s="162">
        <v>1</v>
      </c>
    </row>
    <row r="6575" spans="2:7" ht="28.8">
      <c r="B6575" s="162" t="s">
        <v>13029</v>
      </c>
      <c r="C6575" s="162" t="s">
        <v>13050</v>
      </c>
      <c r="D6575" s="162" t="s">
        <v>13051</v>
      </c>
      <c r="F6575" s="162">
        <v>799</v>
      </c>
      <c r="G6575" s="162">
        <v>1</v>
      </c>
    </row>
    <row r="6576" spans="2:7" ht="28.8">
      <c r="B6576" s="162" t="s">
        <v>13029</v>
      </c>
      <c r="C6576" s="162" t="s">
        <v>13052</v>
      </c>
      <c r="D6576" s="162" t="s">
        <v>13053</v>
      </c>
      <c r="F6576" s="162">
        <v>799</v>
      </c>
      <c r="G6576" s="162">
        <v>1</v>
      </c>
    </row>
    <row r="6577" spans="2:7" ht="28.8">
      <c r="B6577" s="162" t="s">
        <v>13029</v>
      </c>
      <c r="C6577" s="162" t="s">
        <v>13054</v>
      </c>
      <c r="D6577" s="162" t="s">
        <v>13055</v>
      </c>
      <c r="F6577" s="162">
        <v>997</v>
      </c>
      <c r="G6577" s="162">
        <v>1</v>
      </c>
    </row>
    <row r="6578" spans="2:7" ht="28.8">
      <c r="B6578" s="162" t="s">
        <v>13029</v>
      </c>
      <c r="C6578" s="162" t="s">
        <v>13056</v>
      </c>
      <c r="D6578" s="162" t="s">
        <v>13057</v>
      </c>
      <c r="F6578" s="162">
        <v>997</v>
      </c>
      <c r="G6578" s="162">
        <v>1</v>
      </c>
    </row>
    <row r="6579" spans="2:7" ht="28.8">
      <c r="B6579" s="162" t="s">
        <v>13029</v>
      </c>
      <c r="C6579" s="162" t="s">
        <v>13058</v>
      </c>
      <c r="D6579" s="162" t="s">
        <v>13059</v>
      </c>
      <c r="F6579" s="162">
        <v>1410</v>
      </c>
      <c r="G6579" s="162">
        <v>1</v>
      </c>
    </row>
    <row r="6580" spans="2:7" ht="28.8">
      <c r="B6580" s="162" t="s">
        <v>13029</v>
      </c>
      <c r="C6580" s="162" t="s">
        <v>13060</v>
      </c>
      <c r="D6580" s="162" t="s">
        <v>13061</v>
      </c>
      <c r="F6580" s="162">
        <v>73</v>
      </c>
      <c r="G6580" s="162">
        <v>1</v>
      </c>
    </row>
    <row r="6581" spans="2:7" ht="28.8">
      <c r="B6581" s="162" t="s">
        <v>13029</v>
      </c>
      <c r="C6581" s="162" t="s">
        <v>13062</v>
      </c>
      <c r="D6581" s="162" t="s">
        <v>13063</v>
      </c>
      <c r="F6581" s="162">
        <v>120</v>
      </c>
      <c r="G6581" s="162">
        <v>1</v>
      </c>
    </row>
    <row r="6582" spans="2:7" ht="28.8">
      <c r="B6582" s="162" t="s">
        <v>13029</v>
      </c>
      <c r="C6582" s="162" t="s">
        <v>13064</v>
      </c>
      <c r="D6582" s="162" t="s">
        <v>13065</v>
      </c>
      <c r="F6582" s="162">
        <v>120</v>
      </c>
      <c r="G6582" s="162">
        <v>1</v>
      </c>
    </row>
    <row r="6583" spans="2:7" ht="43.2">
      <c r="B6583" s="162" t="s">
        <v>13029</v>
      </c>
      <c r="C6583" s="162" t="s">
        <v>13066</v>
      </c>
      <c r="D6583" s="162" t="s">
        <v>13067</v>
      </c>
      <c r="F6583" s="162">
        <v>123</v>
      </c>
      <c r="G6583" s="162">
        <v>1</v>
      </c>
    </row>
    <row r="6584" spans="2:7" ht="43.2">
      <c r="B6584" s="162" t="s">
        <v>13029</v>
      </c>
      <c r="C6584" s="162" t="s">
        <v>13068</v>
      </c>
      <c r="D6584" s="162" t="s">
        <v>13069</v>
      </c>
      <c r="F6584" s="162">
        <v>140</v>
      </c>
      <c r="G6584" s="162">
        <v>1</v>
      </c>
    </row>
    <row r="6585" spans="2:7" ht="57.6">
      <c r="B6585" s="162" t="s">
        <v>13029</v>
      </c>
      <c r="C6585" s="162" t="s">
        <v>13070</v>
      </c>
      <c r="D6585" s="162" t="s">
        <v>13071</v>
      </c>
      <c r="F6585" s="162">
        <v>80</v>
      </c>
      <c r="G6585" s="162">
        <v>1</v>
      </c>
    </row>
    <row r="6586" spans="2:7" ht="57.6">
      <c r="B6586" s="162" t="s">
        <v>13029</v>
      </c>
      <c r="C6586" s="162" t="s">
        <v>13072</v>
      </c>
      <c r="D6586" s="162" t="s">
        <v>13073</v>
      </c>
      <c r="F6586" s="162">
        <v>80</v>
      </c>
      <c r="G6586" s="162">
        <v>1</v>
      </c>
    </row>
    <row r="6587" spans="2:7">
      <c r="B6587" s="162" t="s">
        <v>13029</v>
      </c>
      <c r="C6587" s="162" t="s">
        <v>13074</v>
      </c>
      <c r="D6587" s="162" t="s">
        <v>13075</v>
      </c>
      <c r="F6587" s="162">
        <v>999</v>
      </c>
      <c r="G6587" s="162">
        <v>1</v>
      </c>
    </row>
    <row r="6588" spans="2:7">
      <c r="B6588" s="162" t="s">
        <v>13029</v>
      </c>
      <c r="C6588" s="162" t="s">
        <v>13076</v>
      </c>
      <c r="D6588" s="162" t="s">
        <v>13077</v>
      </c>
      <c r="F6588" s="162">
        <v>799</v>
      </c>
      <c r="G6588" s="162">
        <v>1</v>
      </c>
    </row>
    <row r="6589" spans="2:7">
      <c r="B6589" s="162" t="s">
        <v>13029</v>
      </c>
      <c r="C6589" s="162" t="s">
        <v>13078</v>
      </c>
      <c r="D6589" s="162" t="s">
        <v>13079</v>
      </c>
      <c r="F6589" s="162">
        <v>99.99</v>
      </c>
      <c r="G6589" s="162">
        <v>1</v>
      </c>
    </row>
    <row r="6590" spans="2:7">
      <c r="B6590" s="162" t="s">
        <v>13029</v>
      </c>
      <c r="C6590" s="162" t="s">
        <v>13080</v>
      </c>
      <c r="D6590" s="162" t="s">
        <v>13081</v>
      </c>
      <c r="F6590" s="162">
        <v>39.99</v>
      </c>
      <c r="G6590" s="162">
        <v>1</v>
      </c>
    </row>
    <row r="6591" spans="2:7" ht="28.8">
      <c r="B6591" s="162" t="s">
        <v>13029</v>
      </c>
      <c r="C6591" s="162" t="s">
        <v>13082</v>
      </c>
      <c r="D6591" s="162" t="s">
        <v>13083</v>
      </c>
      <c r="F6591" s="162">
        <v>299</v>
      </c>
      <c r="G6591" s="162">
        <v>1</v>
      </c>
    </row>
    <row r="6592" spans="2:7" ht="28.8">
      <c r="B6592" s="162" t="s">
        <v>13029</v>
      </c>
      <c r="C6592" s="162" t="s">
        <v>13084</v>
      </c>
      <c r="D6592" s="162" t="s">
        <v>13085</v>
      </c>
      <c r="F6592" s="162">
        <v>599</v>
      </c>
      <c r="G6592" s="162">
        <v>1</v>
      </c>
    </row>
    <row r="6593" spans="2:7" ht="28.8">
      <c r="B6593" s="162" t="s">
        <v>13029</v>
      </c>
      <c r="C6593" s="162" t="s">
        <v>13086</v>
      </c>
      <c r="D6593" s="162" t="s">
        <v>13087</v>
      </c>
      <c r="F6593" s="162">
        <v>1299</v>
      </c>
      <c r="G6593" s="162">
        <v>1</v>
      </c>
    </row>
    <row r="6594" spans="2:7" ht="28.8">
      <c r="B6594" s="162" t="s">
        <v>13029</v>
      </c>
      <c r="C6594" s="162" t="s">
        <v>13088</v>
      </c>
      <c r="D6594" s="162" t="s">
        <v>13089</v>
      </c>
      <c r="F6594" s="162">
        <v>299</v>
      </c>
      <c r="G6594" s="162">
        <v>1</v>
      </c>
    </row>
    <row r="6595" spans="2:7" ht="28.8">
      <c r="B6595" s="162" t="s">
        <v>13029</v>
      </c>
      <c r="C6595" s="162" t="s">
        <v>13090</v>
      </c>
      <c r="D6595" s="162" t="s">
        <v>13091</v>
      </c>
      <c r="F6595" s="162">
        <v>299</v>
      </c>
      <c r="G6595" s="162">
        <v>1</v>
      </c>
    </row>
    <row r="6596" spans="2:7">
      <c r="B6596" s="162" t="s">
        <v>13029</v>
      </c>
      <c r="C6596" s="162" t="s">
        <v>13092</v>
      </c>
      <c r="D6596" s="162" t="s">
        <v>13093</v>
      </c>
      <c r="F6596" s="162">
        <v>274</v>
      </c>
      <c r="G6596" s="162">
        <v>1</v>
      </c>
    </row>
    <row r="6597" spans="2:7" ht="43.2">
      <c r="B6597" s="162" t="s">
        <v>13029</v>
      </c>
      <c r="C6597" s="162" t="s">
        <v>13094</v>
      </c>
      <c r="D6597" s="162" t="s">
        <v>13095</v>
      </c>
      <c r="F6597" s="162">
        <v>1589</v>
      </c>
      <c r="G6597" s="162">
        <v>1</v>
      </c>
    </row>
    <row r="6598" spans="2:7" ht="28.8">
      <c r="B6598" s="162" t="s">
        <v>13029</v>
      </c>
      <c r="C6598" s="162" t="s">
        <v>13096</v>
      </c>
      <c r="D6598" s="162" t="s">
        <v>13097</v>
      </c>
      <c r="F6598" s="162">
        <v>349</v>
      </c>
      <c r="G6598" s="162">
        <v>1</v>
      </c>
    </row>
    <row r="6599" spans="2:7" ht="28.8">
      <c r="B6599" s="162" t="s">
        <v>13029</v>
      </c>
      <c r="C6599" s="162" t="s">
        <v>13098</v>
      </c>
      <c r="D6599" s="162" t="s">
        <v>13099</v>
      </c>
      <c r="F6599" s="162">
        <v>370</v>
      </c>
      <c r="G6599" s="162">
        <v>1</v>
      </c>
    </row>
    <row r="6600" spans="2:7" ht="100.8">
      <c r="B6600" s="162" t="s">
        <v>13100</v>
      </c>
      <c r="C6600" s="162" t="s">
        <v>13101</v>
      </c>
      <c r="D6600" s="162" t="s">
        <v>13102</v>
      </c>
      <c r="F6600" s="162">
        <v>1599</v>
      </c>
      <c r="G6600" s="162">
        <v>1</v>
      </c>
    </row>
    <row r="6601" spans="2:7" ht="115.2">
      <c r="B6601" s="162" t="s">
        <v>13100</v>
      </c>
      <c r="C6601" s="162" t="s">
        <v>13103</v>
      </c>
      <c r="D6601" s="162" t="s">
        <v>13104</v>
      </c>
      <c r="F6601" s="162">
        <v>1999</v>
      </c>
      <c r="G6601" s="162">
        <v>1</v>
      </c>
    </row>
    <row r="6602" spans="2:7" ht="100.8">
      <c r="B6602" s="162" t="s">
        <v>13100</v>
      </c>
      <c r="C6602" s="162" t="s">
        <v>13105</v>
      </c>
      <c r="D6602" s="162" t="s">
        <v>13106</v>
      </c>
      <c r="F6602" s="162">
        <v>2599</v>
      </c>
      <c r="G6602" s="162">
        <v>1</v>
      </c>
    </row>
    <row r="6603" spans="2:7" ht="115.2">
      <c r="B6603" s="162" t="s">
        <v>13100</v>
      </c>
      <c r="C6603" s="162" t="s">
        <v>13107</v>
      </c>
      <c r="D6603" s="162" t="s">
        <v>13108</v>
      </c>
      <c r="F6603" s="162">
        <v>2999</v>
      </c>
      <c r="G6603" s="162">
        <v>1</v>
      </c>
    </row>
    <row r="6604" spans="2:7" ht="144">
      <c r="B6604" s="162" t="s">
        <v>13100</v>
      </c>
      <c r="C6604" s="162" t="s">
        <v>13109</v>
      </c>
      <c r="D6604" s="162" t="s">
        <v>13110</v>
      </c>
      <c r="F6604" s="162">
        <v>1999</v>
      </c>
      <c r="G6604" s="162">
        <v>1</v>
      </c>
    </row>
    <row r="6605" spans="2:7" ht="201.6">
      <c r="B6605" s="162" t="s">
        <v>13100</v>
      </c>
      <c r="C6605" s="162" t="s">
        <v>13111</v>
      </c>
      <c r="D6605" s="162" t="s">
        <v>13112</v>
      </c>
      <c r="F6605" s="162">
        <v>3199</v>
      </c>
      <c r="G6605" s="162">
        <v>1</v>
      </c>
    </row>
    <row r="6606" spans="2:7" ht="201.6">
      <c r="B6606" s="162" t="s">
        <v>13100</v>
      </c>
      <c r="C6606" s="162" t="s">
        <v>13113</v>
      </c>
      <c r="D6606" s="162" t="s">
        <v>13114</v>
      </c>
      <c r="F6606" s="162">
        <v>4499</v>
      </c>
      <c r="G6606" s="162">
        <v>1</v>
      </c>
    </row>
    <row r="6607" spans="2:7" ht="187.2">
      <c r="B6607" s="162" t="s">
        <v>13100</v>
      </c>
      <c r="C6607" s="162" t="s">
        <v>13115</v>
      </c>
      <c r="D6607" s="162" t="s">
        <v>13116</v>
      </c>
      <c r="F6607" s="162">
        <v>2299</v>
      </c>
      <c r="G6607" s="162">
        <v>1</v>
      </c>
    </row>
    <row r="6608" spans="2:7" ht="172.8">
      <c r="B6608" s="162" t="s">
        <v>13100</v>
      </c>
      <c r="C6608" s="162" t="s">
        <v>13117</v>
      </c>
      <c r="D6608" s="162" t="s">
        <v>13118</v>
      </c>
      <c r="F6608" s="162">
        <v>2949</v>
      </c>
      <c r="G6608" s="162">
        <v>1</v>
      </c>
    </row>
    <row r="6609" spans="2:7" ht="244.8">
      <c r="B6609" s="162" t="s">
        <v>13100</v>
      </c>
      <c r="C6609" s="162" t="s">
        <v>13119</v>
      </c>
      <c r="D6609" s="162" t="s">
        <v>13120</v>
      </c>
      <c r="F6609" s="162">
        <v>3799</v>
      </c>
      <c r="G6609" s="162">
        <v>1</v>
      </c>
    </row>
    <row r="6610" spans="2:7" ht="201.6">
      <c r="B6610" s="162" t="s">
        <v>13100</v>
      </c>
      <c r="C6610" s="162" t="s">
        <v>13121</v>
      </c>
      <c r="D6610" s="162" t="s">
        <v>13122</v>
      </c>
      <c r="F6610" s="162">
        <v>3699</v>
      </c>
      <c r="G6610" s="162">
        <v>1</v>
      </c>
    </row>
    <row r="6611" spans="2:7" ht="273.60000000000002">
      <c r="B6611" s="162" t="s">
        <v>13100</v>
      </c>
      <c r="C6611" s="162" t="s">
        <v>13123</v>
      </c>
      <c r="D6611" s="162" t="s">
        <v>13124</v>
      </c>
      <c r="F6611" s="162">
        <v>4299</v>
      </c>
      <c r="G6611" s="162">
        <v>1</v>
      </c>
    </row>
    <row r="6612" spans="2:7" ht="273.60000000000002">
      <c r="B6612" s="162" t="s">
        <v>13100</v>
      </c>
      <c r="C6612" s="162" t="s">
        <v>13125</v>
      </c>
      <c r="D6612" s="162" t="s">
        <v>13126</v>
      </c>
      <c r="F6612" s="162">
        <v>5299</v>
      </c>
      <c r="G6612" s="162">
        <v>1</v>
      </c>
    </row>
    <row r="6613" spans="2:7" ht="244.8">
      <c r="B6613" s="162" t="s">
        <v>13100</v>
      </c>
      <c r="C6613" s="162" t="s">
        <v>13127</v>
      </c>
      <c r="D6613" s="162" t="s">
        <v>13128</v>
      </c>
      <c r="F6613" s="162">
        <v>5599</v>
      </c>
      <c r="G6613" s="162">
        <v>1</v>
      </c>
    </row>
    <row r="6614" spans="2:7" ht="273.60000000000002">
      <c r="B6614" s="162" t="s">
        <v>13100</v>
      </c>
      <c r="C6614" s="162" t="s">
        <v>13129</v>
      </c>
      <c r="D6614" s="162" t="s">
        <v>13130</v>
      </c>
      <c r="F6614" s="162">
        <v>8399</v>
      </c>
      <c r="G6614" s="162">
        <v>1</v>
      </c>
    </row>
    <row r="6615" spans="2:7" ht="129.6">
      <c r="B6615" s="162" t="s">
        <v>13100</v>
      </c>
      <c r="C6615" s="162" t="s">
        <v>13131</v>
      </c>
      <c r="D6615" s="162" t="s">
        <v>13132</v>
      </c>
      <c r="F6615" s="162">
        <v>699</v>
      </c>
      <c r="G6615" s="162">
        <v>1</v>
      </c>
    </row>
    <row r="6616" spans="2:7" ht="57.6">
      <c r="B6616" s="162" t="s">
        <v>13100</v>
      </c>
      <c r="C6616" s="162" t="s">
        <v>13133</v>
      </c>
      <c r="D6616" s="162" t="s">
        <v>13134</v>
      </c>
      <c r="F6616" s="162">
        <v>399</v>
      </c>
      <c r="G6616" s="162">
        <v>1</v>
      </c>
    </row>
    <row r="6617" spans="2:7" ht="72">
      <c r="B6617" s="162" t="s">
        <v>13100</v>
      </c>
      <c r="C6617" s="162" t="s">
        <v>13135</v>
      </c>
      <c r="D6617" s="162" t="s">
        <v>13136</v>
      </c>
      <c r="F6617" s="162">
        <v>399</v>
      </c>
      <c r="G6617" s="162">
        <v>1</v>
      </c>
    </row>
    <row r="6618" spans="2:7" ht="43.2">
      <c r="B6618" s="162" t="s">
        <v>13100</v>
      </c>
      <c r="C6618" s="162" t="s">
        <v>13137</v>
      </c>
      <c r="D6618" s="162" t="s">
        <v>13138</v>
      </c>
      <c r="F6618" s="162">
        <v>299</v>
      </c>
      <c r="G6618" s="162">
        <v>1</v>
      </c>
    </row>
    <row r="6619" spans="2:7" ht="57.6">
      <c r="B6619" s="162" t="s">
        <v>13100</v>
      </c>
      <c r="C6619" s="162" t="s">
        <v>13139</v>
      </c>
      <c r="D6619" s="162" t="s">
        <v>13140</v>
      </c>
      <c r="F6619" s="162">
        <v>299</v>
      </c>
      <c r="G6619" s="162">
        <v>1</v>
      </c>
    </row>
    <row r="6620" spans="2:7" ht="86.4">
      <c r="B6620" s="162" t="s">
        <v>13100</v>
      </c>
      <c r="C6620" s="162" t="s">
        <v>13141</v>
      </c>
      <c r="D6620" s="162" t="s">
        <v>13142</v>
      </c>
      <c r="F6620" s="162">
        <v>399</v>
      </c>
      <c r="G6620" s="162">
        <v>1</v>
      </c>
    </row>
    <row r="6621" spans="2:7" ht="28.8">
      <c r="B6621" s="162" t="s">
        <v>13100</v>
      </c>
      <c r="C6621" s="162" t="s">
        <v>13143</v>
      </c>
      <c r="D6621" s="162" t="s">
        <v>13144</v>
      </c>
      <c r="F6621" s="162">
        <v>200</v>
      </c>
      <c r="G6621" s="162">
        <v>1</v>
      </c>
    </row>
    <row r="6622" spans="2:7" ht="115.2">
      <c r="B6622" s="162" t="s">
        <v>13100</v>
      </c>
      <c r="C6622" s="162" t="s">
        <v>13145</v>
      </c>
      <c r="D6622" s="162" t="s">
        <v>13146</v>
      </c>
      <c r="F6622" s="162">
        <v>300</v>
      </c>
      <c r="G6622" s="162">
        <v>1</v>
      </c>
    </row>
    <row r="6623" spans="2:7" ht="129.6">
      <c r="B6623" s="162" t="s">
        <v>13100</v>
      </c>
      <c r="C6623" s="162" t="s">
        <v>13147</v>
      </c>
      <c r="D6623" s="162" t="s">
        <v>13148</v>
      </c>
      <c r="F6623" s="162">
        <v>399</v>
      </c>
      <c r="G6623" s="162">
        <v>1</v>
      </c>
    </row>
    <row r="6624" spans="2:7" ht="72">
      <c r="B6624" s="162" t="s">
        <v>13100</v>
      </c>
      <c r="C6624" s="162" t="s">
        <v>13149</v>
      </c>
      <c r="D6624" s="162" t="s">
        <v>13150</v>
      </c>
      <c r="F6624" s="162">
        <v>2599</v>
      </c>
      <c r="G6624" s="162">
        <v>1</v>
      </c>
    </row>
    <row r="6625" spans="1:7" ht="187.2">
      <c r="B6625" s="162" t="s">
        <v>13100</v>
      </c>
      <c r="C6625" s="162" t="s">
        <v>13151</v>
      </c>
      <c r="D6625" s="162" t="s">
        <v>13152</v>
      </c>
      <c r="F6625" s="162">
        <v>2949</v>
      </c>
      <c r="G6625" s="162">
        <v>1</v>
      </c>
    </row>
    <row r="6626" spans="1:7" ht="259.2">
      <c r="B6626" s="162" t="s">
        <v>13100</v>
      </c>
      <c r="C6626" s="162" t="s">
        <v>13153</v>
      </c>
      <c r="D6626" s="162" t="s">
        <v>13154</v>
      </c>
      <c r="F6626" s="162">
        <v>4399</v>
      </c>
      <c r="G6626" s="162">
        <v>1</v>
      </c>
    </row>
    <row r="6627" spans="1:7" ht="201.6">
      <c r="B6627" s="162" t="s">
        <v>13100</v>
      </c>
      <c r="C6627" s="162" t="s">
        <v>13155</v>
      </c>
      <c r="D6627" s="162" t="s">
        <v>13156</v>
      </c>
      <c r="F6627" s="162">
        <v>4499</v>
      </c>
      <c r="G6627" s="162">
        <v>1</v>
      </c>
    </row>
    <row r="6628" spans="1:7" ht="201.6">
      <c r="B6628" s="162" t="s">
        <v>13100</v>
      </c>
      <c r="C6628" s="162" t="s">
        <v>13157</v>
      </c>
      <c r="D6628" s="162" t="s">
        <v>13158</v>
      </c>
      <c r="F6628" s="162">
        <v>3199</v>
      </c>
      <c r="G6628" s="162">
        <v>1</v>
      </c>
    </row>
    <row r="6629" spans="1:7" ht="144">
      <c r="B6629" s="162" t="s">
        <v>13100</v>
      </c>
      <c r="C6629" s="162" t="s">
        <v>13159</v>
      </c>
      <c r="D6629" s="162" t="s">
        <v>13160</v>
      </c>
      <c r="F6629" s="162">
        <v>1999</v>
      </c>
      <c r="G6629" s="162">
        <v>1</v>
      </c>
    </row>
    <row r="6630" spans="1:7" ht="129.6">
      <c r="B6630" s="162" t="s">
        <v>13100</v>
      </c>
      <c r="C6630" s="162" t="s">
        <v>13161</v>
      </c>
      <c r="D6630" s="162" t="s">
        <v>13162</v>
      </c>
      <c r="F6630" s="162">
        <v>4799</v>
      </c>
      <c r="G6630" s="162">
        <v>1</v>
      </c>
    </row>
    <row r="6631" spans="1:7" ht="129.6">
      <c r="B6631" s="162" t="s">
        <v>13100</v>
      </c>
      <c r="C6631" s="162" t="s">
        <v>13163</v>
      </c>
      <c r="D6631" s="162" t="s">
        <v>13164</v>
      </c>
      <c r="F6631" s="162">
        <v>7799</v>
      </c>
      <c r="G6631" s="162">
        <v>1</v>
      </c>
    </row>
    <row r="6632" spans="1:7">
      <c r="G6632" s="162">
        <v>1</v>
      </c>
    </row>
    <row r="6633" spans="1:7">
      <c r="G6633" s="162">
        <v>1</v>
      </c>
    </row>
    <row r="6634" spans="1:7" hidden="1"/>
    <row r="6635" spans="1:7" s="163" customFormat="1">
      <c r="A6635" s="163" t="s">
        <v>144</v>
      </c>
    </row>
    <row r="6636" spans="1:7" hidden="1">
      <c r="G6636" s="162">
        <v>1</v>
      </c>
    </row>
    <row r="6637" spans="1:7" hidden="1"/>
  </sheetData>
  <autoFilter ref="A1:G6633" xr:uid="{00000000-0001-0000-0200-000000000000}"/>
  <sortState xmlns:xlrd2="http://schemas.microsoft.com/office/spreadsheetml/2017/richdata2" ref="A2:G3">
    <sortCondition ref="B2:B3"/>
    <sortCondition ref="C2:C3"/>
  </sortState>
  <customSheetViews>
    <customSheetView guid="{25B109E7-546D-484A-9932-8EF9F33760F1}" showAutoFilter="1" hiddenRows="1">
      <pane ySplit="1" topLeftCell="A144" activePane="bottomLeft" state="frozen"/>
      <selection pane="bottomLeft" activeCell="D151" sqref="D151"/>
      <pageMargins left="0.7" right="0.7" top="0.75" bottom="0.75" header="0.3" footer="0.3"/>
      <pageSetup orientation="portrait" r:id="rId1"/>
      <autoFilter ref="A1:AA6633" xr:uid="{2DEFDB8A-CAAA-413A-8626-38828A77DE47}"/>
    </customSheetView>
  </customSheetView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0F3-620A-4979-BDAC-3C8BA074197C}">
  <sheetPr codeName="Sheet11"/>
  <dimension ref="A1:AB2"/>
  <sheetViews>
    <sheetView topLeftCell="H1" workbookViewId="0">
      <selection activeCell="AB2" sqref="AB2"/>
    </sheetView>
  </sheetViews>
  <sheetFormatPr defaultRowHeight="14.4"/>
  <cols>
    <col min="26" max="26" width="11.77734375" bestFit="1" customWidth="1"/>
    <col min="27" max="27" width="9.5546875" customWidth="1"/>
  </cols>
  <sheetData>
    <row r="1" spans="1:28">
      <c r="A1" t="s">
        <v>13169</v>
      </c>
      <c r="B1" t="s">
        <v>13169</v>
      </c>
      <c r="D1" t="b">
        <v>1</v>
      </c>
      <c r="AA1" t="s">
        <v>2778</v>
      </c>
      <c r="AB1" s="115" t="s">
        <v>13168</v>
      </c>
    </row>
    <row r="2" spans="1:28">
      <c r="A2" t="s">
        <v>13170</v>
      </c>
      <c r="B2" t="s">
        <v>13170</v>
      </c>
      <c r="D2" t="b">
        <v>0</v>
      </c>
      <c r="Z2" t="s">
        <v>2779</v>
      </c>
      <c r="AA2" t="s">
        <v>2780</v>
      </c>
    </row>
  </sheetData>
  <customSheetViews>
    <customSheetView guid="{25B109E7-546D-484A-9932-8EF9F33760F1}" state="veryHidden" topLeftCell="H1">
      <selection activeCell="AB2" sqref="AB2"/>
      <pageMargins left="0.7" right="0.7" top="0.75" bottom="0.75" header="0.3" footer="0.3"/>
      <pageSetup orientation="portrait" r:id="rId1"/>
    </customSheetView>
  </customSheetView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933AE-9A1C-40E4-AABA-1E0DA4F87A85}">
  <sheetPr codeName="Sheet7">
    <outlinePr summaryBelow="0"/>
  </sheetPr>
  <dimension ref="A1:AC39"/>
  <sheetViews>
    <sheetView tabSelected="1" view="pageBreakPreview" zoomScaleNormal="115" zoomScaleSheetLayoutView="100" zoomScalePageLayoutView="145" workbookViewId="0">
      <pane ySplit="4" topLeftCell="A5" activePane="bottomLeft" state="frozen"/>
      <selection pane="bottomLeft" activeCell="C2" sqref="C2"/>
    </sheetView>
  </sheetViews>
  <sheetFormatPr defaultColWidth="9.109375" defaultRowHeight="10.199999999999999" outlineLevelRow="1" outlineLevelCol="1"/>
  <cols>
    <col min="1" max="1" width="5.77734375" style="125" customWidth="1"/>
    <col min="2" max="2" width="42.77734375" style="132" customWidth="1"/>
    <col min="3" max="3" width="15.77734375" style="133" customWidth="1"/>
    <col min="4" max="4" width="20.77734375" style="133" customWidth="1"/>
    <col min="5" max="5" width="24.77734375" style="125" customWidth="1"/>
    <col min="6" max="6" width="4.77734375" style="124" customWidth="1"/>
    <col min="7" max="9" width="11.77734375" style="125" customWidth="1"/>
    <col min="10" max="10" width="10.77734375" style="122" customWidth="1" outlineLevel="1"/>
    <col min="11" max="11" width="10.77734375" style="123" customWidth="1" outlineLevel="1"/>
    <col min="12" max="12" width="3.77734375" style="125" customWidth="1"/>
    <col min="13" max="13" width="16" style="125" customWidth="1" outlineLevel="1"/>
    <col min="14" max="14" width="15.77734375" style="125" customWidth="1" outlineLevel="1"/>
    <col min="15" max="15" width="20.77734375" style="125" customWidth="1" outlineLevel="1"/>
    <col min="16" max="16" width="9.109375" style="125" customWidth="1" outlineLevel="1"/>
    <col min="17" max="17" width="20.77734375" style="125" customWidth="1" outlineLevel="1"/>
    <col min="18" max="18" width="9.109375" style="125" customWidth="1" outlineLevel="1"/>
    <col min="19" max="19" width="68.5546875" style="125" customWidth="1" outlineLevel="1"/>
    <col min="20" max="16384" width="9.109375" style="125"/>
  </cols>
  <sheetData>
    <row r="1" spans="1:19" ht="12" customHeight="1">
      <c r="A1" s="116" t="str">
        <f>PROJECT_SETTINGS!A3</f>
        <v>[PROJECT NAME]</v>
      </c>
      <c r="B1" s="117"/>
      <c r="C1" s="118"/>
      <c r="D1" s="118"/>
      <c r="E1" s="119"/>
      <c r="F1" s="120"/>
      <c r="G1" s="119"/>
      <c r="H1" s="119"/>
      <c r="I1" s="121"/>
      <c r="M1" s="189" t="s">
        <v>130</v>
      </c>
      <c r="N1" s="189"/>
      <c r="O1" s="189"/>
      <c r="P1" s="189"/>
      <c r="Q1" s="189"/>
      <c r="R1" s="189"/>
      <c r="S1" s="189"/>
    </row>
    <row r="2" spans="1:19" ht="12" customHeight="1">
      <c r="A2" s="126" t="str">
        <f ca="1">MID(CELL("filename",A1),FIND("]",CELL("filename",A1))+1,255)</f>
        <v>SYSTEM_TEMPLATE_LOOKUP</v>
      </c>
      <c r="B2" s="127"/>
      <c r="C2" s="128" t="s">
        <v>131</v>
      </c>
      <c r="D2" s="188"/>
      <c r="E2" s="186"/>
      <c r="F2" s="186"/>
      <c r="G2" s="186"/>
      <c r="H2" s="186"/>
      <c r="I2" s="187"/>
      <c r="M2" s="59"/>
      <c r="N2" s="60"/>
      <c r="O2" s="60"/>
      <c r="P2" s="60"/>
      <c r="Q2" s="60"/>
      <c r="R2" s="60"/>
      <c r="S2" s="61"/>
    </row>
    <row r="3" spans="1:19" ht="12" customHeight="1" thickBot="1">
      <c r="A3" s="131" t="s">
        <v>132</v>
      </c>
      <c r="I3" s="134"/>
      <c r="M3" s="59"/>
      <c r="N3" s="60"/>
      <c r="O3" s="60"/>
      <c r="P3" s="60"/>
      <c r="Q3" s="60"/>
      <c r="R3" s="60"/>
      <c r="S3" s="61"/>
    </row>
    <row r="4" spans="1:19" ht="24" customHeight="1" thickBot="1">
      <c r="A4" s="168" t="s">
        <v>133</v>
      </c>
      <c r="B4" s="169" t="s">
        <v>15</v>
      </c>
      <c r="C4" s="169" t="s">
        <v>16</v>
      </c>
      <c r="D4" s="169" t="s">
        <v>17</v>
      </c>
      <c r="E4" s="170" t="s">
        <v>18</v>
      </c>
      <c r="F4" s="170" t="s">
        <v>19</v>
      </c>
      <c r="G4" s="169" t="s">
        <v>20</v>
      </c>
      <c r="H4" s="169" t="s">
        <v>21</v>
      </c>
      <c r="I4" s="171" t="s">
        <v>22</v>
      </c>
      <c r="J4" s="135" t="s">
        <v>23</v>
      </c>
      <c r="K4" s="136" t="s">
        <v>24</v>
      </c>
      <c r="M4" s="137" t="s">
        <v>134</v>
      </c>
      <c r="N4" s="137" t="s">
        <v>16</v>
      </c>
      <c r="O4" s="137" t="s">
        <v>17</v>
      </c>
      <c r="P4" s="137" t="s">
        <v>135</v>
      </c>
      <c r="Q4" s="137" t="s">
        <v>136</v>
      </c>
      <c r="R4" s="137" t="s">
        <v>137</v>
      </c>
      <c r="S4" s="137" t="s">
        <v>138</v>
      </c>
    </row>
    <row r="5" spans="1:19" ht="12" customHeight="1" thickBot="1">
      <c r="A5" s="180" t="s">
        <v>139</v>
      </c>
      <c r="B5" s="181"/>
      <c r="C5" s="181"/>
      <c r="D5" s="181"/>
      <c r="E5" s="181"/>
      <c r="F5" s="181"/>
      <c r="G5" s="181"/>
      <c r="H5" s="181"/>
      <c r="I5" s="182">
        <f>ROUND(SUM(H5:H8),PROJECT_SETTINGS!$F$3)</f>
        <v>0</v>
      </c>
      <c r="J5" s="138"/>
      <c r="K5" s="139"/>
    </row>
    <row r="6" spans="1:19" ht="12" customHeight="1" outlineLevel="1">
      <c r="A6" s="140"/>
      <c r="B6" s="141" t="str">
        <f>IF($A6="","",INDEX(PROJECT_EQUIPMENT_LIST!$A$2:$G$6633,MATCH($A6,PROJECT_EQUIPMENT_LIST!$A$2:$A$6633,0),4))</f>
        <v/>
      </c>
      <c r="C6" s="141" t="str">
        <f>IF($A6="","",INDEX(PROJECT_EQUIPMENT_LIST!$A$2:$G$6633,MATCH($A6,PROJECT_EQUIPMENT_LIST!$A$2:$A$6633,0),2))</f>
        <v/>
      </c>
      <c r="D6" s="141" t="str">
        <f>IF($A6="","",INDEX(PROJECT_EQUIPMENT_LIST!$A$2:$G$6633,MATCH($A6,PROJECT_EQUIPMENT_LIST!$A$2:$A$6633,0),3))</f>
        <v/>
      </c>
      <c r="E6" s="141" t="str">
        <f>IF($A6="","",IF(INDEX(PROJECT_EQUIPMENT_LIST!$A$2:$G$6633,MATCH($A6,PROJECT_EQUIPMENT_LIST!$A$2:$A$6633,0),5)&lt;&gt;"",INDEX(PROJECT_EQUIPMENT_LIST!$A$2:$G$6633,MATCH($A6,PROJECT_EQUIPMENT_LIST!$A$2:$A$6633,0),5),""))</f>
        <v/>
      </c>
      <c r="F6" s="142"/>
      <c r="G6" s="143" t="str">
        <f>IF(ISNUMBER(J6)=TRUE,J6*K6,J6)</f>
        <v/>
      </c>
      <c r="H6" s="144" t="str">
        <f>IF(ISNUMBER(G6)=TRUE,F6*G6,G6)</f>
        <v/>
      </c>
      <c r="I6" s="145"/>
      <c r="J6" s="141" t="str">
        <f>IF($A6="","",INDEX(PROJECT_EQUIPMENT_LIST!$A$2:$G$6633,MATCH($A6,PROJECT_EQUIPMENT_LIST!$A$2:$A$6633,0),6))</f>
        <v/>
      </c>
      <c r="K6" s="141" t="str">
        <f>IF($A6="","",INDEX(PROJECT_EQUIPMENT_LIST!$A$2:$G$6633,MATCH($A6,PROJECT_EQUIPMENT_LIST!$A$2:$A$6633,0),7))</f>
        <v/>
      </c>
      <c r="N6" s="125" t="str">
        <f>IF(ISBLANK(P6),"",C6)</f>
        <v/>
      </c>
      <c r="O6" s="125" t="str">
        <f>IF(ISBLANK(P6),"",D6)</f>
        <v/>
      </c>
      <c r="Q6" s="125" t="str">
        <f>IF(ISBLANK(P6),"",(CONCATENATE((IF(P6&lt;R6,"Add","Delete"))," ","(",(ABS(P6-R6)),")")))</f>
        <v/>
      </c>
      <c r="R6" s="125" t="str">
        <f>IF(ISBLANK(P6),"",F6)</f>
        <v/>
      </c>
      <c r="S6" s="125" t="str">
        <f>IF(ISBLANK(P6),"",CONCATENATE(Q6," ",N6, "  Model: ",D6,";"," New Qty"," (",R6,")"))</f>
        <v/>
      </c>
    </row>
    <row r="7" spans="1:19" ht="12" customHeight="1" outlineLevel="1">
      <c r="A7" s="140"/>
      <c r="B7" s="141" t="str">
        <f>IF($A7="","",INDEX(PROJECT_EQUIPMENT_LIST!$A$2:$G$6633,MATCH($A7,PROJECT_EQUIPMENT_LIST!$A$2:$A$6633,0),4))</f>
        <v/>
      </c>
      <c r="C7" s="141" t="str">
        <f>IF($A7="","",INDEX(PROJECT_EQUIPMENT_LIST!$A$2:$G$6633,MATCH($A7,PROJECT_EQUIPMENT_LIST!$A$2:$A$6633,0),2))</f>
        <v/>
      </c>
      <c r="D7" s="141" t="str">
        <f>IF($A7="","",INDEX(PROJECT_EQUIPMENT_LIST!$A$2:$G$6633,MATCH($A7,PROJECT_EQUIPMENT_LIST!$A$2:$A$6633,0),3))</f>
        <v/>
      </c>
      <c r="E7" s="141" t="str">
        <f>IF($A7="","",IF(INDEX(PROJECT_EQUIPMENT_LIST!$A$2:$G$6633,MATCH($A7,PROJECT_EQUIPMENT_LIST!$A$2:$A$6633,0),5)&lt;&gt;"",INDEX(PROJECT_EQUIPMENT_LIST!$A$2:$G$6633,MATCH($A7,PROJECT_EQUIPMENT_LIST!$A$2:$A$6633,0),5),""))</f>
        <v/>
      </c>
      <c r="F7" s="142"/>
      <c r="G7" s="143" t="str">
        <f>IF(ISNUMBER(J7)=TRUE,J7*K7,J7)</f>
        <v/>
      </c>
      <c r="H7" s="144" t="str">
        <f t="shared" ref="H7:H8" si="0">IF(ISNUMBER(G7)=TRUE,F7*G7,G7)</f>
        <v/>
      </c>
      <c r="I7" s="145"/>
      <c r="J7" s="141" t="str">
        <f>IF($A7="","",INDEX(PROJECT_EQUIPMENT_LIST!$A$2:$G$6633,MATCH($A7,PROJECT_EQUIPMENT_LIST!$A$2:$A$6633,0),6))</f>
        <v/>
      </c>
      <c r="K7" s="141" t="str">
        <f>IF($A7="","",INDEX(PROJECT_EQUIPMENT_LIST!$A$2:$G$6633,MATCH($A7,PROJECT_EQUIPMENT_LIST!$A$2:$A$6633,0),7))</f>
        <v/>
      </c>
      <c r="N7" s="125" t="str">
        <f>IF(ISBLANK(P7),"",C7)</f>
        <v/>
      </c>
      <c r="O7" s="125" t="str">
        <f>IF(ISBLANK(P7),"",D7)</f>
        <v/>
      </c>
      <c r="Q7" s="125" t="str">
        <f t="shared" ref="Q7:Q8" si="1">IF(ISBLANK(P7),"",(CONCATENATE((IF(P7&lt;R7,"Add","Delete"))," ","(",(ABS(P7-R7)),")")))</f>
        <v/>
      </c>
      <c r="R7" s="125" t="str">
        <f>IF(ISBLANK(P7),"",F7)</f>
        <v/>
      </c>
      <c r="S7" s="125" t="str">
        <f>IF(ISBLANK(P7),"",CONCATENATE(Q7," ",N7, "  Model: ",D7,";"," New Qty"," (",R7,")"))</f>
        <v/>
      </c>
    </row>
    <row r="8" spans="1:19" ht="12" customHeight="1" outlineLevel="1" thickBot="1">
      <c r="A8" s="140"/>
      <c r="B8" s="141" t="str">
        <f>IF($A8="","",INDEX(PROJECT_EQUIPMENT_LIST!$A$2:$G$6633,MATCH($A8,PROJECT_EQUIPMENT_LIST!$A$2:$A$6633,0),4))</f>
        <v/>
      </c>
      <c r="C8" s="141" t="str">
        <f>IF($A8="","",INDEX(PROJECT_EQUIPMENT_LIST!$A$2:$G$6633,MATCH($A8,PROJECT_EQUIPMENT_LIST!$A$2:$A$6633,0),2))</f>
        <v/>
      </c>
      <c r="D8" s="141" t="str">
        <f>IF($A8="","",INDEX(PROJECT_EQUIPMENT_LIST!$A$2:$G$6633,MATCH($A8,PROJECT_EQUIPMENT_LIST!$A$2:$A$6633,0),3))</f>
        <v/>
      </c>
      <c r="E8" s="141" t="str">
        <f>IF($A8="","",IF(INDEX(PROJECT_EQUIPMENT_LIST!$A$2:$G$6633,MATCH($A8,PROJECT_EQUIPMENT_LIST!$A$2:$A$6633,0),5)&lt;&gt;"",INDEX(PROJECT_EQUIPMENT_LIST!$A$2:$G$6633,MATCH($A8,PROJECT_EQUIPMENT_LIST!$A$2:$A$6633,0),5),""))</f>
        <v/>
      </c>
      <c r="F8" s="142"/>
      <c r="G8" s="143" t="str">
        <f>IF(ISNUMBER(J8)=TRUE,J8*K8,J8)</f>
        <v/>
      </c>
      <c r="H8" s="144" t="str">
        <f t="shared" si="0"/>
        <v/>
      </c>
      <c r="I8" s="145"/>
      <c r="J8" s="141" t="str">
        <f>IF($A8="","",INDEX(PROJECT_EQUIPMENT_LIST!$A$2:$G$6633,MATCH($A8,PROJECT_EQUIPMENT_LIST!$A$2:$A$6633,0),6))</f>
        <v/>
      </c>
      <c r="K8" s="141" t="str">
        <f>IF($A8="","",INDEX(PROJECT_EQUIPMENT_LIST!$A$2:$G$6633,MATCH($A8,PROJECT_EQUIPMENT_LIST!$A$2:$A$6633,0),7))</f>
        <v/>
      </c>
      <c r="N8" s="125" t="str">
        <f>IF(ISBLANK(P8),"",C8)</f>
        <v/>
      </c>
      <c r="O8" s="125" t="str">
        <f>IF(ISBLANK(P8),"",D8)</f>
        <v/>
      </c>
      <c r="Q8" s="125" t="str">
        <f t="shared" si="1"/>
        <v/>
      </c>
      <c r="R8" s="125" t="str">
        <f>IF(ISBLANK(P8),"",F8)</f>
        <v/>
      </c>
      <c r="S8" s="125" t="str">
        <f>IF(ISBLANK(P8),"",CONCATENATE(Q8," ",N8, "  Model: ",D8,";"," New Qty"," (",R8,")"))</f>
        <v/>
      </c>
    </row>
    <row r="9" spans="1:19" ht="12" customHeight="1" thickBot="1">
      <c r="A9" s="180" t="s">
        <v>140</v>
      </c>
      <c r="B9" s="181"/>
      <c r="C9" s="181"/>
      <c r="D9" s="181"/>
      <c r="E9" s="181"/>
      <c r="F9" s="181"/>
      <c r="G9" s="181"/>
      <c r="H9" s="181"/>
      <c r="I9" s="182">
        <f>ROUND(SUM(H9:H12),PROJECT_SETTINGS!$F$3)</f>
        <v>0</v>
      </c>
      <c r="J9" s="138"/>
      <c r="K9" s="139"/>
    </row>
    <row r="10" spans="1:19" ht="12" customHeight="1" outlineLevel="1">
      <c r="A10" s="140"/>
      <c r="B10" s="141" t="str">
        <f>IF($A10="","",INDEX(PROJECT_EQUIPMENT_LIST!$A$2:$G$6633,MATCH($A10,PROJECT_EQUIPMENT_LIST!$A$2:$A$6633,0),4))</f>
        <v/>
      </c>
      <c r="C10" s="141" t="str">
        <f>IF($A10="","",INDEX(PROJECT_EQUIPMENT_LIST!$A$2:$G$6633,MATCH($A10,PROJECT_EQUIPMENT_LIST!$A$2:$A$6633,0),2))</f>
        <v/>
      </c>
      <c r="D10" s="141" t="str">
        <f>IF($A10="","",INDEX(PROJECT_EQUIPMENT_LIST!$A$2:$G$6633,MATCH($A10,PROJECT_EQUIPMENT_LIST!$A$2:$A$6633,0),3))</f>
        <v/>
      </c>
      <c r="E10" s="141" t="str">
        <f>IF($A10="","",IF(INDEX(PROJECT_EQUIPMENT_LIST!$A$2:$G$6633,MATCH($A10,PROJECT_EQUIPMENT_LIST!$A$2:$A$6633,0),5)&lt;&gt;"",INDEX(PROJECT_EQUIPMENT_LIST!$A$2:$G$6633,MATCH($A10,PROJECT_EQUIPMENT_LIST!$A$2:$A$6633,0),5),""))</f>
        <v/>
      </c>
      <c r="F10" s="142"/>
      <c r="G10" s="143" t="str">
        <f>IF(ISNUMBER(J10)=TRUE,J10*K10,J10)</f>
        <v/>
      </c>
      <c r="H10" s="144" t="str">
        <f t="shared" ref="H10:H12" si="2">IF(ISNUMBER(G10)=TRUE,F10*G10,G10)</f>
        <v/>
      </c>
      <c r="I10" s="145"/>
      <c r="J10" s="141" t="str">
        <f>IF($A10="","",INDEX(PROJECT_EQUIPMENT_LIST!$A$2:$G$6633,MATCH($A10,PROJECT_EQUIPMENT_LIST!$A$2:$A$6633,0),6))</f>
        <v/>
      </c>
      <c r="K10" s="141" t="str">
        <f>IF($A10="","",INDEX(PROJECT_EQUIPMENT_LIST!$A$2:$G$6633,MATCH($A10,PROJECT_EQUIPMENT_LIST!$A$2:$A$6633,0),7))</f>
        <v/>
      </c>
      <c r="N10" s="125" t="str">
        <f>IF(ISBLANK(P10),"",C10)</f>
        <v/>
      </c>
      <c r="O10" s="125" t="str">
        <f>IF(ISBLANK(P10),"",D10)</f>
        <v/>
      </c>
      <c r="Q10" s="125" t="str">
        <f t="shared" ref="Q10:Q12" si="3">IF(ISBLANK(P10),"",(CONCATENATE((IF(P10&lt;R10,"Add","Delete"))," ","(",(ABS(P10-R10)),")")))</f>
        <v/>
      </c>
      <c r="R10" s="125" t="str">
        <f>IF(ISBLANK(P10),"",F10)</f>
        <v/>
      </c>
      <c r="S10" s="125" t="str">
        <f>IF(ISBLANK(P10),"",CONCATENATE(Q10," ",N10, "  Model: ",D10,";"," New Qty"," (",R10,")"))</f>
        <v/>
      </c>
    </row>
    <row r="11" spans="1:19" ht="12" customHeight="1" outlineLevel="1">
      <c r="A11" s="140"/>
      <c r="B11" s="141" t="str">
        <f>IF($A11="","",INDEX(PROJECT_EQUIPMENT_LIST!$A$2:$G$6633,MATCH($A11,PROJECT_EQUIPMENT_LIST!$A$2:$A$6633,0),4))</f>
        <v/>
      </c>
      <c r="C11" s="141" t="str">
        <f>IF($A11="","",INDEX(PROJECT_EQUIPMENT_LIST!$A$2:$G$6633,MATCH($A11,PROJECT_EQUIPMENT_LIST!$A$2:$A$6633,0),2))</f>
        <v/>
      </c>
      <c r="D11" s="141" t="str">
        <f>IF($A11="","",INDEX(PROJECT_EQUIPMENT_LIST!$A$2:$G$6633,MATCH($A11,PROJECT_EQUIPMENT_LIST!$A$2:$A$6633,0),3))</f>
        <v/>
      </c>
      <c r="E11" s="141" t="str">
        <f>IF($A11="","",IF(INDEX(PROJECT_EQUIPMENT_LIST!$A$2:$G$6633,MATCH($A11,PROJECT_EQUIPMENT_LIST!$A$2:$A$6633,0),5)&lt;&gt;"",INDEX(PROJECT_EQUIPMENT_LIST!$A$2:$G$6633,MATCH($A11,PROJECT_EQUIPMENT_LIST!$A$2:$A$6633,0),5),""))</f>
        <v/>
      </c>
      <c r="F11" s="142"/>
      <c r="G11" s="143" t="str">
        <f>IF(ISNUMBER(J11)=TRUE,J11*K11,J11)</f>
        <v/>
      </c>
      <c r="H11" s="144" t="str">
        <f t="shared" si="2"/>
        <v/>
      </c>
      <c r="I11" s="145"/>
      <c r="J11" s="141" t="str">
        <f>IF($A11="","",INDEX(PROJECT_EQUIPMENT_LIST!$A$2:$G$6633,MATCH($A11,PROJECT_EQUIPMENT_LIST!$A$2:$A$6633,0),6))</f>
        <v/>
      </c>
      <c r="K11" s="141" t="str">
        <f>IF($A11="","",INDEX(PROJECT_EQUIPMENT_LIST!$A$2:$G$6633,MATCH($A11,PROJECT_EQUIPMENT_LIST!$A$2:$A$6633,0),7))</f>
        <v/>
      </c>
      <c r="N11" s="125" t="str">
        <f>IF(ISBLANK(P11),"",C11)</f>
        <v/>
      </c>
      <c r="O11" s="125" t="str">
        <f>IF(ISBLANK(P11),"",D11)</f>
        <v/>
      </c>
      <c r="Q11" s="125" t="str">
        <f t="shared" si="3"/>
        <v/>
      </c>
      <c r="R11" s="125" t="str">
        <f>IF(ISBLANK(P11),"",F11)</f>
        <v/>
      </c>
      <c r="S11" s="125" t="str">
        <f>IF(ISBLANK(P11),"",CONCATENATE(Q11," ",N11, "  Model: ",D11,";"," New Qty"," (",R11,")"))</f>
        <v/>
      </c>
    </row>
    <row r="12" spans="1:19" ht="12" customHeight="1" outlineLevel="1" thickBot="1">
      <c r="A12" s="140"/>
      <c r="B12" s="141" t="str">
        <f>IF($A12="","",INDEX(PROJECT_EQUIPMENT_LIST!$A$2:$G$6633,MATCH($A12,PROJECT_EQUIPMENT_LIST!$A$2:$A$6633,0),4))</f>
        <v/>
      </c>
      <c r="C12" s="141" t="str">
        <f>IF($A12="","",INDEX(PROJECT_EQUIPMENT_LIST!$A$2:$G$6633,MATCH($A12,PROJECT_EQUIPMENT_LIST!$A$2:$A$6633,0),2))</f>
        <v/>
      </c>
      <c r="D12" s="141" t="str">
        <f>IF($A12="","",INDEX(PROJECT_EQUIPMENT_LIST!$A$2:$G$6633,MATCH($A12,PROJECT_EQUIPMENT_LIST!$A$2:$A$6633,0),3))</f>
        <v/>
      </c>
      <c r="E12" s="141" t="str">
        <f>IF($A12="","",IF(INDEX(PROJECT_EQUIPMENT_LIST!$A$2:$G$6633,MATCH($A12,PROJECT_EQUIPMENT_LIST!$A$2:$A$6633,0),5)&lt;&gt;"",INDEX(PROJECT_EQUIPMENT_LIST!$A$2:$G$6633,MATCH($A12,PROJECT_EQUIPMENT_LIST!$A$2:$A$6633,0),5),""))</f>
        <v/>
      </c>
      <c r="F12" s="142"/>
      <c r="G12" s="143" t="str">
        <f>IF(ISNUMBER(J12)=TRUE,J12*K12,J12)</f>
        <v/>
      </c>
      <c r="H12" s="144" t="str">
        <f t="shared" si="2"/>
        <v/>
      </c>
      <c r="I12" s="145"/>
      <c r="J12" s="141" t="str">
        <f>IF($A12="","",INDEX(PROJECT_EQUIPMENT_LIST!$A$2:$G$6633,MATCH($A12,PROJECT_EQUIPMENT_LIST!$A$2:$A$6633,0),6))</f>
        <v/>
      </c>
      <c r="K12" s="141" t="str">
        <f>IF($A12="","",INDEX(PROJECT_EQUIPMENT_LIST!$A$2:$G$6633,MATCH($A12,PROJECT_EQUIPMENT_LIST!$A$2:$A$6633,0),7))</f>
        <v/>
      </c>
      <c r="N12" s="125" t="str">
        <f>IF(ISBLANK(P12),"",C12)</f>
        <v/>
      </c>
      <c r="O12" s="125" t="str">
        <f>IF(ISBLANK(P12),"",D12)</f>
        <v/>
      </c>
      <c r="Q12" s="125" t="str">
        <f t="shared" si="3"/>
        <v/>
      </c>
      <c r="R12" s="125" t="str">
        <f>IF(ISBLANK(P12),"",F12)</f>
        <v/>
      </c>
      <c r="S12" s="125" t="str">
        <f>IF(ISBLANK(P12),"",CONCATENATE(Q12," ",N12, "  Model: ",D12,";"," New Qty"," (",R12,")"))</f>
        <v/>
      </c>
    </row>
    <row r="13" spans="1:19" ht="12" customHeight="1" thickBot="1">
      <c r="A13" s="180" t="s">
        <v>141</v>
      </c>
      <c r="B13" s="181"/>
      <c r="C13" s="181"/>
      <c r="D13" s="181"/>
      <c r="E13" s="181"/>
      <c r="F13" s="181"/>
      <c r="G13" s="181"/>
      <c r="H13" s="181"/>
      <c r="I13" s="182">
        <f>ROUND(SUM(H13:H16),PROJECT_SETTINGS!$F$3)</f>
        <v>0</v>
      </c>
      <c r="J13" s="138"/>
      <c r="K13" s="139"/>
    </row>
    <row r="14" spans="1:19" ht="12" customHeight="1" outlineLevel="1">
      <c r="A14" s="140"/>
      <c r="B14" s="141" t="str">
        <f>IF($A14="","",INDEX(PROJECT_EQUIPMENT_LIST!$A$2:$G$6633,MATCH($A14,PROJECT_EQUIPMENT_LIST!$A$2:$A$6633,0),4))</f>
        <v/>
      </c>
      <c r="C14" s="141" t="str">
        <f>IF($A14="","",INDEX(PROJECT_EQUIPMENT_LIST!$A$2:$G$6633,MATCH($A14,PROJECT_EQUIPMENT_LIST!$A$2:$A$6633,0),2))</f>
        <v/>
      </c>
      <c r="D14" s="141" t="str">
        <f>IF($A14="","",INDEX(PROJECT_EQUIPMENT_LIST!$A$2:$G$6633,MATCH($A14,PROJECT_EQUIPMENT_LIST!$A$2:$A$6633,0),3))</f>
        <v/>
      </c>
      <c r="E14" s="141" t="str">
        <f>IF($A14="","",IF(INDEX(PROJECT_EQUIPMENT_LIST!$A$2:$G$6633,MATCH($A14,PROJECT_EQUIPMENT_LIST!$A$2:$A$6633,0),5)&lt;&gt;"",INDEX(PROJECT_EQUIPMENT_LIST!$A$2:$G$6633,MATCH($A14,PROJECT_EQUIPMENT_LIST!$A$2:$A$6633,0),5),""))</f>
        <v/>
      </c>
      <c r="F14" s="142"/>
      <c r="G14" s="143" t="str">
        <f>IF(ISNUMBER(J14)=TRUE,J14*K14,J14)</f>
        <v/>
      </c>
      <c r="H14" s="144" t="str">
        <f t="shared" ref="H14:H16" si="4">IF(ISNUMBER(G14)=TRUE,F14*G14,G14)</f>
        <v/>
      </c>
      <c r="I14" s="145"/>
      <c r="J14" s="141" t="str">
        <f>IF($A14="","",INDEX(PROJECT_EQUIPMENT_LIST!$A$2:$G$6633,MATCH($A14,PROJECT_EQUIPMENT_LIST!$A$2:$A$6633,0),6))</f>
        <v/>
      </c>
      <c r="K14" s="141" t="str">
        <f>IF($A14="","",INDEX(PROJECT_EQUIPMENT_LIST!$A$2:$G$6633,MATCH($A14,PROJECT_EQUIPMENT_LIST!$A$2:$A$6633,0),7))</f>
        <v/>
      </c>
      <c r="N14" s="125" t="str">
        <f>IF(ISBLANK(P14),"",C14)</f>
        <v/>
      </c>
      <c r="O14" s="125" t="str">
        <f>IF(ISBLANK(P14),"",D14)</f>
        <v/>
      </c>
      <c r="Q14" s="125" t="str">
        <f t="shared" ref="Q14:Q16" si="5">IF(ISBLANK(P14),"",(CONCATENATE((IF(P14&lt;R14,"Add","Delete"))," ","(",(ABS(P14-R14)),")")))</f>
        <v/>
      </c>
      <c r="R14" s="125" t="str">
        <f>IF(ISBLANK(P14),"",F14)</f>
        <v/>
      </c>
      <c r="S14" s="125" t="str">
        <f>IF(ISBLANK(P14),"",CONCATENATE(Q14," ",N14, "  Model: ",D14,";"," New Qty"," (",R14,")"))</f>
        <v/>
      </c>
    </row>
    <row r="15" spans="1:19" ht="12" customHeight="1" outlineLevel="1">
      <c r="A15" s="140"/>
      <c r="B15" s="141" t="str">
        <f>IF($A15="","",INDEX(PROJECT_EQUIPMENT_LIST!$A$2:$G$6633,MATCH($A15,PROJECT_EQUIPMENT_LIST!$A$2:$A$6633,0),4))</f>
        <v/>
      </c>
      <c r="C15" s="141" t="str">
        <f>IF($A15="","",INDEX(PROJECT_EQUIPMENT_LIST!$A$2:$G$6633,MATCH($A15,PROJECT_EQUIPMENT_LIST!$A$2:$A$6633,0),2))</f>
        <v/>
      </c>
      <c r="D15" s="141" t="str">
        <f>IF($A15="","",INDEX(PROJECT_EQUIPMENT_LIST!$A$2:$G$6633,MATCH($A15,PROJECT_EQUIPMENT_LIST!$A$2:$A$6633,0),3))</f>
        <v/>
      </c>
      <c r="E15" s="141" t="str">
        <f>IF($A15="","",IF(INDEX(PROJECT_EQUIPMENT_LIST!$A$2:$G$6633,MATCH($A15,PROJECT_EQUIPMENT_LIST!$A$2:$A$6633,0),5)&lt;&gt;"",INDEX(PROJECT_EQUIPMENT_LIST!$A$2:$G$6633,MATCH($A15,PROJECT_EQUIPMENT_LIST!$A$2:$A$6633,0),5),""))</f>
        <v/>
      </c>
      <c r="F15" s="142"/>
      <c r="G15" s="143" t="str">
        <f>IF(ISNUMBER(J15)=TRUE,J15*K15,J15)</f>
        <v/>
      </c>
      <c r="H15" s="144" t="str">
        <f t="shared" si="4"/>
        <v/>
      </c>
      <c r="I15" s="145"/>
      <c r="J15" s="141" t="str">
        <f>IF($A15="","",INDEX(PROJECT_EQUIPMENT_LIST!$A$2:$G$6633,MATCH($A15,PROJECT_EQUIPMENT_LIST!$A$2:$A$6633,0),6))</f>
        <v/>
      </c>
      <c r="K15" s="141" t="str">
        <f>IF($A15="","",INDEX(PROJECT_EQUIPMENT_LIST!$A$2:$G$6633,MATCH($A15,PROJECT_EQUIPMENT_LIST!$A$2:$A$6633,0),7))</f>
        <v/>
      </c>
      <c r="N15" s="125" t="str">
        <f>IF(ISBLANK(P15),"",C15)</f>
        <v/>
      </c>
      <c r="O15" s="125" t="str">
        <f>IF(ISBLANK(P15),"",D15)</f>
        <v/>
      </c>
      <c r="Q15" s="125" t="str">
        <f t="shared" si="5"/>
        <v/>
      </c>
      <c r="R15" s="125" t="str">
        <f>IF(ISBLANK(P15),"",F15)</f>
        <v/>
      </c>
      <c r="S15" s="125" t="str">
        <f>IF(ISBLANK(P15),"",CONCATENATE(Q15," ",N15, "  Model: ",D15,";"," New Qty"," (",R15,")"))</f>
        <v/>
      </c>
    </row>
    <row r="16" spans="1:19" ht="12" customHeight="1" outlineLevel="1" thickBot="1">
      <c r="A16" s="140"/>
      <c r="B16" s="141" t="str">
        <f>IF($A16="","",INDEX(PROJECT_EQUIPMENT_LIST!$A$2:$G$6633,MATCH($A16,PROJECT_EQUIPMENT_LIST!$A$2:$A$6633,0),4))</f>
        <v/>
      </c>
      <c r="C16" s="141" t="str">
        <f>IF($A16="","",INDEX(PROJECT_EQUIPMENT_LIST!$A$2:$G$6633,MATCH($A16,PROJECT_EQUIPMENT_LIST!$A$2:$A$6633,0),2))</f>
        <v/>
      </c>
      <c r="D16" s="141" t="str">
        <f>IF($A16="","",INDEX(PROJECT_EQUIPMENT_LIST!$A$2:$G$6633,MATCH($A16,PROJECT_EQUIPMENT_LIST!$A$2:$A$6633,0),3))</f>
        <v/>
      </c>
      <c r="E16" s="141" t="str">
        <f>IF($A16="","",IF(INDEX(PROJECT_EQUIPMENT_LIST!$A$2:$G$6633,MATCH($A16,PROJECT_EQUIPMENT_LIST!$A$2:$A$6633,0),5)&lt;&gt;"",INDEX(PROJECT_EQUIPMENT_LIST!$A$2:$G$6633,MATCH($A16,PROJECT_EQUIPMENT_LIST!$A$2:$A$6633,0),5),""))</f>
        <v/>
      </c>
      <c r="F16" s="142"/>
      <c r="G16" s="143" t="str">
        <f>IF(ISNUMBER(J16)=TRUE,J16*K16,J16)</f>
        <v/>
      </c>
      <c r="H16" s="144" t="str">
        <f t="shared" si="4"/>
        <v/>
      </c>
      <c r="I16" s="145"/>
      <c r="J16" s="141" t="str">
        <f>IF($A16="","",INDEX(PROJECT_EQUIPMENT_LIST!$A$2:$G$6633,MATCH($A16,PROJECT_EQUIPMENT_LIST!$A$2:$A$6633,0),6))</f>
        <v/>
      </c>
      <c r="K16" s="141" t="str">
        <f>IF($A16="","",INDEX(PROJECT_EQUIPMENT_LIST!$A$2:$G$6633,MATCH($A16,PROJECT_EQUIPMENT_LIST!$A$2:$A$6633,0),7))</f>
        <v/>
      </c>
      <c r="N16" s="125" t="str">
        <f>IF(ISBLANK(P16),"",C16)</f>
        <v/>
      </c>
      <c r="O16" s="125" t="str">
        <f>IF(ISBLANK(P16),"",D16)</f>
        <v/>
      </c>
      <c r="Q16" s="125" t="str">
        <f t="shared" si="5"/>
        <v/>
      </c>
      <c r="R16" s="125" t="str">
        <f>IF(ISBLANK(P16),"",F16)</f>
        <v/>
      </c>
      <c r="S16" s="125" t="str">
        <f>IF(ISBLANK(P16),"",CONCATENATE(Q16," ",N16, "  Model: ",D16,";"," New Qty"," (",R16,")"))</f>
        <v/>
      </c>
    </row>
    <row r="17" spans="1:19" ht="12" customHeight="1" thickBot="1">
      <c r="A17" s="180" t="s">
        <v>142</v>
      </c>
      <c r="B17" s="181"/>
      <c r="C17" s="181"/>
      <c r="D17" s="181"/>
      <c r="E17" s="181"/>
      <c r="F17" s="181"/>
      <c r="G17" s="181"/>
      <c r="H17" s="181"/>
      <c r="I17" s="182">
        <f>ROUND(SUM(H17:H20),PROJECT_SETTINGS!$F$3)</f>
        <v>0</v>
      </c>
      <c r="J17" s="138"/>
      <c r="K17" s="139"/>
    </row>
    <row r="18" spans="1:19" ht="12" customHeight="1" outlineLevel="1">
      <c r="A18" s="140"/>
      <c r="B18" s="141" t="str">
        <f>IF($A18="","",INDEX(PROJECT_EQUIPMENT_LIST!$A$2:$G$6633,MATCH($A18,PROJECT_EQUIPMENT_LIST!$A$2:$A$6633,0),4))</f>
        <v/>
      </c>
      <c r="C18" s="141" t="str">
        <f>IF($A18="","",INDEX(PROJECT_EQUIPMENT_LIST!$A$2:$G$6633,MATCH($A18,PROJECT_EQUIPMENT_LIST!$A$2:$A$6633,0),2))</f>
        <v/>
      </c>
      <c r="D18" s="141" t="str">
        <f>IF($A18="","",INDEX(PROJECT_EQUIPMENT_LIST!$A$2:$G$6633,MATCH($A18,PROJECT_EQUIPMENT_LIST!$A$2:$A$6633,0),3))</f>
        <v/>
      </c>
      <c r="E18" s="141" t="str">
        <f>IF($A18="","",IF(INDEX(PROJECT_EQUIPMENT_LIST!$A$2:$G$6633,MATCH($A18,PROJECT_EQUIPMENT_LIST!$A$2:$A$6633,0),5)&lt;&gt;"",INDEX(PROJECT_EQUIPMENT_LIST!$A$2:$G$6633,MATCH($A18,PROJECT_EQUIPMENT_LIST!$A$2:$A$6633,0),5),""))</f>
        <v/>
      </c>
      <c r="F18" s="142"/>
      <c r="G18" s="143" t="str">
        <f>IF(ISNUMBER(J18)=TRUE,J18*K18,J18)</f>
        <v/>
      </c>
      <c r="H18" s="144" t="str">
        <f t="shared" ref="H18:H20" si="6">IF(ISNUMBER(G18)=TRUE,F18*G18,G18)</f>
        <v/>
      </c>
      <c r="I18" s="145"/>
      <c r="J18" s="141" t="str">
        <f>IF($A18="","",INDEX(PROJECT_EQUIPMENT_LIST!$A$2:$G$6633,MATCH($A18,PROJECT_EQUIPMENT_LIST!$A$2:$A$6633,0),6))</f>
        <v/>
      </c>
      <c r="K18" s="141" t="str">
        <f>IF($A18="","",INDEX(PROJECT_EQUIPMENT_LIST!$A$2:$G$6633,MATCH($A18,PROJECT_EQUIPMENT_LIST!$A$2:$A$6633,0),7))</f>
        <v/>
      </c>
      <c r="N18" s="125" t="str">
        <f>IF(ISBLANK(P18),"",C18)</f>
        <v/>
      </c>
      <c r="O18" s="125" t="str">
        <f>IF(ISBLANK(P18),"",D18)</f>
        <v/>
      </c>
      <c r="Q18" s="125" t="str">
        <f t="shared" ref="Q18:Q20" si="7">IF(ISBLANK(P18),"",(CONCATENATE((IF(P18&lt;R18,"Add","Delete"))," ","(",(ABS(P18-R18)),")")))</f>
        <v/>
      </c>
      <c r="R18" s="125" t="str">
        <f>IF(ISBLANK(P18),"",F18)</f>
        <v/>
      </c>
      <c r="S18" s="125" t="str">
        <f>IF(ISBLANK(P18),"",CONCATENATE(Q18," ",N18, "  Model: ",D18,";"," New Qty"," (",R18,")"))</f>
        <v/>
      </c>
    </row>
    <row r="19" spans="1:19" ht="12" customHeight="1" outlineLevel="1">
      <c r="A19" s="140"/>
      <c r="B19" s="141" t="str">
        <f>IF($A19="","",INDEX(PROJECT_EQUIPMENT_LIST!$A$2:$G$6633,MATCH($A19,PROJECT_EQUIPMENT_LIST!$A$2:$A$6633,0),4))</f>
        <v/>
      </c>
      <c r="C19" s="141" t="str">
        <f>IF($A19="","",INDEX(PROJECT_EQUIPMENT_LIST!$A$2:$G$6633,MATCH($A19,PROJECT_EQUIPMENT_LIST!$A$2:$A$6633,0),2))</f>
        <v/>
      </c>
      <c r="D19" s="141" t="str">
        <f>IF($A19="","",INDEX(PROJECT_EQUIPMENT_LIST!$A$2:$G$6633,MATCH($A19,PROJECT_EQUIPMENT_LIST!$A$2:$A$6633,0),3))</f>
        <v/>
      </c>
      <c r="E19" s="141" t="str">
        <f>IF($A19="","",IF(INDEX(PROJECT_EQUIPMENT_LIST!$A$2:$G$6633,MATCH($A19,PROJECT_EQUIPMENT_LIST!$A$2:$A$6633,0),5)&lt;&gt;"",INDEX(PROJECT_EQUIPMENT_LIST!$A$2:$G$6633,MATCH($A19,PROJECT_EQUIPMENT_LIST!$A$2:$A$6633,0),5),""))</f>
        <v/>
      </c>
      <c r="F19" s="142"/>
      <c r="G19" s="143" t="str">
        <f>IF(ISNUMBER(J19)=TRUE,J19*K19,J19)</f>
        <v/>
      </c>
      <c r="H19" s="144" t="str">
        <f t="shared" si="6"/>
        <v/>
      </c>
      <c r="I19" s="145"/>
      <c r="J19" s="141" t="str">
        <f>IF($A19="","",INDEX(PROJECT_EQUIPMENT_LIST!$A$2:$G$6633,MATCH($A19,PROJECT_EQUIPMENT_LIST!$A$2:$A$6633,0),6))</f>
        <v/>
      </c>
      <c r="K19" s="141" t="str">
        <f>IF($A19="","",INDEX(PROJECT_EQUIPMENT_LIST!$A$2:$G$6633,MATCH($A19,PROJECT_EQUIPMENT_LIST!$A$2:$A$6633,0),7))</f>
        <v/>
      </c>
      <c r="N19" s="125" t="str">
        <f>IF(ISBLANK(P19),"",C19)</f>
        <v/>
      </c>
      <c r="O19" s="125" t="str">
        <f>IF(ISBLANK(P19),"",D19)</f>
        <v/>
      </c>
      <c r="Q19" s="125" t="str">
        <f t="shared" si="7"/>
        <v/>
      </c>
      <c r="R19" s="125" t="str">
        <f>IF(ISBLANK(P19),"",F19)</f>
        <v/>
      </c>
      <c r="S19" s="125" t="str">
        <f>IF(ISBLANK(P19),"",CONCATENATE(Q19," ",N19, "  Model: ",D19,";"," New Qty"," (",R19,")"))</f>
        <v/>
      </c>
    </row>
    <row r="20" spans="1:19" ht="12" customHeight="1" outlineLevel="1" thickBot="1">
      <c r="A20" s="140"/>
      <c r="B20" s="141" t="str">
        <f>IF($A20="","",INDEX(PROJECT_EQUIPMENT_LIST!$A$2:$G$6633,MATCH($A20,PROJECT_EQUIPMENT_LIST!$A$2:$A$6633,0),4))</f>
        <v/>
      </c>
      <c r="C20" s="141" t="str">
        <f>IF($A20="","",INDEX(PROJECT_EQUIPMENT_LIST!$A$2:$G$6633,MATCH($A20,PROJECT_EQUIPMENT_LIST!$A$2:$A$6633,0),2))</f>
        <v/>
      </c>
      <c r="D20" s="141" t="str">
        <f>IF($A20="","",INDEX(PROJECT_EQUIPMENT_LIST!$A$2:$G$6633,MATCH($A20,PROJECT_EQUIPMENT_LIST!$A$2:$A$6633,0),3))</f>
        <v/>
      </c>
      <c r="E20" s="141" t="str">
        <f>IF($A20="","",IF(INDEX(PROJECT_EQUIPMENT_LIST!$A$2:$G$6633,MATCH($A20,PROJECT_EQUIPMENT_LIST!$A$2:$A$6633,0),5)&lt;&gt;"",INDEX(PROJECT_EQUIPMENT_LIST!$A$2:$G$6633,MATCH($A20,PROJECT_EQUIPMENT_LIST!$A$2:$A$6633,0),5),""))</f>
        <v/>
      </c>
      <c r="F20" s="142"/>
      <c r="G20" s="143" t="str">
        <f>IF(ISNUMBER(J20)=TRUE,J20*K20,J20)</f>
        <v/>
      </c>
      <c r="H20" s="144" t="str">
        <f t="shared" si="6"/>
        <v/>
      </c>
      <c r="I20" s="145"/>
      <c r="J20" s="141" t="str">
        <f>IF($A20="","",INDEX(PROJECT_EQUIPMENT_LIST!$A$2:$G$6633,MATCH($A20,PROJECT_EQUIPMENT_LIST!$A$2:$A$6633,0),6))</f>
        <v/>
      </c>
      <c r="K20" s="141" t="str">
        <f>IF($A20="","",INDEX(PROJECT_EQUIPMENT_LIST!$A$2:$G$6633,MATCH($A20,PROJECT_EQUIPMENT_LIST!$A$2:$A$6633,0),7))</f>
        <v/>
      </c>
      <c r="N20" s="125" t="str">
        <f>IF(ISBLANK(P20),"",C20)</f>
        <v/>
      </c>
      <c r="O20" s="125" t="str">
        <f>IF(ISBLANK(P20),"",D20)</f>
        <v/>
      </c>
      <c r="Q20" s="125" t="str">
        <f t="shared" si="7"/>
        <v/>
      </c>
      <c r="R20" s="125" t="str">
        <f>IF(ISBLANK(P20),"",F20)</f>
        <v/>
      </c>
      <c r="S20" s="125" t="str">
        <f>IF(ISBLANK(P20),"",CONCATENATE(Q20," ",N20, "  Model: ",D20,";"," New Qty"," (",R20,")"))</f>
        <v/>
      </c>
    </row>
    <row r="21" spans="1:19" ht="12" customHeight="1" thickBot="1">
      <c r="A21" s="180" t="s">
        <v>143</v>
      </c>
      <c r="B21" s="181"/>
      <c r="C21" s="181"/>
      <c r="D21" s="181"/>
      <c r="E21" s="181"/>
      <c r="F21" s="181"/>
      <c r="G21" s="181"/>
      <c r="H21" s="181"/>
      <c r="I21" s="182">
        <f>ROUND(SUM(H21:H24),PROJECT_SETTINGS!$F$3)</f>
        <v>0</v>
      </c>
      <c r="J21" s="138"/>
      <c r="K21" s="139"/>
    </row>
    <row r="22" spans="1:19" ht="12" customHeight="1" outlineLevel="1">
      <c r="A22" s="140"/>
      <c r="B22" s="141" t="str">
        <f>IF($A22="","",INDEX(PROJECT_EQUIPMENT_LIST!$A$2:$G$6633,MATCH($A22,PROJECT_EQUIPMENT_LIST!$A$2:$A$6633,0),4))</f>
        <v/>
      </c>
      <c r="C22" s="141" t="str">
        <f>IF($A22="","",INDEX(PROJECT_EQUIPMENT_LIST!$A$2:$G$6633,MATCH($A22,PROJECT_EQUIPMENT_LIST!$A$2:$A$6633,0),2))</f>
        <v/>
      </c>
      <c r="D22" s="141" t="str">
        <f>IF($A22="","",INDEX(PROJECT_EQUIPMENT_LIST!$A$2:$G$6633,MATCH($A22,PROJECT_EQUIPMENT_LIST!$A$2:$A$6633,0),3))</f>
        <v/>
      </c>
      <c r="E22" s="141" t="str">
        <f>IF($A22="","",IF(INDEX(PROJECT_EQUIPMENT_LIST!$A$2:$G$6633,MATCH($A22,PROJECT_EQUIPMENT_LIST!$A$2:$A$6633,0),5)&lt;&gt;"",INDEX(PROJECT_EQUIPMENT_LIST!$A$2:$G$6633,MATCH($A22,PROJECT_EQUIPMENT_LIST!$A$2:$A$6633,0),5),""))</f>
        <v/>
      </c>
      <c r="F22" s="142"/>
      <c r="G22" s="143" t="str">
        <f>IF(ISNUMBER(J22)=TRUE,J22*K22,J22)</f>
        <v/>
      </c>
      <c r="H22" s="144" t="str">
        <f t="shared" ref="H22:H24" si="8">IF(ISNUMBER(G22)=TRUE,F22*G22,G22)</f>
        <v/>
      </c>
      <c r="I22" s="145"/>
      <c r="J22" s="141" t="str">
        <f>IF($A22="","",INDEX(PROJECT_EQUIPMENT_LIST!$A$2:$G$6633,MATCH($A22,PROJECT_EQUIPMENT_LIST!$A$2:$A$6633,0),6))</f>
        <v/>
      </c>
      <c r="K22" s="141" t="str">
        <f>IF($A22="","",INDEX(PROJECT_EQUIPMENT_LIST!$A$2:$G$6633,MATCH($A22,PROJECT_EQUIPMENT_LIST!$A$2:$A$6633,0),7))</f>
        <v/>
      </c>
      <c r="N22" s="125" t="str">
        <f>IF(ISBLANK(P22),"",C22)</f>
        <v/>
      </c>
      <c r="O22" s="125" t="str">
        <f>IF(ISBLANK(P22),"",D22)</f>
        <v/>
      </c>
      <c r="Q22" s="125" t="str">
        <f t="shared" ref="Q22:Q24" si="9">IF(ISBLANK(P22),"",(CONCATENATE((IF(P22&lt;R22,"Add","Delete"))," ","(",(ABS(P22-R22)),")")))</f>
        <v/>
      </c>
      <c r="R22" s="125" t="str">
        <f>IF(ISBLANK(P22),"",F22)</f>
        <v/>
      </c>
      <c r="S22" s="125" t="str">
        <f>IF(ISBLANK(P22),"",CONCATENATE(Q22," ",N22, "  Model: ",D22,";"," New Qty"," (",R22,")"))</f>
        <v/>
      </c>
    </row>
    <row r="23" spans="1:19" ht="12" customHeight="1" outlineLevel="1">
      <c r="A23" s="140"/>
      <c r="B23" s="141" t="str">
        <f>IF($A23="","",INDEX(PROJECT_EQUIPMENT_LIST!$A$2:$G$6633,MATCH($A23,PROJECT_EQUIPMENT_LIST!$A$2:$A$6633,0),4))</f>
        <v/>
      </c>
      <c r="C23" s="141" t="str">
        <f>IF($A23="","",INDEX(PROJECT_EQUIPMENT_LIST!$A$2:$G$6633,MATCH($A23,PROJECT_EQUIPMENT_LIST!$A$2:$A$6633,0),2))</f>
        <v/>
      </c>
      <c r="D23" s="141" t="str">
        <f>IF($A23="","",INDEX(PROJECT_EQUIPMENT_LIST!$A$2:$G$6633,MATCH($A23,PROJECT_EQUIPMENT_LIST!$A$2:$A$6633,0),3))</f>
        <v/>
      </c>
      <c r="E23" s="141" t="str">
        <f>IF($A23="","",IF(INDEX(PROJECT_EQUIPMENT_LIST!$A$2:$G$6633,MATCH($A23,PROJECT_EQUIPMENT_LIST!$A$2:$A$6633,0),5)&lt;&gt;"",INDEX(PROJECT_EQUIPMENT_LIST!$A$2:$G$6633,MATCH($A23,PROJECT_EQUIPMENT_LIST!$A$2:$A$6633,0),5),""))</f>
        <v/>
      </c>
      <c r="F23" s="142"/>
      <c r="G23" s="143" t="str">
        <f>IF(ISNUMBER(J23)=TRUE,J23*K23,J23)</f>
        <v/>
      </c>
      <c r="H23" s="144" t="str">
        <f t="shared" si="8"/>
        <v/>
      </c>
      <c r="I23" s="145"/>
      <c r="J23" s="141" t="str">
        <f>IF($A23="","",INDEX(PROJECT_EQUIPMENT_LIST!$A$2:$G$6633,MATCH($A23,PROJECT_EQUIPMENT_LIST!$A$2:$A$6633,0),6))</f>
        <v/>
      </c>
      <c r="K23" s="141" t="str">
        <f>IF($A23="","",INDEX(PROJECT_EQUIPMENT_LIST!$A$2:$G$6633,MATCH($A23,PROJECT_EQUIPMENT_LIST!$A$2:$A$6633,0),7))</f>
        <v/>
      </c>
      <c r="N23" s="125" t="str">
        <f>IF(ISBLANK(P23),"",C23)</f>
        <v/>
      </c>
      <c r="O23" s="125" t="str">
        <f>IF(ISBLANK(P23),"",D23)</f>
        <v/>
      </c>
      <c r="Q23" s="125" t="str">
        <f t="shared" si="9"/>
        <v/>
      </c>
      <c r="R23" s="125" t="str">
        <f>IF(ISBLANK(P23),"",F23)</f>
        <v/>
      </c>
      <c r="S23" s="125" t="str">
        <f>IF(ISBLANK(P23),"",CONCATENATE(Q23," ",N23, "  Model: ",D23,";"," New Qty"," (",R23,")"))</f>
        <v/>
      </c>
    </row>
    <row r="24" spans="1:19" ht="12" customHeight="1" outlineLevel="1" thickBot="1">
      <c r="A24" s="140"/>
      <c r="B24" s="141" t="str">
        <f>IF($A24="","",INDEX(PROJECT_EQUIPMENT_LIST!$A$2:$G$6633,MATCH($A24,PROJECT_EQUIPMENT_LIST!$A$2:$A$6633,0),4))</f>
        <v/>
      </c>
      <c r="C24" s="141" t="str">
        <f>IF($A24="","",INDEX(PROJECT_EQUIPMENT_LIST!$A$2:$G$6633,MATCH($A24,PROJECT_EQUIPMENT_LIST!$A$2:$A$6633,0),2))</f>
        <v/>
      </c>
      <c r="D24" s="141" t="str">
        <f>IF($A24="","",INDEX(PROJECT_EQUIPMENT_LIST!$A$2:$G$6633,MATCH($A24,PROJECT_EQUIPMENT_LIST!$A$2:$A$6633,0),3))</f>
        <v/>
      </c>
      <c r="E24" s="141" t="str">
        <f>IF($A24="","",IF(INDEX(PROJECT_EQUIPMENT_LIST!$A$2:$G$6633,MATCH($A24,PROJECT_EQUIPMENT_LIST!$A$2:$A$6633,0),5)&lt;&gt;"",INDEX(PROJECT_EQUIPMENT_LIST!$A$2:$G$6633,MATCH($A24,PROJECT_EQUIPMENT_LIST!$A$2:$A$6633,0),5),""))</f>
        <v/>
      </c>
      <c r="F24" s="142"/>
      <c r="G24" s="143" t="str">
        <f>IF(ISNUMBER(J24)=TRUE,J24*K24,J24)</f>
        <v/>
      </c>
      <c r="H24" s="144" t="str">
        <f t="shared" si="8"/>
        <v/>
      </c>
      <c r="I24" s="145"/>
      <c r="J24" s="141" t="str">
        <f>IF($A24="","",INDEX(PROJECT_EQUIPMENT_LIST!$A$2:$G$6633,MATCH($A24,PROJECT_EQUIPMENT_LIST!$A$2:$A$6633,0),6))</f>
        <v/>
      </c>
      <c r="K24" s="141" t="str">
        <f>IF($A24="","",INDEX(PROJECT_EQUIPMENT_LIST!$A$2:$G$6633,MATCH($A24,PROJECT_EQUIPMENT_LIST!$A$2:$A$6633,0),7))</f>
        <v/>
      </c>
      <c r="N24" s="125" t="str">
        <f>IF(ISBLANK(P24),"",C24)</f>
        <v/>
      </c>
      <c r="O24" s="125" t="str">
        <f>IF(ISBLANK(P24),"",D24)</f>
        <v/>
      </c>
      <c r="Q24" s="125" t="str">
        <f t="shared" si="9"/>
        <v/>
      </c>
      <c r="R24" s="125" t="str">
        <f>IF(ISBLANK(P24),"",F24)</f>
        <v/>
      </c>
      <c r="S24" s="125" t="str">
        <f>IF(ISBLANK(P24),"",CONCATENATE(Q24," ",N24, "  Model: ",D24,";"," New Qty"," (",R24,")"))</f>
        <v/>
      </c>
    </row>
    <row r="25" spans="1:19" ht="12" customHeight="1" thickBot="1">
      <c r="A25" s="179" t="s">
        <v>144</v>
      </c>
      <c r="B25" s="172"/>
      <c r="C25" s="173"/>
      <c r="D25" s="178" t="s">
        <v>145</v>
      </c>
      <c r="E25" s="174"/>
      <c r="F25" s="175" t="s">
        <v>146</v>
      </c>
      <c r="G25" s="174"/>
      <c r="H25" s="176"/>
      <c r="I25" s="177"/>
      <c r="J25" s="146"/>
      <c r="K25" s="147"/>
    </row>
    <row r="26" spans="1:19" ht="12" customHeight="1" thickBot="1">
      <c r="A26" s="180"/>
      <c r="B26" s="183"/>
      <c r="C26" s="183"/>
      <c r="D26" s="183"/>
      <c r="E26" s="183"/>
      <c r="F26" s="183"/>
      <c r="G26" s="183"/>
      <c r="H26" s="184" t="s">
        <v>147</v>
      </c>
      <c r="I26" s="182">
        <f>SUM(I4:I24)</f>
        <v>0</v>
      </c>
      <c r="J26" s="149"/>
      <c r="K26" s="148"/>
    </row>
    <row r="27" spans="1:19" ht="12" customHeight="1" thickBot="1">
      <c r="A27" s="150"/>
      <c r="B27" s="117"/>
      <c r="C27" s="118"/>
      <c r="D27" s="118"/>
      <c r="E27" s="119"/>
      <c r="F27" s="120"/>
      <c r="G27" s="119"/>
      <c r="H27" s="151" t="s">
        <v>148</v>
      </c>
      <c r="I27" s="152">
        <f>PROJECT_SETTINGS!H3</f>
        <v>0</v>
      </c>
      <c r="J27" s="149"/>
      <c r="K27" s="148"/>
    </row>
    <row r="28" spans="1:19" ht="12" customHeight="1" thickBot="1">
      <c r="A28" s="180"/>
      <c r="B28" s="183"/>
      <c r="C28" s="183"/>
      <c r="D28" s="183"/>
      <c r="E28" s="183"/>
      <c r="F28" s="183"/>
      <c r="G28" s="183"/>
      <c r="H28" s="184" t="s">
        <v>149</v>
      </c>
      <c r="I28" s="182">
        <f>I26*(1-I27)</f>
        <v>0</v>
      </c>
      <c r="J28" s="149"/>
      <c r="K28" s="148"/>
    </row>
    <row r="29" spans="1:19" ht="12" customHeight="1" outlineLevel="1">
      <c r="A29" s="150"/>
      <c r="B29" s="117"/>
      <c r="C29" s="118"/>
      <c r="D29" s="118"/>
      <c r="E29" s="119"/>
      <c r="F29" s="120"/>
      <c r="G29" s="119"/>
      <c r="H29" s="151" t="str">
        <f>PROJECT_SETTINGS!C3</f>
        <v>ENGINEERING</v>
      </c>
      <c r="I29" s="153">
        <f>I28*PROJECT_SETTINGS!$D$3</f>
        <v>0</v>
      </c>
    </row>
    <row r="30" spans="1:19" ht="12" customHeight="1" outlineLevel="1">
      <c r="A30" s="155"/>
      <c r="B30" s="127"/>
      <c r="C30" s="156"/>
      <c r="D30" s="156"/>
      <c r="E30" s="129"/>
      <c r="F30" s="130"/>
      <c r="G30" s="129"/>
      <c r="H30" s="157" t="str">
        <f>PROJECT_SETTINGS!C4</f>
        <v>PROJECT MANAGEMENT</v>
      </c>
      <c r="I30" s="158">
        <f>I28*PROJECT_SETTINGS!$D$4</f>
        <v>0</v>
      </c>
    </row>
    <row r="31" spans="1:19" ht="12" customHeight="1" outlineLevel="1">
      <c r="A31" s="155"/>
      <c r="B31" s="127"/>
      <c r="C31" s="156"/>
      <c r="D31" s="156"/>
      <c r="E31" s="129"/>
      <c r="F31" s="130"/>
      <c r="G31" s="129"/>
      <c r="H31" s="159" t="str">
        <f>PROJECT_SETTINGS!C5</f>
        <v>PRE-INSTALLATION &amp; RACK FABRICATION</v>
      </c>
      <c r="I31" s="158">
        <f>I28*PROJECT_SETTINGS!$D$5</f>
        <v>0</v>
      </c>
    </row>
    <row r="32" spans="1:19" ht="12" customHeight="1" outlineLevel="1">
      <c r="A32" s="155"/>
      <c r="B32" s="127"/>
      <c r="C32" s="156"/>
      <c r="D32" s="156"/>
      <c r="E32" s="129"/>
      <c r="F32" s="130"/>
      <c r="G32" s="129"/>
      <c r="H32" s="159" t="str">
        <f>PROJECT_SETTINGS!C6</f>
        <v>INSTALLATION</v>
      </c>
      <c r="I32" s="158">
        <f>I28*PROJECT_SETTINGS!$D$6</f>
        <v>0</v>
      </c>
    </row>
    <row r="33" spans="1:11" ht="12" customHeight="1" outlineLevel="1">
      <c r="A33" s="155"/>
      <c r="B33" s="127"/>
      <c r="C33" s="156"/>
      <c r="D33" s="156"/>
      <c r="E33" s="129"/>
      <c r="F33" s="130"/>
      <c r="G33" s="129"/>
      <c r="H33" s="159" t="str">
        <f>PROJECT_SETTINGS!C7</f>
        <v>PROGRAMMING</v>
      </c>
      <c r="I33" s="158">
        <f>I28*PROJECT_SETTINGS!$D$7</f>
        <v>0</v>
      </c>
    </row>
    <row r="34" spans="1:11" ht="12" customHeight="1" outlineLevel="1">
      <c r="A34" s="155"/>
      <c r="B34" s="127"/>
      <c r="C34" s="156"/>
      <c r="D34" s="156"/>
      <c r="E34" s="129"/>
      <c r="F34" s="130"/>
      <c r="G34" s="129"/>
      <c r="H34" s="159" t="str">
        <f>PROJECT_SETTINGS!C8</f>
        <v>TAX</v>
      </c>
      <c r="I34" s="158">
        <f>I28*PROJECT_SETTINGS!$D$8</f>
        <v>0</v>
      </c>
    </row>
    <row r="35" spans="1:11" ht="12" customHeight="1" outlineLevel="1" thickBot="1">
      <c r="A35" s="155"/>
      <c r="B35" s="127"/>
      <c r="C35" s="156"/>
      <c r="D35" s="156"/>
      <c r="E35" s="129"/>
      <c r="F35" s="130"/>
      <c r="G35" s="129"/>
      <c r="H35" s="157" t="str">
        <f>PROJECT_SETTINGS!C9</f>
        <v>G&amp;A</v>
      </c>
      <c r="I35" s="160">
        <f>I28*PROJECT_SETTINGS!$D$9</f>
        <v>0</v>
      </c>
    </row>
    <row r="36" spans="1:11" ht="12" customHeight="1" thickBot="1">
      <c r="A36" s="180"/>
      <c r="B36" s="183"/>
      <c r="C36" s="183"/>
      <c r="D36" s="183"/>
      <c r="E36" s="183"/>
      <c r="F36" s="183"/>
      <c r="G36" s="183"/>
      <c r="H36" s="184" t="s">
        <v>150</v>
      </c>
      <c r="I36" s="182">
        <f>ROUND(SUM(I29:I35),PROJECT_SETTINGS!$F$3)</f>
        <v>0</v>
      </c>
      <c r="J36" s="154"/>
      <c r="K36" s="148"/>
    </row>
    <row r="37" spans="1:11" ht="12" customHeight="1" thickBot="1">
      <c r="A37" s="150"/>
      <c r="B37" s="117"/>
      <c r="C37" s="118"/>
      <c r="D37" s="118"/>
      <c r="E37" s="119"/>
      <c r="F37" s="120"/>
      <c r="G37" s="119"/>
      <c r="H37" s="151" t="s">
        <v>151</v>
      </c>
      <c r="I37" s="152">
        <f>PROJECT_SETTINGS!J3</f>
        <v>0</v>
      </c>
      <c r="J37" s="149"/>
      <c r="K37" s="148"/>
    </row>
    <row r="38" spans="1:11" ht="12" customHeight="1" thickBot="1">
      <c r="A38" s="180"/>
      <c r="B38" s="183"/>
      <c r="C38" s="183"/>
      <c r="D38" s="183"/>
      <c r="E38" s="183"/>
      <c r="F38" s="183"/>
      <c r="G38" s="183"/>
      <c r="H38" s="184" t="s">
        <v>152</v>
      </c>
      <c r="I38" s="182">
        <f>(I28+I36)*I37</f>
        <v>0</v>
      </c>
      <c r="J38" s="154"/>
      <c r="K38" s="148"/>
    </row>
    <row r="39" spans="1:11" ht="12" customHeight="1" thickBot="1">
      <c r="A39" s="180"/>
      <c r="B39" s="183"/>
      <c r="C39" s="183"/>
      <c r="D39" s="183"/>
      <c r="E39" s="183"/>
      <c r="F39" s="183"/>
      <c r="G39" s="183"/>
      <c r="H39" s="184" t="s">
        <v>153</v>
      </c>
      <c r="I39" s="182">
        <f>I28+I36+I38</f>
        <v>0</v>
      </c>
      <c r="J39" s="154"/>
      <c r="K39" s="148"/>
    </row>
  </sheetData>
  <autoFilter ref="A4:K39" xr:uid="{836FD004-BD46-4391-91DC-8F0CFC648193}"/>
  <customSheetViews>
    <customSheetView guid="{25B109E7-546D-484A-9932-8EF9F33760F1}" showPageBreaks="1" printArea="1" showAutoFilter="1" hiddenColumns="1" view="pageBreakPreview">
      <pane ySplit="4" topLeftCell="A5" activePane="bottomLeft" state="frozen"/>
      <selection pane="bottomLeft" activeCell="D13" sqref="D13"/>
      <pageMargins left="0.25" right="0.25" top="0.9" bottom="0.75" header="0.3" footer="0.3"/>
      <printOptions horizontalCentered="1"/>
      <pageSetup scale="68" orientation="portrait" r:id="rId1"/>
      <headerFooter>
        <oddHeader>&amp;R&amp;G</oddHeader>
        <oddFooter>&amp;L&amp;"Verdana,Regular"&amp;8Project Name
Project Phase&amp;C&amp;"Verdana,Regular"&amp;8&amp;P of &amp;N&amp;R&amp;"Verdana,Regular"&amp;8
Audiovisal Equipment List
&amp;A</oddFooter>
      </headerFooter>
      <autoFilter ref="A4:AA39" xr:uid="{E55B277F-912E-4D84-9CA0-31D292F9DD6E}"/>
    </customSheetView>
  </customSheetViews>
  <mergeCells count="1">
    <mergeCell ref="M1:S1"/>
  </mergeCells>
  <printOptions horizontalCentered="1"/>
  <pageMargins left="0.25" right="0.25" top="0.9" bottom="0.75" header="0.3" footer="0.3"/>
  <pageSetup scale="68" orientation="portrait" r:id="rId2"/>
  <headerFooter>
    <oddHeader>&amp;R&amp;G</oddHeader>
    <oddFooter>&amp;L&amp;"Verdana,Regular"&amp;8Project Name
Project Phase&amp;C&amp;"Verdana,Regular"&amp;8&amp;P of &amp;N&amp;R&amp;"Verdana,Regular"&amp;8
Audiovisal Equipment List
&amp;A</oddFooter>
  </headerFooter>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F1A85ACA-544F-4CEC-A249-F63CCA65628C}">
          <x14:formula1>
            <xm:f>Issuances!$A$5:$A$54</xm:f>
          </x14:formula1>
          <xm:sqref>M10:M12 M6:M8 M14:M16 M22:M24 M18:M20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3672B-4753-4CE9-B4E5-3CC43CA12BFE}">
  <sheetPr codeName="Sheet6"/>
  <dimension ref="A1:D1"/>
  <sheetViews>
    <sheetView workbookViewId="0">
      <selection activeCell="C7" sqref="C7"/>
    </sheetView>
  </sheetViews>
  <sheetFormatPr defaultRowHeight="14.4"/>
  <cols>
    <col min="1" max="1" width="26.109375" bestFit="1" customWidth="1"/>
    <col min="2" max="2" width="24.21875" customWidth="1"/>
    <col min="3" max="4" width="13.21875" bestFit="1" customWidth="1"/>
  </cols>
  <sheetData>
    <row r="1" spans="1:4">
      <c r="A1" s="109" t="s">
        <v>2111</v>
      </c>
      <c r="B1" s="109" t="s">
        <v>133</v>
      </c>
      <c r="C1" s="109" t="s">
        <v>2112</v>
      </c>
      <c r="D1" s="109" t="s">
        <v>2113</v>
      </c>
    </row>
  </sheetData>
  <customSheetViews>
    <customSheetView guid="{25B109E7-546D-484A-9932-8EF9F33760F1}" state="hidden">
      <selection activeCell="C7" sqref="C7"/>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10A5E-CF81-4435-9BF8-AC81C12FBC2A}">
  <sheetPr codeName="Sheet9"/>
  <dimension ref="A1:D1"/>
  <sheetViews>
    <sheetView workbookViewId="0">
      <selection activeCell="C7" sqref="C7"/>
    </sheetView>
  </sheetViews>
  <sheetFormatPr defaultRowHeight="14.4"/>
  <cols>
    <col min="1" max="1" width="20.5546875" customWidth="1"/>
    <col min="2" max="2" width="29.21875" bestFit="1" customWidth="1"/>
    <col min="3" max="3" width="52.21875" customWidth="1"/>
  </cols>
  <sheetData>
    <row r="1" spans="1:4">
      <c r="A1" s="110" t="s">
        <v>133</v>
      </c>
      <c r="B1" s="110" t="s">
        <v>16</v>
      </c>
      <c r="C1" s="110" t="s">
        <v>17</v>
      </c>
      <c r="D1" s="110" t="s">
        <v>2110</v>
      </c>
    </row>
  </sheetData>
  <autoFilter ref="A1:D3" xr:uid="{56810A5E-CF81-4435-9BF8-AC81C12FBC2A}"/>
  <sortState xmlns:xlrd2="http://schemas.microsoft.com/office/spreadsheetml/2017/richdata2" ref="A2:D3">
    <sortCondition ref="B2:B3"/>
    <sortCondition ref="C2:C3"/>
  </sortState>
  <customSheetViews>
    <customSheetView guid="{25B109E7-546D-484A-9932-8EF9F33760F1}" showAutoFilter="1" state="hidden">
      <selection activeCell="C7" sqref="C7"/>
      <pageMargins left="0.7" right="0.7" top="0.75" bottom="0.75" header="0.3" footer="0.3"/>
      <autoFilter ref="A1:D3" xr:uid="{9F72A336-6FB6-460B-937F-6A219D9DFD22}"/>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E7C1-5FD3-4A31-B33B-E2A5E117A8FE}">
  <sheetPr codeName="Sheet12"/>
  <dimension ref="A1:C55"/>
  <sheetViews>
    <sheetView view="pageBreakPreview" zoomScaleNormal="100" zoomScaleSheetLayoutView="100" workbookViewId="0">
      <selection activeCell="D4" sqref="D4:J4"/>
    </sheetView>
  </sheetViews>
  <sheetFormatPr defaultColWidth="9.109375" defaultRowHeight="10.199999999999999"/>
  <cols>
    <col min="1" max="1" width="19.109375" style="1" customWidth="1"/>
    <col min="2" max="2" width="15.77734375" style="1" customWidth="1"/>
    <col min="3" max="3" width="71.21875" style="1" customWidth="1"/>
    <col min="4" max="4" width="20.77734375" style="1" customWidth="1"/>
    <col min="5" max="5" width="18.21875" style="1" customWidth="1"/>
    <col min="6" max="16384" width="9.109375" style="1"/>
  </cols>
  <sheetData>
    <row r="1" spans="1:3">
      <c r="A1" s="30" t="str">
        <f>Summary!A1</f>
        <v>[PROJECT NAME]</v>
      </c>
      <c r="B1" s="31"/>
      <c r="C1" s="54">
        <f ca="1">NOW()</f>
        <v>46112.777770717592</v>
      </c>
    </row>
    <row r="2" spans="1:3">
      <c r="A2" s="32" t="s">
        <v>161</v>
      </c>
      <c r="B2" s="33"/>
      <c r="C2" s="33"/>
    </row>
    <row r="3" spans="1:3" ht="10.8" thickBot="1">
      <c r="A3" s="46" t="s">
        <v>132</v>
      </c>
    </row>
    <row r="4" spans="1:3" s="24" customFormat="1" ht="10.8" thickBot="1">
      <c r="A4" s="47" t="s">
        <v>134</v>
      </c>
      <c r="B4" s="27" t="s">
        <v>162</v>
      </c>
      <c r="C4" s="27" t="s">
        <v>163</v>
      </c>
    </row>
    <row r="5" spans="1:3" ht="14.4">
      <c r="A5" s="73"/>
      <c r="B5" s="67"/>
      <c r="C5" s="69"/>
    </row>
    <row r="6" spans="1:3" ht="14.4">
      <c r="A6" s="74"/>
      <c r="B6" s="68"/>
      <c r="C6" s="70"/>
    </row>
    <row r="7" spans="1:3" ht="14.4">
      <c r="A7" s="74"/>
      <c r="B7" s="68"/>
      <c r="C7" s="71"/>
    </row>
    <row r="8" spans="1:3" ht="14.4">
      <c r="A8" s="74"/>
      <c r="B8" s="68"/>
      <c r="C8" s="70"/>
    </row>
    <row r="9" spans="1:3" ht="14.4">
      <c r="A9" s="74"/>
      <c r="B9" s="106"/>
      <c r="C9" s="70"/>
    </row>
    <row r="10" spans="1:3" ht="14.4">
      <c r="A10" s="74"/>
      <c r="B10" s="106"/>
      <c r="C10" s="70"/>
    </row>
    <row r="11" spans="1:3" ht="14.4">
      <c r="A11" s="74"/>
      <c r="B11" s="106"/>
      <c r="C11" s="70"/>
    </row>
    <row r="12" spans="1:3" ht="14.4">
      <c r="A12" s="74"/>
      <c r="B12" s="106"/>
      <c r="C12" s="70"/>
    </row>
    <row r="13" spans="1:3" ht="14.4">
      <c r="A13" s="74"/>
      <c r="B13" s="57"/>
      <c r="C13" s="70"/>
    </row>
    <row r="14" spans="1:3" ht="14.4">
      <c r="A14" s="74"/>
      <c r="B14" s="57"/>
      <c r="C14" s="70"/>
    </row>
    <row r="15" spans="1:3" ht="14.4">
      <c r="A15" s="74"/>
      <c r="B15" s="57"/>
      <c r="C15" s="70"/>
    </row>
    <row r="16" spans="1:3" ht="14.4">
      <c r="A16" s="74"/>
      <c r="B16" s="57"/>
      <c r="C16" s="70"/>
    </row>
    <row r="17" spans="1:3" ht="14.4">
      <c r="A17" s="74"/>
      <c r="B17" s="57"/>
      <c r="C17" s="70"/>
    </row>
    <row r="18" spans="1:3" ht="14.4">
      <c r="A18" s="74"/>
      <c r="B18" s="57"/>
      <c r="C18" s="70"/>
    </row>
    <row r="19" spans="1:3" ht="14.4">
      <c r="A19" s="74"/>
      <c r="B19" s="57"/>
      <c r="C19" s="70"/>
    </row>
    <row r="20" spans="1:3" ht="14.4">
      <c r="A20" s="74"/>
      <c r="B20" s="57"/>
      <c r="C20" s="70"/>
    </row>
    <row r="21" spans="1:3" ht="14.4">
      <c r="A21" s="74"/>
      <c r="B21" s="57"/>
      <c r="C21" s="70"/>
    </row>
    <row r="22" spans="1:3" ht="14.4">
      <c r="A22" s="74"/>
      <c r="B22" s="57"/>
      <c r="C22" s="70"/>
    </row>
    <row r="23" spans="1:3" ht="14.4">
      <c r="A23" s="74"/>
      <c r="B23" s="57"/>
      <c r="C23" s="70"/>
    </row>
    <row r="24" spans="1:3" ht="15" customHeight="1">
      <c r="A24" s="74"/>
      <c r="B24" s="57"/>
      <c r="C24" s="70"/>
    </row>
    <row r="25" spans="1:3" ht="14.4">
      <c r="A25" s="74"/>
      <c r="B25" s="57"/>
      <c r="C25" s="70"/>
    </row>
    <row r="26" spans="1:3" ht="14.4">
      <c r="A26" s="74"/>
      <c r="B26" s="57"/>
      <c r="C26" s="70"/>
    </row>
    <row r="27" spans="1:3" ht="14.4">
      <c r="A27" s="74"/>
      <c r="B27" s="57"/>
      <c r="C27" s="70"/>
    </row>
    <row r="28" spans="1:3" ht="14.4">
      <c r="A28" s="74"/>
      <c r="B28" s="57"/>
      <c r="C28" s="70"/>
    </row>
    <row r="29" spans="1:3" ht="14.4">
      <c r="A29" s="74"/>
      <c r="B29" s="57"/>
      <c r="C29" s="70"/>
    </row>
    <row r="30" spans="1:3" ht="14.4">
      <c r="A30" s="74"/>
      <c r="B30" s="57"/>
      <c r="C30" s="70"/>
    </row>
    <row r="31" spans="1:3" ht="14.4">
      <c r="A31" s="74"/>
      <c r="B31" s="57"/>
      <c r="C31" s="70"/>
    </row>
    <row r="32" spans="1:3" ht="14.4">
      <c r="A32" s="74"/>
      <c r="B32" s="57"/>
      <c r="C32" s="70"/>
    </row>
    <row r="33" spans="1:3" ht="14.4">
      <c r="A33" s="74"/>
      <c r="B33" s="57"/>
      <c r="C33" s="70"/>
    </row>
    <row r="34" spans="1:3" ht="14.4">
      <c r="A34" s="74"/>
      <c r="B34" s="106"/>
      <c r="C34" s="70"/>
    </row>
    <row r="35" spans="1:3" ht="14.4">
      <c r="A35" s="74"/>
      <c r="B35" s="57"/>
      <c r="C35" s="70"/>
    </row>
    <row r="36" spans="1:3" ht="14.4">
      <c r="A36" s="74"/>
      <c r="B36" s="57"/>
      <c r="C36" s="70"/>
    </row>
    <row r="37" spans="1:3" ht="14.4">
      <c r="A37" s="74"/>
      <c r="B37" s="57"/>
      <c r="C37" s="70"/>
    </row>
    <row r="38" spans="1:3" ht="14.4">
      <c r="A38" s="74"/>
      <c r="B38" s="57"/>
      <c r="C38" s="70"/>
    </row>
    <row r="39" spans="1:3" ht="14.4">
      <c r="A39" s="74"/>
      <c r="B39" s="57"/>
      <c r="C39" s="70"/>
    </row>
    <row r="40" spans="1:3" ht="14.4">
      <c r="A40" s="74"/>
      <c r="B40" s="57"/>
      <c r="C40" s="70"/>
    </row>
    <row r="41" spans="1:3" ht="14.4">
      <c r="A41" s="74"/>
      <c r="B41" s="57"/>
      <c r="C41" s="70"/>
    </row>
    <row r="42" spans="1:3" ht="14.4">
      <c r="A42" s="74"/>
      <c r="B42" s="57"/>
      <c r="C42" s="70"/>
    </row>
    <row r="43" spans="1:3" ht="14.4">
      <c r="A43" s="74"/>
      <c r="B43" s="57"/>
      <c r="C43" s="70"/>
    </row>
    <row r="44" spans="1:3" ht="14.4">
      <c r="A44" s="74"/>
      <c r="B44" s="57"/>
      <c r="C44" s="70"/>
    </row>
    <row r="45" spans="1:3" ht="14.4">
      <c r="A45" s="74"/>
      <c r="B45" s="57"/>
      <c r="C45" s="70"/>
    </row>
    <row r="46" spans="1:3" ht="14.4">
      <c r="A46" s="74"/>
      <c r="B46" s="57"/>
      <c r="C46" s="70"/>
    </row>
    <row r="47" spans="1:3" ht="14.4">
      <c r="A47" s="74"/>
      <c r="B47" s="57"/>
      <c r="C47" s="70"/>
    </row>
    <row r="48" spans="1:3" ht="14.4">
      <c r="A48" s="74"/>
      <c r="B48" s="57"/>
      <c r="C48" s="70"/>
    </row>
    <row r="49" spans="1:3" ht="14.4">
      <c r="A49" s="74"/>
      <c r="B49" s="57"/>
      <c r="C49" s="70"/>
    </row>
    <row r="50" spans="1:3" ht="14.4">
      <c r="A50" s="74"/>
      <c r="B50" s="57"/>
      <c r="C50" s="70"/>
    </row>
    <row r="51" spans="1:3" ht="14.4">
      <c r="A51" s="74"/>
      <c r="B51" s="57"/>
      <c r="C51" s="70"/>
    </row>
    <row r="52" spans="1:3" ht="14.4">
      <c r="A52" s="74"/>
      <c r="B52" s="57"/>
      <c r="C52" s="70"/>
    </row>
    <row r="53" spans="1:3" ht="14.4">
      <c r="A53" s="74"/>
      <c r="B53" s="57"/>
      <c r="C53" s="70"/>
    </row>
    <row r="54" spans="1:3" ht="15" thickBot="1">
      <c r="A54" s="75"/>
      <c r="B54" s="58"/>
      <c r="C54" s="72"/>
    </row>
    <row r="55" spans="1:3" ht="10.8" thickBot="1">
      <c r="A55" s="38"/>
      <c r="B55" s="39"/>
      <c r="C55" s="40"/>
    </row>
  </sheetData>
  <customSheetViews>
    <customSheetView guid="{25B109E7-546D-484A-9932-8EF9F33760F1}" showPageBreaks="1" printArea="1" view="pageBreakPreview">
      <selection activeCell="C18" sqref="C18"/>
      <pageMargins left="0.7" right="0.7" top="0.75" bottom="0.75" header="0.3" footer="0.3"/>
      <pageSetup scale="84" orientation="portrait" r:id="rId1"/>
      <headerFooter>
        <oddHeader>&amp;R&amp;G</oddHeader>
        <oddFooter>&amp;LProject Name
Project Phase&amp;C&amp;P of &amp;N&amp;R
Audiovisal Equipment List
&amp;A</oddFooter>
      </headerFooter>
    </customSheetView>
  </customSheetViews>
  <pageMargins left="0.7" right="0.7" top="0.75" bottom="0.75" header="0.3" footer="0.3"/>
  <pageSetup scale="84" orientation="portrait" r:id="rId2"/>
  <headerFooter>
    <oddHeader>&amp;R&amp;G</oddHeader>
    <oddFooter>&amp;LProject Name
Project Phase&amp;C&amp;P of &amp;N&amp;R
Audiovisal Equipment List
&amp;A</oddFooter>
  </headerFooter>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15"/>
  <sheetViews>
    <sheetView view="pageBreakPreview" zoomScaleNormal="100" zoomScaleSheetLayoutView="100" workbookViewId="0">
      <pane ySplit="4" topLeftCell="A5" activePane="bottomLeft" state="frozen"/>
      <selection pane="bottomLeft" activeCell="M4" sqref="M4:S4"/>
    </sheetView>
  </sheetViews>
  <sheetFormatPr defaultColWidth="9.109375" defaultRowHeight="10.199999999999999"/>
  <cols>
    <col min="1" max="1" width="4.77734375" style="1" customWidth="1"/>
    <col min="2" max="2" width="25.77734375" style="1" bestFit="1" customWidth="1"/>
    <col min="3" max="3" width="30.77734375" style="1" customWidth="1"/>
    <col min="4" max="4" width="10.77734375" style="1" customWidth="1"/>
    <col min="5" max="5" width="10.77734375" style="37" customWidth="1"/>
    <col min="6" max="6" width="10.77734375" style="1" customWidth="1"/>
    <col min="7" max="7" width="10.77734375" style="37" customWidth="1"/>
    <col min="8" max="8" width="12.109375" style="37" customWidth="1"/>
    <col min="9" max="9" width="12.5546875" style="37" customWidth="1"/>
    <col min="10" max="10" width="11.77734375" style="1" customWidth="1"/>
    <col min="11" max="11" width="5.77734375" style="37" customWidth="1"/>
    <col min="12" max="12" width="12.77734375" style="1" customWidth="1"/>
    <col min="13" max="13" width="9.109375" style="1"/>
    <col min="14" max="14" width="18.21875" style="1" customWidth="1"/>
    <col min="15" max="16384" width="9.109375" style="1"/>
  </cols>
  <sheetData>
    <row r="1" spans="1:12">
      <c r="A1" s="30" t="str">
        <f>PROJECT_SETTINGS!A3</f>
        <v>[PROJECT NAME]</v>
      </c>
      <c r="B1" s="31"/>
      <c r="C1" s="31"/>
      <c r="D1" s="31"/>
      <c r="E1" s="35"/>
      <c r="F1" s="31"/>
      <c r="G1" s="35"/>
      <c r="H1" s="35"/>
      <c r="I1" s="35"/>
      <c r="J1" s="31"/>
      <c r="K1" s="35"/>
      <c r="L1" s="54">
        <f ca="1">NOW()</f>
        <v>46112.777770717592</v>
      </c>
    </row>
    <row r="2" spans="1:12">
      <c r="A2" s="32" t="s">
        <v>154</v>
      </c>
      <c r="B2" s="33"/>
      <c r="C2" s="33"/>
      <c r="D2" s="33"/>
      <c r="E2" s="36"/>
      <c r="F2" s="33"/>
      <c r="G2" s="36"/>
      <c r="H2" s="36"/>
      <c r="I2" s="36"/>
      <c r="J2" s="33"/>
      <c r="K2" s="36"/>
      <c r="L2" s="34"/>
    </row>
    <row r="3" spans="1:12" ht="10.8" thickBot="1">
      <c r="A3" s="46" t="s">
        <v>132</v>
      </c>
      <c r="L3" s="28"/>
    </row>
    <row r="4" spans="1:12" s="24" customFormat="1" ht="21" thickBot="1">
      <c r="A4" s="47"/>
      <c r="B4" s="27" t="s">
        <v>155</v>
      </c>
      <c r="C4" s="27" t="s">
        <v>156</v>
      </c>
      <c r="D4" s="27" t="s">
        <v>157</v>
      </c>
      <c r="E4" s="27" t="s">
        <v>148</v>
      </c>
      <c r="F4" s="27" t="s">
        <v>184</v>
      </c>
      <c r="G4" s="27" t="s">
        <v>158</v>
      </c>
      <c r="H4" s="27" t="s">
        <v>185</v>
      </c>
      <c r="I4" s="27" t="s">
        <v>186</v>
      </c>
      <c r="J4" s="27" t="s">
        <v>159</v>
      </c>
      <c r="K4" s="27" t="s">
        <v>19</v>
      </c>
      <c r="L4" s="29" t="s">
        <v>160</v>
      </c>
    </row>
    <row r="5" spans="1:12" ht="15" thickBot="1">
      <c r="A5" s="73"/>
      <c r="B5" s="105"/>
      <c r="C5" s="185"/>
      <c r="D5" s="76"/>
      <c r="E5" s="97"/>
      <c r="F5" s="76"/>
      <c r="G5" s="95"/>
      <c r="H5" s="97"/>
      <c r="I5" s="95"/>
      <c r="J5" s="76">
        <f t="shared" ref="J5:J7" si="0">SUM(F5,G5,I5)</f>
        <v>0</v>
      </c>
      <c r="K5" s="94"/>
      <c r="L5" s="77">
        <f t="shared" ref="L5:L7" si="1">J5*K5</f>
        <v>0</v>
      </c>
    </row>
    <row r="6" spans="1:12" ht="15" thickBot="1">
      <c r="A6" s="73"/>
      <c r="B6" s="105"/>
      <c r="C6" s="185"/>
      <c r="D6" s="76"/>
      <c r="E6" s="97"/>
      <c r="F6" s="76"/>
      <c r="G6" s="95"/>
      <c r="H6" s="97"/>
      <c r="I6" s="95"/>
      <c r="J6" s="76">
        <f t="shared" ref="J6" si="2">SUM(F6,G6,I6)</f>
        <v>0</v>
      </c>
      <c r="K6" s="94"/>
      <c r="L6" s="77">
        <f t="shared" ref="L6" si="3">J6*K6</f>
        <v>0</v>
      </c>
    </row>
    <row r="7" spans="1:12" ht="15" thickBot="1">
      <c r="A7" s="73"/>
      <c r="B7" s="105"/>
      <c r="C7" s="185"/>
      <c r="D7" s="76"/>
      <c r="E7" s="97"/>
      <c r="F7" s="76"/>
      <c r="G7" s="95"/>
      <c r="H7" s="97"/>
      <c r="I7" s="95"/>
      <c r="J7" s="76">
        <f t="shared" si="0"/>
        <v>0</v>
      </c>
      <c r="K7" s="94"/>
      <c r="L7" s="77">
        <f t="shared" si="1"/>
        <v>0</v>
      </c>
    </row>
    <row r="8" spans="1:12" ht="10.8" thickBot="1">
      <c r="A8" s="38"/>
      <c r="B8" s="39"/>
      <c r="C8" s="40"/>
      <c r="D8" s="41"/>
      <c r="E8" s="93"/>
      <c r="F8" s="41"/>
      <c r="G8" s="93"/>
      <c r="H8" s="93"/>
      <c r="I8" s="93"/>
      <c r="J8" s="39"/>
      <c r="K8" s="42"/>
      <c r="L8" s="43"/>
    </row>
    <row r="9" spans="1:12">
      <c r="A9" s="111"/>
      <c r="B9" s="114"/>
      <c r="C9" s="114"/>
      <c r="D9" s="114"/>
      <c r="E9" s="114"/>
      <c r="F9" s="114"/>
      <c r="G9" s="114"/>
      <c r="H9" s="114"/>
      <c r="I9" s="114"/>
      <c r="J9" s="114"/>
      <c r="K9" s="113" t="s">
        <v>147</v>
      </c>
      <c r="L9" s="112">
        <f>SUMPRODUCT(F5:F7,K5:K7)</f>
        <v>0</v>
      </c>
    </row>
    <row r="10" spans="1:12" ht="10.8" thickBot="1">
      <c r="A10" s="44"/>
      <c r="B10" s="78"/>
      <c r="C10" s="78"/>
      <c r="D10" s="78"/>
      <c r="E10" s="79"/>
      <c r="F10" s="78"/>
      <c r="G10" s="79"/>
      <c r="H10" s="79"/>
      <c r="I10" s="79"/>
      <c r="J10" s="78"/>
      <c r="K10" s="96"/>
      <c r="L10" s="45"/>
    </row>
    <row r="11" spans="1:12">
      <c r="A11" s="111"/>
      <c r="B11" s="114"/>
      <c r="C11" s="114"/>
      <c r="D11" s="114"/>
      <c r="E11" s="114"/>
      <c r="F11" s="114"/>
      <c r="G11" s="114"/>
      <c r="H11" s="114"/>
      <c r="I11" s="114"/>
      <c r="J11" s="114"/>
      <c r="K11" s="113" t="s">
        <v>150</v>
      </c>
      <c r="L11" s="112">
        <f>SUMPRODUCT(G5:G7,K5:K7)</f>
        <v>0</v>
      </c>
    </row>
    <row r="12" spans="1:12" ht="10.8" thickBot="1">
      <c r="A12" s="44"/>
      <c r="B12" s="78"/>
      <c r="C12" s="78"/>
      <c r="D12" s="78"/>
      <c r="E12" s="79"/>
      <c r="F12" s="78"/>
      <c r="G12" s="79"/>
      <c r="H12" s="79"/>
      <c r="I12" s="79"/>
      <c r="J12" s="78"/>
      <c r="K12" s="96"/>
      <c r="L12" s="45"/>
    </row>
    <row r="13" spans="1:12">
      <c r="A13" s="111"/>
      <c r="B13" s="114"/>
      <c r="C13" s="114"/>
      <c r="D13" s="114"/>
      <c r="E13" s="114"/>
      <c r="F13" s="114"/>
      <c r="G13" s="114"/>
      <c r="H13" s="114"/>
      <c r="I13" s="114"/>
      <c r="J13" s="114"/>
      <c r="K13" s="113" t="s">
        <v>183</v>
      </c>
      <c r="L13" s="112">
        <f>SUMPRODUCT(I5:I7,K5:K7)</f>
        <v>0</v>
      </c>
    </row>
    <row r="14" spans="1:12" ht="10.8" thickBot="1">
      <c r="A14" s="44"/>
      <c r="B14" s="78"/>
      <c r="C14" s="78"/>
      <c r="D14" s="78"/>
      <c r="E14" s="79"/>
      <c r="F14" s="78"/>
      <c r="G14" s="79"/>
      <c r="H14" s="79"/>
      <c r="I14" s="79"/>
      <c r="J14" s="78"/>
      <c r="K14" s="96"/>
      <c r="L14" s="45"/>
    </row>
    <row r="15" spans="1:12">
      <c r="A15" s="111"/>
      <c r="B15" s="114"/>
      <c r="C15" s="114"/>
      <c r="D15" s="114"/>
      <c r="E15" s="114"/>
      <c r="F15" s="114"/>
      <c r="G15" s="114"/>
      <c r="H15" s="114"/>
      <c r="I15" s="114"/>
      <c r="J15" s="114"/>
      <c r="K15" s="113" t="s">
        <v>153</v>
      </c>
      <c r="L15" s="112">
        <f>L9+L11+L13</f>
        <v>0</v>
      </c>
    </row>
  </sheetData>
  <dataConsolidate/>
  <customSheetViews>
    <customSheetView guid="{25B109E7-546D-484A-9932-8EF9F33760F1}" showPageBreaks="1" printArea="1" view="pageBreakPreview">
      <pane ySplit="4" topLeftCell="A5" activePane="bottomLeft" state="frozen"/>
      <selection pane="bottomLeft" activeCell="J27" sqref="J27"/>
      <pageMargins left="0.25" right="0.25" top="0.9" bottom="0.75" header="0.3" footer="0.3"/>
      <printOptions horizontalCentered="1"/>
      <pageSetup scale="64" orientation="portrait" r:id="rId1"/>
      <headerFooter>
        <oddHeader>&amp;R&amp;G</oddHeader>
        <oddFooter>&amp;L&amp;"Verdana,Regular"&amp;8Project Name
Project Number&amp;C&amp;"Verdana,Regular"&amp;8&amp;P of &amp;N&amp;R&amp;"Verdana,Regular"&amp;8
Audiovisal Equipment List
&amp;A</oddFooter>
      </headerFooter>
    </customSheetView>
  </customSheetViews>
  <printOptions horizontalCentered="1"/>
  <pageMargins left="0.25" right="0.25" top="0.9" bottom="0.75" header="0.3" footer="0.3"/>
  <pageSetup scale="63" orientation="portrait" r:id="rId2"/>
  <headerFooter>
    <oddHeader>&amp;R&amp;G</oddHeader>
    <oddFooter>&amp;L&amp;"Verdana,Regular"&amp;8Project Name
Project Number&amp;C&amp;"Verdana,Regular"&amp;8&amp;P of &amp;N&amp;R&amp;"Verdana,Regular"&amp;8
Audiovisal Equipment List
&amp;A</oddFooter>
  </headerFooter>
  <legacyDrawingHF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5BAE9-A09A-4E92-B9E0-87BF22DDF474}">
  <sheetPr codeName="Sheet10"/>
  <dimension ref="A1:H206"/>
  <sheetViews>
    <sheetView view="pageBreakPreview" zoomScaleNormal="100" zoomScaleSheetLayoutView="100" workbookViewId="0">
      <selection activeCell="A5" sqref="A5:XFD5"/>
    </sheetView>
  </sheetViews>
  <sheetFormatPr defaultRowHeight="14.4"/>
  <cols>
    <col min="1" max="2" width="26.77734375" style="24" customWidth="1"/>
    <col min="3" max="3" width="15.77734375" style="21" customWidth="1"/>
    <col min="4" max="4" width="20.77734375" style="21" customWidth="1"/>
    <col min="5" max="5" width="4.77734375" style="3" customWidth="1"/>
    <col min="6" max="6" width="50.109375" style="3" customWidth="1"/>
    <col min="7" max="7" width="4.77734375" style="2" customWidth="1"/>
    <col min="8" max="8" width="87" style="3" customWidth="1"/>
  </cols>
  <sheetData>
    <row r="1" spans="1:8">
      <c r="A1" s="9" t="str">
        <f>Summary!A1</f>
        <v>[PROJECT NAME]</v>
      </c>
      <c r="B1" s="9"/>
      <c r="C1" s="17"/>
      <c r="D1" s="17"/>
      <c r="E1" s="10"/>
      <c r="F1" s="10"/>
      <c r="G1" s="14"/>
      <c r="H1" s="11">
        <f ca="1">NOW()</f>
        <v>46112.777770717592</v>
      </c>
    </row>
    <row r="2" spans="1:8">
      <c r="A2" s="12" t="str">
        <f ca="1">MID(CELL("filename",A1),FIND("]",CELL("filename",A1))+1,255)</f>
        <v>Revision List</v>
      </c>
      <c r="B2" s="12"/>
      <c r="C2" s="56"/>
      <c r="D2" s="15"/>
      <c r="E2" s="13"/>
      <c r="F2" s="13"/>
      <c r="G2" s="15"/>
      <c r="H2" s="13"/>
    </row>
    <row r="3" spans="1:8" ht="15" thickBot="1">
      <c r="A3" s="46" t="s">
        <v>132</v>
      </c>
    </row>
    <row r="4" spans="1:8" ht="21" thickBot="1">
      <c r="A4" s="18" t="s">
        <v>25</v>
      </c>
      <c r="B4" s="18" t="s">
        <v>134</v>
      </c>
      <c r="C4" s="18" t="s">
        <v>16</v>
      </c>
      <c r="D4" s="18" t="s">
        <v>17</v>
      </c>
      <c r="E4" s="18" t="s">
        <v>135</v>
      </c>
      <c r="F4" s="18" t="s">
        <v>136</v>
      </c>
      <c r="G4" s="18" t="s">
        <v>164</v>
      </c>
      <c r="H4" s="18" t="s">
        <v>138</v>
      </c>
    </row>
    <row r="5" spans="1:8" ht="15" thickBot="1">
      <c r="A5" s="107"/>
      <c r="B5" s="107"/>
      <c r="C5" s="107"/>
      <c r="D5" s="107"/>
      <c r="E5" s="107"/>
      <c r="F5" s="107"/>
      <c r="G5" s="107"/>
      <c r="H5" s="107"/>
    </row>
    <row r="6" spans="1:8">
      <c r="A6" s="23"/>
      <c r="B6" s="23"/>
      <c r="C6" s="19"/>
      <c r="D6" s="19"/>
      <c r="E6" s="6"/>
      <c r="F6" s="7"/>
      <c r="G6" s="8"/>
      <c r="H6" s="7"/>
    </row>
    <row r="7" spans="1:8">
      <c r="A7" s="23"/>
      <c r="B7" s="23"/>
      <c r="C7" s="19"/>
      <c r="D7" s="19"/>
      <c r="E7" s="6"/>
      <c r="F7" s="7"/>
      <c r="G7" s="8"/>
      <c r="H7" s="7"/>
    </row>
    <row r="8" spans="1:8">
      <c r="A8" s="23"/>
      <c r="B8" s="23"/>
      <c r="C8" s="19"/>
      <c r="D8" s="19"/>
      <c r="E8" s="6"/>
      <c r="F8" s="7"/>
      <c r="G8" s="8"/>
      <c r="H8" s="7"/>
    </row>
    <row r="9" spans="1:8">
      <c r="A9" s="62"/>
      <c r="B9" s="50"/>
      <c r="C9" s="51"/>
      <c r="D9" s="51"/>
      <c r="E9" s="48"/>
      <c r="F9" s="48"/>
      <c r="G9" s="49"/>
      <c r="H9" s="63"/>
    </row>
    <row r="10" spans="1:8">
      <c r="A10" s="62"/>
      <c r="B10" s="50"/>
      <c r="C10" s="51"/>
      <c r="D10" s="51"/>
      <c r="E10" s="48"/>
      <c r="F10" s="48"/>
      <c r="G10" s="49"/>
      <c r="H10" s="63"/>
    </row>
    <row r="11" spans="1:8">
      <c r="A11" s="62"/>
      <c r="B11" s="50"/>
      <c r="C11" s="51"/>
      <c r="D11" s="51"/>
      <c r="E11" s="48"/>
      <c r="F11" s="48"/>
      <c r="G11" s="49"/>
      <c r="H11" s="63"/>
    </row>
    <row r="12" spans="1:8">
      <c r="A12" s="62"/>
      <c r="B12" s="50"/>
      <c r="C12" s="51"/>
      <c r="D12" s="51"/>
      <c r="E12" s="48"/>
      <c r="F12" s="48"/>
      <c r="G12" s="49"/>
      <c r="H12" s="63"/>
    </row>
    <row r="13" spans="1:8">
      <c r="A13" s="64"/>
      <c r="B13" s="48"/>
      <c r="C13" s="48"/>
      <c r="D13" s="48"/>
      <c r="E13" s="48"/>
      <c r="F13" s="48"/>
      <c r="G13" s="48"/>
      <c r="H13" s="63"/>
    </row>
    <row r="14" spans="1:8">
      <c r="A14" s="62"/>
      <c r="B14" s="50"/>
      <c r="C14" s="51"/>
      <c r="D14" s="51"/>
      <c r="E14" s="48"/>
      <c r="F14" s="48"/>
      <c r="G14" s="49"/>
      <c r="H14" s="63"/>
    </row>
    <row r="15" spans="1:8">
      <c r="A15" s="62"/>
      <c r="B15" s="50"/>
      <c r="C15" s="51"/>
      <c r="D15" s="51"/>
      <c r="E15" s="48"/>
      <c r="F15" s="48"/>
      <c r="G15" s="49"/>
      <c r="H15" s="63"/>
    </row>
    <row r="16" spans="1:8">
      <c r="A16" s="62"/>
      <c r="B16" s="50"/>
      <c r="C16" s="51"/>
      <c r="D16" s="51"/>
      <c r="E16" s="48"/>
      <c r="F16" s="48"/>
      <c r="G16" s="49"/>
      <c r="H16" s="63"/>
    </row>
    <row r="17" spans="1:8">
      <c r="A17" s="62"/>
      <c r="B17" s="50"/>
      <c r="C17" s="51"/>
      <c r="D17" s="51"/>
      <c r="E17" s="48"/>
      <c r="F17" s="48"/>
      <c r="G17" s="49"/>
      <c r="H17" s="63"/>
    </row>
    <row r="18" spans="1:8">
      <c r="A18" s="62"/>
      <c r="B18" s="50"/>
      <c r="C18" s="51"/>
      <c r="D18" s="51"/>
      <c r="E18" s="48"/>
      <c r="F18" s="48"/>
      <c r="G18" s="49"/>
      <c r="H18" s="63"/>
    </row>
    <row r="19" spans="1:8">
      <c r="A19" s="62"/>
      <c r="B19" s="50"/>
      <c r="C19" s="51"/>
      <c r="D19" s="51"/>
      <c r="E19" s="48"/>
      <c r="F19" s="48"/>
      <c r="G19" s="49"/>
      <c r="H19" s="63"/>
    </row>
    <row r="20" spans="1:8">
      <c r="A20" s="62"/>
      <c r="B20" s="50"/>
      <c r="C20" s="51"/>
      <c r="D20" s="51"/>
      <c r="E20" s="48"/>
      <c r="F20" s="48"/>
      <c r="G20" s="49"/>
      <c r="H20" s="63"/>
    </row>
    <row r="21" spans="1:8">
      <c r="A21" s="62"/>
      <c r="B21" s="50"/>
      <c r="C21" s="51"/>
      <c r="D21" s="51"/>
      <c r="E21" s="48"/>
      <c r="F21" s="48"/>
      <c r="G21" s="49"/>
      <c r="H21" s="63"/>
    </row>
    <row r="22" spans="1:8">
      <c r="A22" s="62"/>
      <c r="B22" s="50"/>
      <c r="C22" s="51"/>
      <c r="D22" s="51"/>
      <c r="E22" s="48"/>
      <c r="F22" s="48"/>
      <c r="G22" s="49"/>
      <c r="H22" s="63"/>
    </row>
    <row r="23" spans="1:8">
      <c r="A23" s="62"/>
      <c r="B23" s="50"/>
      <c r="C23" s="51"/>
      <c r="D23" s="51"/>
      <c r="E23" s="48"/>
      <c r="F23" s="48"/>
      <c r="G23" s="49"/>
      <c r="H23" s="63"/>
    </row>
    <row r="24" spans="1:8">
      <c r="A24" s="62"/>
      <c r="B24" s="50"/>
      <c r="C24" s="51"/>
      <c r="D24" s="51"/>
      <c r="E24" s="48"/>
      <c r="F24" s="48"/>
      <c r="G24" s="49"/>
      <c r="H24" s="63"/>
    </row>
    <row r="25" spans="1:8">
      <c r="A25" s="62"/>
      <c r="B25" s="50"/>
      <c r="C25" s="51"/>
      <c r="D25" s="51"/>
      <c r="E25" s="48"/>
      <c r="F25" s="48"/>
      <c r="G25" s="49"/>
      <c r="H25" s="63"/>
    </row>
    <row r="26" spans="1:8">
      <c r="A26" s="62"/>
      <c r="B26" s="50"/>
      <c r="C26" s="51"/>
      <c r="D26" s="51"/>
      <c r="E26" s="48"/>
      <c r="F26" s="48"/>
      <c r="G26" s="49"/>
      <c r="H26" s="63"/>
    </row>
    <row r="27" spans="1:8">
      <c r="A27" s="62"/>
      <c r="B27" s="50"/>
      <c r="C27" s="51"/>
      <c r="D27" s="51"/>
      <c r="E27" s="48"/>
      <c r="F27" s="48"/>
      <c r="G27" s="49"/>
      <c r="H27" s="63"/>
    </row>
    <row r="28" spans="1:8">
      <c r="A28" s="62"/>
      <c r="B28" s="50"/>
      <c r="C28" s="51"/>
      <c r="D28" s="51"/>
      <c r="E28" s="48"/>
      <c r="F28" s="48"/>
      <c r="G28" s="49"/>
      <c r="H28" s="63"/>
    </row>
    <row r="29" spans="1:8">
      <c r="A29" s="62"/>
      <c r="B29" s="50"/>
      <c r="C29" s="51"/>
      <c r="D29" s="51"/>
      <c r="E29" s="48"/>
      <c r="F29" s="48"/>
      <c r="G29" s="49"/>
      <c r="H29" s="63"/>
    </row>
    <row r="30" spans="1:8">
      <c r="A30" s="62"/>
      <c r="B30" s="50"/>
      <c r="C30" s="51"/>
      <c r="D30" s="51"/>
      <c r="E30" s="48"/>
      <c r="F30" s="48"/>
      <c r="G30" s="49"/>
      <c r="H30" s="63"/>
    </row>
    <row r="31" spans="1:8">
      <c r="A31" s="62"/>
      <c r="B31" s="50"/>
      <c r="C31" s="51"/>
      <c r="D31" s="51"/>
      <c r="E31" s="48"/>
      <c r="F31" s="48"/>
      <c r="G31" s="49"/>
      <c r="H31" s="63"/>
    </row>
    <row r="32" spans="1:8">
      <c r="A32" s="62"/>
      <c r="B32" s="50"/>
      <c r="C32" s="51"/>
      <c r="D32" s="51"/>
      <c r="E32" s="48"/>
      <c r="F32" s="48"/>
      <c r="G32" s="49"/>
      <c r="H32" s="63"/>
    </row>
    <row r="33" spans="1:8">
      <c r="A33" s="62"/>
      <c r="B33" s="50"/>
      <c r="C33" s="51"/>
      <c r="D33" s="51"/>
      <c r="E33" s="48"/>
      <c r="F33" s="48"/>
      <c r="G33" s="49"/>
      <c r="H33" s="63"/>
    </row>
    <row r="34" spans="1:8">
      <c r="A34" s="62"/>
      <c r="B34" s="50"/>
      <c r="C34" s="51"/>
      <c r="D34" s="51"/>
      <c r="E34" s="48"/>
      <c r="F34" s="48"/>
      <c r="G34" s="49"/>
      <c r="H34" s="63"/>
    </row>
    <row r="35" spans="1:8">
      <c r="A35" s="62"/>
      <c r="B35" s="50"/>
      <c r="C35" s="51"/>
      <c r="D35" s="51"/>
      <c r="E35" s="48"/>
      <c r="F35" s="48"/>
      <c r="G35" s="49"/>
      <c r="H35" s="63"/>
    </row>
    <row r="36" spans="1:8">
      <c r="A36" s="62"/>
      <c r="B36" s="50"/>
      <c r="C36" s="51"/>
      <c r="D36" s="51"/>
      <c r="E36" s="48"/>
      <c r="F36" s="48"/>
      <c r="G36" s="49"/>
      <c r="H36" s="63"/>
    </row>
    <row r="37" spans="1:8">
      <c r="A37" s="62"/>
      <c r="B37" s="50"/>
      <c r="C37" s="51"/>
      <c r="D37" s="51"/>
      <c r="E37" s="48"/>
      <c r="F37" s="48"/>
      <c r="G37" s="49"/>
      <c r="H37" s="63"/>
    </row>
    <row r="38" spans="1:8">
      <c r="A38" s="62"/>
      <c r="B38" s="50"/>
      <c r="C38" s="51"/>
      <c r="D38" s="51"/>
      <c r="E38" s="48"/>
      <c r="F38" s="48"/>
      <c r="G38" s="49"/>
      <c r="H38" s="63"/>
    </row>
    <row r="39" spans="1:8">
      <c r="A39" s="62"/>
      <c r="B39" s="50"/>
      <c r="C39" s="51"/>
      <c r="D39" s="51"/>
      <c r="E39" s="48"/>
      <c r="F39" s="48"/>
      <c r="G39" s="49"/>
      <c r="H39" s="63"/>
    </row>
    <row r="40" spans="1:8">
      <c r="A40" s="62"/>
      <c r="B40" s="50"/>
      <c r="C40" s="51"/>
      <c r="D40" s="51"/>
      <c r="E40" s="48"/>
      <c r="F40" s="48"/>
      <c r="G40" s="49"/>
      <c r="H40" s="63"/>
    </row>
    <row r="41" spans="1:8">
      <c r="A41" s="62"/>
      <c r="B41" s="50"/>
      <c r="C41" s="51"/>
      <c r="D41" s="51"/>
      <c r="E41" s="48"/>
      <c r="F41" s="48"/>
      <c r="G41" s="49"/>
      <c r="H41" s="63"/>
    </row>
    <row r="42" spans="1:8">
      <c r="A42" s="62"/>
      <c r="B42" s="50"/>
      <c r="C42" s="51"/>
      <c r="D42" s="51"/>
      <c r="E42" s="48"/>
      <c r="F42" s="48"/>
      <c r="G42" s="49"/>
      <c r="H42" s="63"/>
    </row>
    <row r="43" spans="1:8">
      <c r="A43" s="62"/>
      <c r="B43" s="50"/>
      <c r="C43" s="51"/>
      <c r="D43" s="51"/>
      <c r="E43" s="48"/>
      <c r="F43" s="48"/>
      <c r="G43" s="49"/>
      <c r="H43" s="63"/>
    </row>
    <row r="44" spans="1:8">
      <c r="A44" s="62"/>
      <c r="B44" s="50"/>
      <c r="C44" s="51"/>
      <c r="D44" s="51"/>
      <c r="E44" s="48"/>
      <c r="F44" s="48"/>
      <c r="G44" s="49"/>
      <c r="H44" s="63"/>
    </row>
    <row r="45" spans="1:8">
      <c r="A45" s="62"/>
      <c r="B45" s="50"/>
      <c r="C45" s="51"/>
      <c r="D45" s="51"/>
      <c r="E45" s="48"/>
      <c r="F45" s="48"/>
      <c r="G45" s="49"/>
      <c r="H45" s="63"/>
    </row>
    <row r="46" spans="1:8">
      <c r="A46" s="62"/>
      <c r="B46" s="50"/>
      <c r="C46" s="51"/>
      <c r="D46" s="51"/>
      <c r="E46" s="48"/>
      <c r="F46" s="48"/>
      <c r="G46" s="49"/>
      <c r="H46" s="63"/>
    </row>
    <row r="47" spans="1:8">
      <c r="A47" s="62"/>
      <c r="B47" s="50"/>
      <c r="C47" s="51"/>
      <c r="D47" s="51"/>
      <c r="E47" s="48"/>
      <c r="F47" s="48"/>
      <c r="G47" s="49"/>
      <c r="H47" s="63"/>
    </row>
    <row r="48" spans="1:8">
      <c r="A48" s="62"/>
      <c r="B48" s="50"/>
      <c r="C48" s="51"/>
      <c r="D48" s="51"/>
      <c r="E48" s="48"/>
      <c r="F48" s="48"/>
      <c r="G48" s="49"/>
      <c r="H48" s="63"/>
    </row>
    <row r="49" spans="1:8">
      <c r="A49" s="62"/>
      <c r="B49" s="50"/>
      <c r="C49" s="51"/>
      <c r="D49" s="51"/>
      <c r="E49" s="48"/>
      <c r="F49" s="48"/>
      <c r="G49" s="49"/>
      <c r="H49" s="63"/>
    </row>
    <row r="50" spans="1:8">
      <c r="A50" s="62"/>
      <c r="B50" s="50"/>
      <c r="C50" s="51"/>
      <c r="D50" s="51"/>
      <c r="E50" s="48"/>
      <c r="F50" s="48"/>
      <c r="G50" s="49"/>
      <c r="H50" s="63"/>
    </row>
    <row r="51" spans="1:8">
      <c r="A51" s="62"/>
      <c r="B51" s="50"/>
      <c r="C51" s="51"/>
      <c r="D51" s="51"/>
      <c r="E51" s="48"/>
      <c r="F51" s="48"/>
      <c r="G51" s="49"/>
      <c r="H51" s="63"/>
    </row>
    <row r="52" spans="1:8">
      <c r="A52" s="62"/>
      <c r="B52" s="50"/>
      <c r="C52" s="51"/>
      <c r="D52" s="51"/>
      <c r="E52" s="48"/>
      <c r="F52" s="48"/>
      <c r="G52" s="49"/>
      <c r="H52" s="63"/>
    </row>
    <row r="53" spans="1:8">
      <c r="A53" s="62"/>
      <c r="B53" s="50"/>
      <c r="C53" s="51"/>
      <c r="D53" s="51"/>
      <c r="E53" s="48"/>
      <c r="F53" s="48"/>
      <c r="G53" s="49"/>
      <c r="H53" s="63"/>
    </row>
    <row r="54" spans="1:8">
      <c r="A54" s="62"/>
      <c r="B54" s="50"/>
      <c r="C54" s="51"/>
      <c r="D54" s="51"/>
      <c r="E54" s="48"/>
      <c r="F54" s="48"/>
      <c r="G54" s="49"/>
      <c r="H54" s="63"/>
    </row>
    <row r="55" spans="1:8">
      <c r="A55" s="62"/>
      <c r="B55" s="50"/>
      <c r="C55" s="51"/>
      <c r="D55" s="51"/>
      <c r="E55" s="48"/>
      <c r="F55" s="48"/>
      <c r="G55" s="49"/>
      <c r="H55" s="63"/>
    </row>
    <row r="56" spans="1:8">
      <c r="A56" s="62"/>
      <c r="B56" s="50"/>
      <c r="C56" s="51"/>
      <c r="D56" s="51"/>
      <c r="E56" s="48"/>
      <c r="F56" s="48"/>
      <c r="G56" s="49"/>
      <c r="H56" s="63"/>
    </row>
    <row r="57" spans="1:8">
      <c r="A57" s="62"/>
      <c r="B57" s="50"/>
      <c r="C57" s="51"/>
      <c r="D57" s="51"/>
      <c r="E57" s="48"/>
      <c r="F57" s="48"/>
      <c r="G57" s="49"/>
      <c r="H57" s="63"/>
    </row>
    <row r="58" spans="1:8">
      <c r="A58" s="62"/>
      <c r="B58" s="50"/>
      <c r="C58" s="51"/>
      <c r="D58" s="51"/>
      <c r="E58" s="48"/>
      <c r="F58" s="48"/>
      <c r="G58" s="49"/>
      <c r="H58" s="63"/>
    </row>
    <row r="59" spans="1:8">
      <c r="A59" s="62"/>
      <c r="B59" s="50"/>
      <c r="C59" s="51"/>
      <c r="D59" s="51"/>
      <c r="E59" s="48"/>
      <c r="F59" s="48"/>
      <c r="G59" s="49"/>
      <c r="H59" s="63"/>
    </row>
    <row r="60" spans="1:8">
      <c r="A60" s="62"/>
      <c r="B60" s="50"/>
      <c r="C60" s="51"/>
      <c r="D60" s="51"/>
      <c r="E60" s="48"/>
      <c r="F60" s="48"/>
      <c r="G60" s="49"/>
      <c r="H60" s="63"/>
    </row>
    <row r="61" spans="1:8">
      <c r="A61" s="62"/>
      <c r="B61" s="50"/>
      <c r="C61" s="51"/>
      <c r="D61" s="51"/>
      <c r="E61" s="48"/>
      <c r="F61" s="48"/>
      <c r="G61" s="49"/>
      <c r="H61" s="63"/>
    </row>
    <row r="62" spans="1:8">
      <c r="A62" s="62"/>
      <c r="B62" s="50"/>
      <c r="C62" s="51"/>
      <c r="D62" s="51"/>
      <c r="E62" s="48"/>
      <c r="F62" s="48"/>
      <c r="G62" s="49"/>
      <c r="H62" s="63"/>
    </row>
    <row r="63" spans="1:8">
      <c r="A63" s="62"/>
      <c r="B63" s="50"/>
      <c r="C63" s="51"/>
      <c r="D63" s="51"/>
      <c r="E63" s="48"/>
      <c r="F63" s="48"/>
      <c r="G63" s="49"/>
      <c r="H63" s="63"/>
    </row>
    <row r="64" spans="1:8">
      <c r="A64" s="62"/>
      <c r="B64" s="50"/>
      <c r="C64" s="51"/>
      <c r="D64" s="51"/>
      <c r="E64" s="48"/>
      <c r="F64" s="48"/>
      <c r="G64" s="49"/>
      <c r="H64" s="63"/>
    </row>
    <row r="65" spans="1:8">
      <c r="A65" s="62"/>
      <c r="B65" s="50"/>
      <c r="C65" s="51"/>
      <c r="D65" s="51"/>
      <c r="E65" s="48"/>
      <c r="F65" s="48"/>
      <c r="G65" s="49"/>
      <c r="H65" s="63"/>
    </row>
    <row r="66" spans="1:8">
      <c r="A66" s="62"/>
      <c r="B66" s="50"/>
      <c r="C66" s="51"/>
      <c r="D66" s="51"/>
      <c r="E66" s="48"/>
      <c r="F66" s="48"/>
      <c r="G66" s="49"/>
      <c r="H66" s="63"/>
    </row>
    <row r="67" spans="1:8">
      <c r="A67" s="62"/>
      <c r="B67" s="50"/>
      <c r="C67" s="51"/>
      <c r="D67" s="51"/>
      <c r="E67" s="48"/>
      <c r="F67" s="48"/>
      <c r="G67" s="49"/>
      <c r="H67" s="63"/>
    </row>
    <row r="68" spans="1:8">
      <c r="A68" s="62"/>
      <c r="B68" s="50"/>
      <c r="C68" s="51"/>
      <c r="D68" s="51"/>
      <c r="E68" s="48"/>
      <c r="F68" s="48"/>
      <c r="G68" s="49"/>
      <c r="H68" s="63"/>
    </row>
    <row r="69" spans="1:8">
      <c r="A69" s="62"/>
      <c r="B69" s="50"/>
      <c r="C69" s="51"/>
      <c r="D69" s="51"/>
      <c r="E69" s="48"/>
      <c r="F69" s="48"/>
      <c r="G69" s="49"/>
      <c r="H69" s="63"/>
    </row>
    <row r="70" spans="1:8">
      <c r="A70" s="62"/>
      <c r="B70" s="50"/>
      <c r="C70" s="51"/>
      <c r="D70" s="51"/>
      <c r="E70" s="48"/>
      <c r="F70" s="48"/>
      <c r="G70" s="49"/>
      <c r="H70" s="63"/>
    </row>
    <row r="71" spans="1:8">
      <c r="A71" s="62"/>
      <c r="B71" s="50"/>
      <c r="C71" s="51"/>
      <c r="D71" s="51"/>
      <c r="E71" s="48"/>
      <c r="F71" s="48"/>
      <c r="G71" s="49"/>
      <c r="H71" s="63"/>
    </row>
    <row r="72" spans="1:8">
      <c r="A72" s="62"/>
      <c r="B72" s="50"/>
      <c r="C72" s="51"/>
      <c r="D72" s="51"/>
      <c r="E72" s="48"/>
      <c r="F72" s="48"/>
      <c r="G72" s="49"/>
      <c r="H72" s="63"/>
    </row>
    <row r="73" spans="1:8">
      <c r="A73" s="62"/>
      <c r="B73" s="50"/>
      <c r="C73" s="51"/>
      <c r="D73" s="51"/>
      <c r="E73" s="48"/>
      <c r="F73" s="48"/>
      <c r="G73" s="49"/>
      <c r="H73" s="63"/>
    </row>
    <row r="74" spans="1:8">
      <c r="A74" s="62"/>
      <c r="B74" s="50"/>
      <c r="C74" s="51"/>
      <c r="D74" s="51"/>
      <c r="E74" s="48"/>
      <c r="F74" s="48"/>
      <c r="G74" s="49"/>
      <c r="H74" s="63"/>
    </row>
    <row r="75" spans="1:8">
      <c r="A75" s="62"/>
      <c r="B75" s="50"/>
      <c r="C75" s="51"/>
      <c r="D75" s="51"/>
      <c r="E75" s="48"/>
      <c r="F75" s="48"/>
      <c r="G75" s="49"/>
      <c r="H75" s="63"/>
    </row>
    <row r="76" spans="1:8">
      <c r="A76" s="62"/>
      <c r="B76" s="50"/>
      <c r="C76" s="51"/>
      <c r="D76" s="51"/>
      <c r="E76" s="48"/>
      <c r="F76" s="48"/>
      <c r="G76" s="49"/>
      <c r="H76" s="63"/>
    </row>
    <row r="77" spans="1:8">
      <c r="A77" s="62"/>
      <c r="B77" s="50"/>
      <c r="C77" s="51"/>
      <c r="D77" s="51"/>
      <c r="E77" s="48"/>
      <c r="F77" s="48"/>
      <c r="G77" s="49"/>
      <c r="H77" s="63"/>
    </row>
    <row r="78" spans="1:8">
      <c r="A78" s="62"/>
      <c r="B78" s="50"/>
      <c r="C78" s="51"/>
      <c r="D78" s="51"/>
      <c r="E78" s="48"/>
      <c r="F78" s="48"/>
      <c r="G78" s="49"/>
      <c r="H78" s="63"/>
    </row>
    <row r="79" spans="1:8">
      <c r="A79" s="62"/>
      <c r="B79" s="50"/>
      <c r="C79" s="51"/>
      <c r="D79" s="51"/>
      <c r="E79" s="48"/>
      <c r="F79" s="48"/>
      <c r="G79" s="49"/>
      <c r="H79" s="63"/>
    </row>
    <row r="80" spans="1:8">
      <c r="A80" s="62"/>
      <c r="B80" s="50"/>
      <c r="C80" s="51"/>
      <c r="D80" s="51"/>
      <c r="E80" s="48"/>
      <c r="F80" s="48"/>
      <c r="G80" s="49"/>
      <c r="H80" s="63"/>
    </row>
    <row r="81" spans="1:8">
      <c r="A81" s="62"/>
      <c r="B81" s="50"/>
      <c r="C81" s="51"/>
      <c r="D81" s="51"/>
      <c r="E81" s="48"/>
      <c r="F81" s="48"/>
      <c r="G81" s="49"/>
      <c r="H81" s="63"/>
    </row>
    <row r="82" spans="1:8">
      <c r="A82" s="62"/>
      <c r="B82" s="50"/>
      <c r="C82" s="51"/>
      <c r="D82" s="51"/>
      <c r="E82" s="48"/>
      <c r="F82" s="48"/>
      <c r="G82" s="49"/>
      <c r="H82" s="63"/>
    </row>
    <row r="83" spans="1:8">
      <c r="A83" s="62"/>
      <c r="B83" s="50"/>
      <c r="C83" s="51"/>
      <c r="D83" s="51"/>
      <c r="E83" s="48"/>
      <c r="F83" s="48"/>
      <c r="G83" s="49"/>
      <c r="H83" s="63"/>
    </row>
    <row r="84" spans="1:8">
      <c r="A84" s="62"/>
      <c r="B84" s="50"/>
      <c r="C84" s="51"/>
      <c r="D84" s="51"/>
      <c r="E84" s="48"/>
      <c r="F84" s="48"/>
      <c r="G84" s="49"/>
      <c r="H84" s="63"/>
    </row>
    <row r="85" spans="1:8">
      <c r="A85" s="62"/>
      <c r="B85" s="50"/>
      <c r="C85" s="51"/>
      <c r="D85" s="51"/>
      <c r="E85" s="48"/>
      <c r="F85" s="48"/>
      <c r="G85" s="49"/>
      <c r="H85" s="63"/>
    </row>
    <row r="86" spans="1:8">
      <c r="A86" s="62"/>
      <c r="B86" s="50"/>
      <c r="C86" s="51"/>
      <c r="D86" s="51"/>
      <c r="E86" s="48"/>
      <c r="F86" s="48"/>
      <c r="G86" s="49"/>
      <c r="H86" s="63"/>
    </row>
    <row r="87" spans="1:8">
      <c r="A87" s="62"/>
      <c r="B87" s="50"/>
      <c r="C87" s="51"/>
      <c r="D87" s="51"/>
      <c r="E87" s="48"/>
      <c r="F87" s="48"/>
      <c r="G87" s="49"/>
      <c r="H87" s="63"/>
    </row>
    <row r="88" spans="1:8">
      <c r="A88" s="62"/>
      <c r="B88" s="50"/>
      <c r="C88" s="51"/>
      <c r="D88" s="51"/>
      <c r="E88" s="48"/>
      <c r="F88" s="48"/>
      <c r="G88" s="49"/>
      <c r="H88" s="63"/>
    </row>
    <row r="89" spans="1:8">
      <c r="A89" s="62"/>
      <c r="B89" s="50"/>
      <c r="C89" s="51"/>
      <c r="D89" s="51"/>
      <c r="E89" s="48"/>
      <c r="F89" s="48"/>
      <c r="G89" s="49"/>
      <c r="H89" s="63"/>
    </row>
    <row r="90" spans="1:8">
      <c r="A90" s="62"/>
      <c r="B90" s="50"/>
      <c r="C90" s="51"/>
      <c r="D90" s="51"/>
      <c r="E90" s="48"/>
      <c r="F90" s="48"/>
      <c r="G90" s="49"/>
      <c r="H90" s="63"/>
    </row>
    <row r="91" spans="1:8">
      <c r="A91" s="62"/>
      <c r="B91" s="50"/>
      <c r="C91" s="51"/>
      <c r="D91" s="51"/>
      <c r="E91" s="48"/>
      <c r="F91" s="48"/>
      <c r="G91" s="49"/>
      <c r="H91" s="63"/>
    </row>
    <row r="92" spans="1:8">
      <c r="A92" s="62"/>
      <c r="B92" s="50"/>
      <c r="C92" s="51"/>
      <c r="D92" s="51"/>
      <c r="E92" s="48"/>
      <c r="F92" s="48"/>
      <c r="G92" s="49"/>
      <c r="H92" s="63"/>
    </row>
    <row r="93" spans="1:8">
      <c r="A93" s="62"/>
      <c r="B93" s="50"/>
      <c r="C93" s="51"/>
      <c r="D93" s="51"/>
      <c r="E93" s="48"/>
      <c r="F93" s="48"/>
      <c r="G93" s="49"/>
      <c r="H93" s="63"/>
    </row>
    <row r="94" spans="1:8">
      <c r="A94" s="62"/>
      <c r="B94" s="50"/>
      <c r="C94" s="51"/>
      <c r="D94" s="51"/>
      <c r="E94" s="48"/>
      <c r="F94" s="48"/>
      <c r="G94" s="49"/>
      <c r="H94" s="63"/>
    </row>
    <row r="95" spans="1:8">
      <c r="A95" s="62"/>
      <c r="B95" s="50"/>
      <c r="C95" s="51"/>
      <c r="D95" s="51"/>
      <c r="E95" s="48"/>
      <c r="F95" s="48"/>
      <c r="G95" s="49"/>
      <c r="H95" s="63"/>
    </row>
    <row r="96" spans="1:8">
      <c r="A96" s="62"/>
      <c r="B96" s="50"/>
      <c r="C96" s="51"/>
      <c r="D96" s="51"/>
      <c r="E96" s="48"/>
      <c r="F96" s="48"/>
      <c r="G96" s="49"/>
      <c r="H96" s="63"/>
    </row>
    <row r="97" spans="1:8">
      <c r="A97" s="62"/>
      <c r="B97" s="50"/>
      <c r="C97" s="51"/>
      <c r="D97" s="51"/>
      <c r="E97" s="48"/>
      <c r="F97" s="48"/>
      <c r="G97" s="49"/>
      <c r="H97" s="63"/>
    </row>
    <row r="98" spans="1:8">
      <c r="A98" s="62"/>
      <c r="B98" s="50"/>
      <c r="C98" s="51"/>
      <c r="D98" s="51"/>
      <c r="E98" s="48"/>
      <c r="F98" s="48"/>
      <c r="G98" s="49"/>
      <c r="H98" s="63"/>
    </row>
    <row r="99" spans="1:8">
      <c r="A99" s="62"/>
      <c r="B99" s="50"/>
      <c r="C99" s="51"/>
      <c r="D99" s="51"/>
      <c r="E99" s="48"/>
      <c r="F99" s="48"/>
      <c r="G99" s="49"/>
      <c r="H99" s="63"/>
    </row>
    <row r="100" spans="1:8">
      <c r="A100" s="62"/>
      <c r="B100" s="50"/>
      <c r="C100" s="51"/>
      <c r="D100" s="51"/>
      <c r="E100" s="48"/>
      <c r="F100" s="48"/>
      <c r="G100" s="49"/>
      <c r="H100" s="63"/>
    </row>
    <row r="101" spans="1:8">
      <c r="A101" s="62"/>
      <c r="B101" s="50"/>
      <c r="C101" s="51"/>
      <c r="D101" s="51"/>
      <c r="E101" s="48"/>
      <c r="F101" s="48"/>
      <c r="G101" s="49"/>
      <c r="H101" s="63"/>
    </row>
    <row r="102" spans="1:8">
      <c r="A102" s="62"/>
      <c r="B102" s="50"/>
      <c r="C102" s="51"/>
      <c r="D102" s="51"/>
      <c r="E102" s="48"/>
      <c r="F102" s="48"/>
      <c r="G102" s="49"/>
      <c r="H102" s="63"/>
    </row>
    <row r="103" spans="1:8">
      <c r="A103" s="62"/>
      <c r="B103" s="50"/>
      <c r="C103" s="51"/>
      <c r="D103" s="51"/>
      <c r="E103" s="48"/>
      <c r="F103" s="48"/>
      <c r="G103" s="49"/>
      <c r="H103" s="63"/>
    </row>
    <row r="104" spans="1:8">
      <c r="A104" s="62"/>
      <c r="B104" s="50"/>
      <c r="C104" s="51"/>
      <c r="D104" s="51"/>
      <c r="E104" s="48"/>
      <c r="F104" s="48"/>
      <c r="G104" s="49"/>
      <c r="H104" s="63"/>
    </row>
    <row r="105" spans="1:8">
      <c r="A105" s="62"/>
      <c r="B105" s="50"/>
      <c r="C105" s="51"/>
      <c r="D105" s="51"/>
      <c r="E105" s="48"/>
      <c r="F105" s="48"/>
      <c r="G105" s="49"/>
      <c r="H105" s="63"/>
    </row>
    <row r="106" spans="1:8">
      <c r="A106" s="62"/>
      <c r="B106" s="50"/>
      <c r="C106" s="51"/>
      <c r="D106" s="51"/>
      <c r="E106" s="48"/>
      <c r="F106" s="48"/>
      <c r="G106" s="49"/>
      <c r="H106" s="63"/>
    </row>
    <row r="107" spans="1:8">
      <c r="A107" s="62"/>
      <c r="B107" s="50"/>
      <c r="C107" s="51"/>
      <c r="D107" s="51"/>
      <c r="E107" s="48"/>
      <c r="F107" s="48"/>
      <c r="G107" s="49"/>
      <c r="H107" s="63"/>
    </row>
    <row r="108" spans="1:8">
      <c r="A108" s="62"/>
      <c r="B108" s="50"/>
      <c r="C108" s="51"/>
      <c r="D108" s="51"/>
      <c r="E108" s="48"/>
      <c r="F108" s="48"/>
      <c r="G108" s="49"/>
      <c r="H108" s="63"/>
    </row>
    <row r="109" spans="1:8">
      <c r="A109" s="62"/>
      <c r="B109" s="50"/>
      <c r="C109" s="51"/>
      <c r="D109" s="51"/>
      <c r="E109" s="48"/>
      <c r="F109" s="48"/>
      <c r="G109" s="49"/>
      <c r="H109" s="63"/>
    </row>
    <row r="110" spans="1:8">
      <c r="A110" s="62"/>
      <c r="B110" s="50"/>
      <c r="C110" s="51"/>
      <c r="D110" s="51"/>
      <c r="E110" s="48"/>
      <c r="F110" s="48"/>
      <c r="G110" s="49"/>
      <c r="H110" s="63"/>
    </row>
    <row r="111" spans="1:8">
      <c r="A111" s="62"/>
      <c r="B111" s="50"/>
      <c r="C111" s="51"/>
      <c r="D111" s="51"/>
      <c r="E111" s="48"/>
      <c r="F111" s="48"/>
      <c r="G111" s="49"/>
      <c r="H111" s="63"/>
    </row>
    <row r="112" spans="1:8">
      <c r="A112" s="62"/>
      <c r="B112" s="50"/>
      <c r="C112" s="51"/>
      <c r="D112" s="51"/>
      <c r="E112" s="48"/>
      <c r="F112" s="48"/>
      <c r="G112" s="49"/>
      <c r="H112" s="63"/>
    </row>
    <row r="113" spans="1:8">
      <c r="A113" s="62"/>
      <c r="B113" s="50"/>
      <c r="C113" s="51"/>
      <c r="D113" s="51"/>
      <c r="E113" s="48"/>
      <c r="F113" s="48"/>
      <c r="G113" s="49"/>
      <c r="H113" s="63"/>
    </row>
    <row r="114" spans="1:8">
      <c r="A114" s="62"/>
      <c r="B114" s="50"/>
      <c r="C114" s="51"/>
      <c r="D114" s="51"/>
      <c r="E114" s="48"/>
      <c r="F114" s="48"/>
      <c r="G114" s="49"/>
      <c r="H114" s="63"/>
    </row>
    <row r="115" spans="1:8">
      <c r="A115" s="62"/>
      <c r="B115" s="50"/>
      <c r="C115" s="51"/>
      <c r="D115" s="51"/>
      <c r="E115" s="48"/>
      <c r="F115" s="48"/>
      <c r="G115" s="49"/>
      <c r="H115" s="63"/>
    </row>
    <row r="116" spans="1:8">
      <c r="A116" s="62"/>
      <c r="B116" s="50"/>
      <c r="C116" s="51"/>
      <c r="D116" s="51"/>
      <c r="E116" s="48"/>
      <c r="F116" s="48"/>
      <c r="G116" s="49"/>
      <c r="H116" s="63"/>
    </row>
    <row r="117" spans="1:8">
      <c r="A117" s="62"/>
      <c r="B117" s="50"/>
      <c r="C117" s="51"/>
      <c r="D117" s="51"/>
      <c r="E117" s="48"/>
      <c r="F117" s="48"/>
      <c r="G117" s="49"/>
      <c r="H117" s="63"/>
    </row>
    <row r="118" spans="1:8">
      <c r="A118" s="62"/>
      <c r="B118" s="50"/>
      <c r="C118" s="51"/>
      <c r="D118" s="51"/>
      <c r="E118" s="48"/>
      <c r="F118" s="48"/>
      <c r="G118" s="49"/>
      <c r="H118" s="63"/>
    </row>
    <row r="119" spans="1:8">
      <c r="A119" s="62"/>
      <c r="B119" s="50"/>
      <c r="C119" s="51"/>
      <c r="D119" s="51"/>
      <c r="E119" s="48"/>
      <c r="F119" s="48"/>
      <c r="G119" s="49"/>
      <c r="H119" s="63"/>
    </row>
    <row r="120" spans="1:8">
      <c r="A120" s="62"/>
      <c r="B120" s="50"/>
      <c r="C120" s="51"/>
      <c r="D120" s="51"/>
      <c r="E120" s="48"/>
      <c r="F120" s="48"/>
      <c r="G120" s="49"/>
      <c r="H120" s="63"/>
    </row>
    <row r="121" spans="1:8">
      <c r="A121" s="62"/>
      <c r="B121" s="50"/>
      <c r="C121" s="51"/>
      <c r="D121" s="51"/>
      <c r="E121" s="48"/>
      <c r="F121" s="48"/>
      <c r="G121" s="49"/>
      <c r="H121" s="63"/>
    </row>
    <row r="122" spans="1:8">
      <c r="A122" s="62"/>
      <c r="B122" s="50"/>
      <c r="C122" s="51"/>
      <c r="D122" s="51"/>
      <c r="E122" s="48"/>
      <c r="F122" s="48"/>
      <c r="G122" s="49"/>
      <c r="H122" s="63"/>
    </row>
    <row r="123" spans="1:8">
      <c r="A123" s="62"/>
      <c r="B123" s="50"/>
      <c r="C123" s="51"/>
      <c r="D123" s="51"/>
      <c r="E123" s="48"/>
      <c r="F123" s="48"/>
      <c r="G123" s="49"/>
      <c r="H123" s="63"/>
    </row>
    <row r="124" spans="1:8">
      <c r="A124" s="62"/>
      <c r="B124" s="50"/>
      <c r="C124" s="51"/>
      <c r="D124" s="51"/>
      <c r="E124" s="48"/>
      <c r="F124" s="48"/>
      <c r="G124" s="49"/>
      <c r="H124" s="63"/>
    </row>
    <row r="125" spans="1:8">
      <c r="A125" s="62"/>
      <c r="B125" s="50"/>
      <c r="C125" s="51"/>
      <c r="D125" s="51"/>
      <c r="E125" s="48"/>
      <c r="F125" s="48"/>
      <c r="G125" s="49"/>
      <c r="H125" s="63"/>
    </row>
    <row r="126" spans="1:8">
      <c r="A126" s="62"/>
      <c r="B126" s="50"/>
      <c r="C126" s="51"/>
      <c r="D126" s="51"/>
      <c r="E126" s="48"/>
      <c r="F126" s="48"/>
      <c r="G126" s="49"/>
      <c r="H126" s="63"/>
    </row>
    <row r="127" spans="1:8">
      <c r="A127" s="62"/>
      <c r="B127" s="50"/>
      <c r="C127" s="51"/>
      <c r="D127" s="51"/>
      <c r="E127" s="48"/>
      <c r="F127" s="48"/>
      <c r="G127" s="49"/>
      <c r="H127" s="63"/>
    </row>
    <row r="128" spans="1:8">
      <c r="A128" s="62"/>
      <c r="B128" s="50"/>
      <c r="C128" s="51"/>
      <c r="D128" s="51"/>
      <c r="E128" s="48"/>
      <c r="F128" s="48"/>
      <c r="G128" s="49"/>
      <c r="H128" s="63"/>
    </row>
    <row r="129" spans="1:8">
      <c r="A129" s="62"/>
      <c r="B129" s="50"/>
      <c r="C129" s="51"/>
      <c r="D129" s="51"/>
      <c r="E129" s="48"/>
      <c r="F129" s="48"/>
      <c r="G129" s="49"/>
      <c r="H129" s="63"/>
    </row>
    <row r="130" spans="1:8">
      <c r="A130" s="62"/>
      <c r="B130" s="50"/>
      <c r="C130" s="51"/>
      <c r="D130" s="51"/>
      <c r="E130" s="48"/>
      <c r="F130" s="48"/>
      <c r="G130" s="49"/>
      <c r="H130" s="63"/>
    </row>
    <row r="131" spans="1:8">
      <c r="A131" s="62"/>
      <c r="B131" s="50"/>
      <c r="C131" s="51"/>
      <c r="D131" s="51"/>
      <c r="E131" s="48"/>
      <c r="F131" s="48"/>
      <c r="G131" s="49"/>
      <c r="H131" s="63"/>
    </row>
    <row r="132" spans="1:8">
      <c r="A132" s="62"/>
      <c r="B132" s="50"/>
      <c r="C132" s="51"/>
      <c r="D132" s="51"/>
      <c r="E132" s="48"/>
      <c r="F132" s="48"/>
      <c r="G132" s="49"/>
      <c r="H132" s="63"/>
    </row>
    <row r="133" spans="1:8">
      <c r="A133" s="62"/>
      <c r="B133" s="50"/>
      <c r="C133" s="51"/>
      <c r="D133" s="51"/>
      <c r="E133" s="48"/>
      <c r="F133" s="48"/>
      <c r="G133" s="49"/>
      <c r="H133" s="63"/>
    </row>
    <row r="134" spans="1:8">
      <c r="A134" s="62"/>
      <c r="B134" s="50"/>
      <c r="C134" s="51"/>
      <c r="D134" s="51"/>
      <c r="E134" s="48"/>
      <c r="F134" s="48"/>
      <c r="G134" s="49"/>
      <c r="H134" s="63"/>
    </row>
    <row r="135" spans="1:8">
      <c r="A135" s="62"/>
      <c r="B135" s="50"/>
      <c r="C135" s="51"/>
      <c r="D135" s="51"/>
      <c r="E135" s="48"/>
      <c r="F135" s="48"/>
      <c r="G135" s="49"/>
      <c r="H135" s="63"/>
    </row>
    <row r="136" spans="1:8">
      <c r="A136" s="62"/>
      <c r="B136" s="50"/>
      <c r="C136" s="51"/>
      <c r="D136" s="51"/>
      <c r="E136" s="48"/>
      <c r="F136" s="48"/>
      <c r="G136" s="49"/>
      <c r="H136" s="63"/>
    </row>
    <row r="137" spans="1:8">
      <c r="A137" s="62"/>
      <c r="B137" s="50"/>
      <c r="C137" s="51"/>
      <c r="D137" s="51"/>
      <c r="E137" s="48"/>
      <c r="F137" s="48"/>
      <c r="G137" s="49"/>
      <c r="H137" s="63"/>
    </row>
    <row r="138" spans="1:8">
      <c r="A138" s="62"/>
      <c r="B138" s="50"/>
      <c r="C138" s="51"/>
      <c r="D138" s="51"/>
      <c r="E138" s="48"/>
      <c r="F138" s="48"/>
      <c r="G138" s="49"/>
      <c r="H138" s="63"/>
    </row>
    <row r="139" spans="1:8">
      <c r="A139" s="62"/>
      <c r="B139" s="50"/>
      <c r="C139" s="51"/>
      <c r="D139" s="51"/>
      <c r="E139" s="48"/>
      <c r="F139" s="48"/>
      <c r="G139" s="49"/>
      <c r="H139" s="63"/>
    </row>
    <row r="140" spans="1:8">
      <c r="A140" s="62"/>
      <c r="B140" s="50"/>
      <c r="C140" s="51"/>
      <c r="D140" s="51"/>
      <c r="E140" s="48"/>
      <c r="F140" s="48"/>
      <c r="G140" s="49"/>
      <c r="H140" s="63"/>
    </row>
    <row r="141" spans="1:8">
      <c r="A141" s="62"/>
      <c r="B141" s="50"/>
      <c r="C141" s="51"/>
      <c r="D141" s="51"/>
      <c r="E141" s="48"/>
      <c r="F141" s="48"/>
      <c r="G141" s="49"/>
      <c r="H141" s="63"/>
    </row>
    <row r="142" spans="1:8">
      <c r="A142" s="62"/>
      <c r="B142" s="50"/>
      <c r="C142" s="51"/>
      <c r="D142" s="51"/>
      <c r="E142" s="48"/>
      <c r="F142" s="48"/>
      <c r="G142" s="49"/>
      <c r="H142" s="63"/>
    </row>
    <row r="143" spans="1:8">
      <c r="A143" s="62"/>
      <c r="B143" s="50"/>
      <c r="C143" s="51"/>
      <c r="D143" s="51"/>
      <c r="E143" s="48"/>
      <c r="F143" s="48"/>
      <c r="G143" s="49"/>
      <c r="H143" s="63"/>
    </row>
    <row r="144" spans="1:8">
      <c r="A144" s="62"/>
      <c r="B144" s="50"/>
      <c r="C144" s="51"/>
      <c r="D144" s="51"/>
      <c r="E144" s="48"/>
      <c r="F144" s="48"/>
      <c r="G144" s="49"/>
      <c r="H144" s="63"/>
    </row>
    <row r="145" spans="1:8">
      <c r="A145" s="62"/>
      <c r="B145" s="50"/>
      <c r="C145" s="51"/>
      <c r="D145" s="51"/>
      <c r="E145" s="48"/>
      <c r="F145" s="48"/>
      <c r="G145" s="49"/>
      <c r="H145" s="63"/>
    </row>
    <row r="146" spans="1:8">
      <c r="A146" s="62"/>
      <c r="B146" s="50"/>
      <c r="C146" s="51"/>
      <c r="D146" s="51"/>
      <c r="E146" s="48"/>
      <c r="F146" s="48"/>
      <c r="G146" s="49"/>
      <c r="H146" s="63"/>
    </row>
    <row r="147" spans="1:8">
      <c r="A147" s="62"/>
      <c r="B147" s="50"/>
      <c r="C147" s="51"/>
      <c r="D147" s="51"/>
      <c r="E147" s="48"/>
      <c r="F147" s="48"/>
      <c r="G147" s="49"/>
      <c r="H147" s="63"/>
    </row>
    <row r="148" spans="1:8">
      <c r="A148" s="62"/>
      <c r="B148" s="50"/>
      <c r="C148" s="51"/>
      <c r="D148" s="51"/>
      <c r="E148" s="48"/>
      <c r="F148" s="48"/>
      <c r="G148" s="49"/>
      <c r="H148" s="63"/>
    </row>
    <row r="149" spans="1:8">
      <c r="A149" s="62"/>
      <c r="B149" s="50"/>
      <c r="C149" s="51"/>
      <c r="D149" s="51"/>
      <c r="E149" s="48"/>
      <c r="F149" s="48"/>
      <c r="G149" s="49"/>
      <c r="H149" s="63"/>
    </row>
    <row r="150" spans="1:8">
      <c r="A150" s="62"/>
      <c r="B150" s="50"/>
      <c r="C150" s="51"/>
      <c r="D150" s="51"/>
      <c r="E150" s="48"/>
      <c r="F150" s="48"/>
      <c r="G150" s="49"/>
      <c r="H150" s="63"/>
    </row>
    <row r="151" spans="1:8">
      <c r="A151" s="62"/>
      <c r="B151" s="50"/>
      <c r="C151" s="51"/>
      <c r="D151" s="51"/>
      <c r="E151" s="48"/>
      <c r="F151" s="48"/>
      <c r="G151" s="49"/>
      <c r="H151" s="63"/>
    </row>
    <row r="152" spans="1:8">
      <c r="A152" s="62"/>
      <c r="B152" s="50"/>
      <c r="C152" s="51"/>
      <c r="D152" s="51"/>
      <c r="E152" s="48"/>
      <c r="F152" s="48"/>
      <c r="G152" s="49"/>
      <c r="H152" s="63"/>
    </row>
    <row r="153" spans="1:8">
      <c r="A153" s="62"/>
      <c r="B153" s="50"/>
      <c r="C153" s="51"/>
      <c r="D153" s="51"/>
      <c r="E153" s="48"/>
      <c r="F153" s="48"/>
      <c r="G153" s="49"/>
      <c r="H153" s="63"/>
    </row>
    <row r="154" spans="1:8">
      <c r="A154" s="62"/>
      <c r="B154" s="50"/>
      <c r="C154" s="51"/>
      <c r="D154" s="51"/>
      <c r="E154" s="48"/>
      <c r="F154" s="48"/>
      <c r="G154" s="49"/>
      <c r="H154" s="63"/>
    </row>
    <row r="155" spans="1:8">
      <c r="A155" s="62"/>
      <c r="B155" s="50"/>
      <c r="C155" s="51"/>
      <c r="D155" s="51"/>
      <c r="E155" s="48"/>
      <c r="F155" s="48"/>
      <c r="G155" s="49"/>
      <c r="H155" s="63"/>
    </row>
    <row r="156" spans="1:8">
      <c r="A156" s="62"/>
      <c r="B156" s="50"/>
      <c r="C156" s="51"/>
      <c r="D156" s="51"/>
      <c r="E156" s="48"/>
      <c r="F156" s="48"/>
      <c r="G156" s="49"/>
      <c r="H156" s="63"/>
    </row>
    <row r="157" spans="1:8">
      <c r="A157" s="62"/>
      <c r="B157" s="50"/>
      <c r="C157" s="51"/>
      <c r="D157" s="51"/>
      <c r="E157" s="48"/>
      <c r="F157" s="48"/>
      <c r="G157" s="49"/>
      <c r="H157" s="63"/>
    </row>
    <row r="158" spans="1:8">
      <c r="A158" s="62"/>
      <c r="B158" s="50"/>
      <c r="C158" s="51"/>
      <c r="D158" s="51"/>
      <c r="E158" s="48"/>
      <c r="F158" s="48"/>
      <c r="G158" s="49"/>
      <c r="H158" s="63"/>
    </row>
    <row r="159" spans="1:8">
      <c r="A159" s="62"/>
      <c r="B159" s="50"/>
      <c r="C159" s="51"/>
      <c r="D159" s="51"/>
      <c r="E159" s="48"/>
      <c r="F159" s="48"/>
      <c r="G159" s="49"/>
      <c r="H159" s="63"/>
    </row>
    <row r="160" spans="1:8">
      <c r="A160" s="62"/>
      <c r="B160" s="50"/>
      <c r="C160" s="51"/>
      <c r="D160" s="51"/>
      <c r="E160" s="48"/>
      <c r="F160" s="48"/>
      <c r="G160" s="49"/>
      <c r="H160" s="63"/>
    </row>
    <row r="161" spans="1:8">
      <c r="A161" s="62"/>
      <c r="B161" s="50"/>
      <c r="C161" s="51"/>
      <c r="D161" s="51"/>
      <c r="E161" s="48"/>
      <c r="F161" s="48"/>
      <c r="G161" s="49"/>
      <c r="H161" s="63"/>
    </row>
    <row r="162" spans="1:8">
      <c r="A162" s="62"/>
      <c r="B162" s="50"/>
      <c r="C162" s="51"/>
      <c r="D162" s="51"/>
      <c r="E162" s="48"/>
      <c r="F162" s="48"/>
      <c r="G162" s="49"/>
      <c r="H162" s="63"/>
    </row>
    <row r="163" spans="1:8">
      <c r="A163" s="62"/>
      <c r="B163" s="50"/>
      <c r="C163" s="51"/>
      <c r="D163" s="51"/>
      <c r="E163" s="48"/>
      <c r="F163" s="48"/>
      <c r="G163" s="49"/>
      <c r="H163" s="63"/>
    </row>
    <row r="164" spans="1:8">
      <c r="A164" s="62"/>
      <c r="B164" s="50"/>
      <c r="C164" s="51"/>
      <c r="D164" s="51"/>
      <c r="E164" s="48"/>
      <c r="F164" s="48"/>
      <c r="G164" s="49"/>
      <c r="H164" s="63"/>
    </row>
    <row r="165" spans="1:8">
      <c r="A165" s="62"/>
      <c r="B165" s="50"/>
      <c r="C165" s="51"/>
      <c r="D165" s="51"/>
      <c r="E165" s="48"/>
      <c r="F165" s="48"/>
      <c r="G165" s="49"/>
      <c r="H165" s="63"/>
    </row>
    <row r="166" spans="1:8">
      <c r="A166" s="62"/>
      <c r="B166" s="50"/>
      <c r="C166" s="51"/>
      <c r="D166" s="51"/>
      <c r="E166" s="48"/>
      <c r="F166" s="48"/>
      <c r="G166" s="49"/>
      <c r="H166" s="63"/>
    </row>
    <row r="167" spans="1:8">
      <c r="A167" s="62"/>
      <c r="B167" s="50"/>
      <c r="C167" s="51"/>
      <c r="D167" s="51"/>
      <c r="E167" s="48"/>
      <c r="F167" s="48"/>
      <c r="G167" s="49"/>
      <c r="H167" s="63"/>
    </row>
    <row r="168" spans="1:8">
      <c r="A168" s="62"/>
      <c r="B168" s="50"/>
      <c r="C168" s="51"/>
      <c r="D168" s="51"/>
      <c r="E168" s="48"/>
      <c r="F168" s="48"/>
      <c r="G168" s="49"/>
      <c r="H168" s="63"/>
    </row>
    <row r="169" spans="1:8">
      <c r="A169" s="62"/>
      <c r="B169" s="50"/>
      <c r="C169" s="51"/>
      <c r="D169" s="51"/>
      <c r="E169" s="48"/>
      <c r="F169" s="48"/>
      <c r="G169" s="49"/>
      <c r="H169" s="63"/>
    </row>
    <row r="170" spans="1:8">
      <c r="A170" s="62"/>
      <c r="B170" s="50"/>
      <c r="C170" s="51"/>
      <c r="D170" s="51"/>
      <c r="E170" s="48"/>
      <c r="F170" s="48"/>
      <c r="G170" s="49"/>
      <c r="H170" s="63"/>
    </row>
    <row r="171" spans="1:8">
      <c r="A171" s="62"/>
      <c r="B171" s="50"/>
      <c r="C171" s="51"/>
      <c r="D171" s="51"/>
      <c r="E171" s="48"/>
      <c r="F171" s="48"/>
      <c r="G171" s="49"/>
      <c r="H171" s="63"/>
    </row>
    <row r="172" spans="1:8">
      <c r="A172" s="62"/>
      <c r="B172" s="50"/>
      <c r="C172" s="51"/>
      <c r="D172" s="51"/>
      <c r="E172" s="48"/>
      <c r="F172" s="48"/>
      <c r="G172" s="49"/>
      <c r="H172" s="63"/>
    </row>
    <row r="173" spans="1:8">
      <c r="A173" s="62"/>
      <c r="B173" s="50"/>
      <c r="C173" s="51"/>
      <c r="D173" s="51"/>
      <c r="E173" s="48"/>
      <c r="F173" s="48"/>
      <c r="G173" s="49"/>
      <c r="H173" s="63"/>
    </row>
    <row r="174" spans="1:8">
      <c r="A174" s="62"/>
      <c r="B174" s="50"/>
      <c r="C174" s="51"/>
      <c r="D174" s="51"/>
      <c r="E174" s="48"/>
      <c r="F174" s="48"/>
      <c r="G174" s="49"/>
      <c r="H174" s="63"/>
    </row>
    <row r="175" spans="1:8">
      <c r="A175" s="62"/>
      <c r="B175" s="50"/>
      <c r="C175" s="51"/>
      <c r="D175" s="51"/>
      <c r="E175" s="48"/>
      <c r="F175" s="48"/>
      <c r="G175" s="49"/>
      <c r="H175" s="63"/>
    </row>
    <row r="176" spans="1:8">
      <c r="A176" s="62"/>
      <c r="B176" s="50"/>
      <c r="C176" s="51"/>
      <c r="D176" s="51"/>
      <c r="E176" s="48"/>
      <c r="F176" s="48"/>
      <c r="G176" s="49"/>
      <c r="H176" s="63"/>
    </row>
    <row r="177" spans="1:8">
      <c r="A177" s="62"/>
      <c r="B177" s="50"/>
      <c r="C177" s="51"/>
      <c r="D177" s="51"/>
      <c r="E177" s="48"/>
      <c r="F177" s="48"/>
      <c r="G177" s="49"/>
      <c r="H177" s="63"/>
    </row>
    <row r="178" spans="1:8">
      <c r="A178" s="62"/>
      <c r="B178" s="50"/>
      <c r="C178" s="51"/>
      <c r="D178" s="51"/>
      <c r="E178" s="48"/>
      <c r="F178" s="48"/>
      <c r="G178" s="49"/>
      <c r="H178" s="63"/>
    </row>
    <row r="179" spans="1:8">
      <c r="A179" s="62"/>
      <c r="B179" s="50"/>
      <c r="C179" s="51"/>
      <c r="D179" s="51"/>
      <c r="E179" s="48"/>
      <c r="F179" s="48"/>
      <c r="G179" s="49"/>
      <c r="H179" s="63"/>
    </row>
    <row r="180" spans="1:8">
      <c r="A180" s="62"/>
      <c r="B180" s="50"/>
      <c r="C180" s="51"/>
      <c r="D180" s="51"/>
      <c r="E180" s="48"/>
      <c r="F180" s="48"/>
      <c r="G180" s="49"/>
      <c r="H180" s="63"/>
    </row>
    <row r="181" spans="1:8">
      <c r="A181" s="62"/>
      <c r="B181" s="50"/>
      <c r="C181" s="51"/>
      <c r="D181" s="51"/>
      <c r="E181" s="48"/>
      <c r="F181" s="48"/>
      <c r="G181" s="49"/>
      <c r="H181" s="63"/>
    </row>
    <row r="182" spans="1:8">
      <c r="A182" s="62"/>
      <c r="B182" s="50"/>
      <c r="C182" s="51"/>
      <c r="D182" s="51"/>
      <c r="E182" s="48"/>
      <c r="F182" s="48"/>
      <c r="G182" s="49"/>
      <c r="H182" s="63"/>
    </row>
    <row r="183" spans="1:8">
      <c r="A183" s="62"/>
      <c r="B183" s="50"/>
      <c r="C183" s="51"/>
      <c r="D183" s="51"/>
      <c r="E183" s="48"/>
      <c r="F183" s="48"/>
      <c r="G183" s="49"/>
      <c r="H183" s="63"/>
    </row>
    <row r="184" spans="1:8">
      <c r="A184" s="62"/>
      <c r="B184" s="50"/>
      <c r="C184" s="51"/>
      <c r="D184" s="51"/>
      <c r="E184" s="48"/>
      <c r="F184" s="48"/>
      <c r="G184" s="49"/>
      <c r="H184" s="63"/>
    </row>
    <row r="185" spans="1:8">
      <c r="A185" s="62"/>
      <c r="B185" s="50"/>
      <c r="C185" s="51"/>
      <c r="D185" s="51"/>
      <c r="E185" s="48"/>
      <c r="F185" s="48"/>
      <c r="G185" s="49"/>
      <c r="H185" s="63"/>
    </row>
    <row r="186" spans="1:8">
      <c r="A186" s="62"/>
      <c r="B186" s="50"/>
      <c r="C186" s="51"/>
      <c r="D186" s="51"/>
      <c r="E186" s="48"/>
      <c r="F186" s="48"/>
      <c r="G186" s="49"/>
      <c r="H186" s="63"/>
    </row>
    <row r="187" spans="1:8">
      <c r="A187" s="62"/>
      <c r="B187" s="50"/>
      <c r="C187" s="51"/>
      <c r="D187" s="51"/>
      <c r="E187" s="48"/>
      <c r="F187" s="48"/>
      <c r="G187" s="49"/>
      <c r="H187" s="63"/>
    </row>
    <row r="188" spans="1:8">
      <c r="A188" s="62"/>
      <c r="B188" s="50"/>
      <c r="C188" s="51"/>
      <c r="D188" s="51"/>
      <c r="E188" s="48"/>
      <c r="F188" s="48"/>
      <c r="G188" s="49"/>
      <c r="H188" s="63"/>
    </row>
    <row r="189" spans="1:8">
      <c r="A189" s="62"/>
      <c r="B189" s="50"/>
      <c r="C189" s="51"/>
      <c r="D189" s="51"/>
      <c r="E189" s="48"/>
      <c r="F189" s="48"/>
      <c r="G189" s="49"/>
      <c r="H189" s="63"/>
    </row>
    <row r="190" spans="1:8">
      <c r="A190" s="62"/>
      <c r="B190" s="50"/>
      <c r="C190" s="51"/>
      <c r="D190" s="51"/>
      <c r="E190" s="48"/>
      <c r="F190" s="48"/>
      <c r="G190" s="49"/>
      <c r="H190" s="63"/>
    </row>
    <row r="191" spans="1:8">
      <c r="A191" s="62"/>
      <c r="B191" s="50"/>
      <c r="C191" s="51"/>
      <c r="D191" s="51"/>
      <c r="E191" s="48"/>
      <c r="F191" s="48"/>
      <c r="G191" s="49"/>
      <c r="H191" s="63"/>
    </row>
    <row r="192" spans="1:8">
      <c r="A192" s="62"/>
      <c r="B192" s="50"/>
      <c r="C192" s="51"/>
      <c r="D192" s="51"/>
      <c r="E192" s="48"/>
      <c r="F192" s="48"/>
      <c r="G192" s="49"/>
      <c r="H192" s="63"/>
    </row>
    <row r="193" spans="1:8">
      <c r="A193" s="62"/>
      <c r="B193" s="50"/>
      <c r="C193" s="51"/>
      <c r="D193" s="51"/>
      <c r="E193" s="48"/>
      <c r="F193" s="48"/>
      <c r="G193" s="49"/>
      <c r="H193" s="63"/>
    </row>
    <row r="194" spans="1:8">
      <c r="A194" s="62"/>
      <c r="B194" s="50"/>
      <c r="C194" s="51"/>
      <c r="D194" s="51"/>
      <c r="E194" s="48"/>
      <c r="F194" s="48"/>
      <c r="G194" s="49"/>
      <c r="H194" s="63"/>
    </row>
    <row r="195" spans="1:8">
      <c r="A195" s="62"/>
      <c r="B195" s="50"/>
      <c r="C195" s="51"/>
      <c r="D195" s="51"/>
      <c r="E195" s="48"/>
      <c r="F195" s="48"/>
      <c r="G195" s="49"/>
      <c r="H195" s="63"/>
    </row>
    <row r="196" spans="1:8">
      <c r="A196" s="62"/>
      <c r="B196" s="50"/>
      <c r="C196" s="51"/>
      <c r="D196" s="51"/>
      <c r="E196" s="48"/>
      <c r="F196" s="48"/>
      <c r="G196" s="49"/>
      <c r="H196" s="63"/>
    </row>
    <row r="197" spans="1:8">
      <c r="A197" s="62"/>
      <c r="B197" s="50"/>
      <c r="C197" s="51"/>
      <c r="D197" s="51"/>
      <c r="E197" s="48"/>
      <c r="F197" s="48"/>
      <c r="G197" s="49"/>
      <c r="H197" s="63"/>
    </row>
    <row r="198" spans="1:8">
      <c r="A198" s="62"/>
      <c r="B198" s="50"/>
      <c r="C198" s="51"/>
      <c r="D198" s="51"/>
      <c r="E198" s="48"/>
      <c r="F198" s="48"/>
      <c r="G198" s="49"/>
      <c r="H198" s="63"/>
    </row>
    <row r="199" spans="1:8">
      <c r="A199" s="62"/>
      <c r="B199" s="50"/>
      <c r="C199" s="51"/>
      <c r="D199" s="51"/>
      <c r="E199" s="48"/>
      <c r="F199" s="48"/>
      <c r="G199" s="49"/>
      <c r="H199" s="63"/>
    </row>
    <row r="200" spans="1:8">
      <c r="A200" s="62"/>
      <c r="B200" s="50"/>
      <c r="C200" s="51"/>
      <c r="D200" s="51"/>
      <c r="E200" s="48"/>
      <c r="F200" s="48"/>
      <c r="G200" s="49"/>
      <c r="H200" s="63"/>
    </row>
    <row r="201" spans="1:8">
      <c r="A201" s="62"/>
      <c r="B201" s="50"/>
      <c r="C201" s="51"/>
      <c r="D201" s="51"/>
      <c r="E201" s="48"/>
      <c r="F201" s="48"/>
      <c r="G201" s="49"/>
      <c r="H201" s="63"/>
    </row>
    <row r="202" spans="1:8">
      <c r="A202" s="62"/>
      <c r="B202" s="50"/>
      <c r="C202" s="51"/>
      <c r="D202" s="51"/>
      <c r="E202" s="48"/>
      <c r="F202" s="48"/>
      <c r="G202" s="49"/>
      <c r="H202" s="63"/>
    </row>
    <row r="203" spans="1:8">
      <c r="A203" s="62"/>
      <c r="B203" s="50"/>
      <c r="C203" s="51"/>
      <c r="D203" s="51"/>
      <c r="E203" s="48"/>
      <c r="F203" s="48"/>
      <c r="G203" s="49"/>
      <c r="H203" s="63"/>
    </row>
    <row r="204" spans="1:8">
      <c r="A204" s="62"/>
      <c r="B204" s="50"/>
      <c r="C204" s="51"/>
      <c r="D204" s="51"/>
      <c r="E204" s="48"/>
      <c r="F204" s="48"/>
      <c r="G204" s="49"/>
      <c r="H204" s="63"/>
    </row>
    <row r="205" spans="1:8">
      <c r="A205" s="62"/>
      <c r="B205" s="50"/>
      <c r="C205" s="51"/>
      <c r="D205" s="51"/>
      <c r="E205" s="48"/>
      <c r="F205" s="48"/>
      <c r="G205" s="49"/>
      <c r="H205" s="63"/>
    </row>
    <row r="206" spans="1:8">
      <c r="A206" s="65"/>
      <c r="B206" s="22"/>
      <c r="C206" s="20"/>
      <c r="D206" s="20"/>
      <c r="E206" s="5"/>
      <c r="F206" s="5"/>
      <c r="G206" s="16"/>
      <c r="H206" s="66"/>
    </row>
  </sheetData>
  <customSheetViews>
    <customSheetView guid="{25B109E7-546D-484A-9932-8EF9F33760F1}" showPageBreaks="1" printArea="1" view="pageBreakPreview">
      <selection activeCell="D31" sqref="D31"/>
      <pageMargins left="0.7" right="0.7" top="0.75" bottom="0.75" header="0.3" footer="0.3"/>
      <pageSetup scale="39" orientation="portrait" r:id="rId1"/>
      <headerFooter>
        <oddHeader>&amp;R&amp;G</oddHeader>
        <oddFooter>&amp;LProject Name
Project Phase&amp;C&amp;P of &amp;N&amp;R
Audiovisal Equipment List
&amp;A</oddFooter>
      </headerFooter>
    </customSheetView>
  </customSheetViews>
  <pageMargins left="0.7" right="0.7" top="0.75" bottom="0.75" header="0.3" footer="0.3"/>
  <pageSetup scale="39" orientation="portrait" r:id="rId2"/>
  <headerFooter>
    <oddHeader>&amp;R&amp;G</oddHeader>
    <oddFooter>&amp;LProject Name
Project Phase&amp;C&amp;P of &amp;N&amp;R
Audiovisal Equipment List
&amp;A</oddFooter>
  </headerFooter>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5100D-4947-42FA-A7D2-A5E0E1ECF4BE}">
  <sheetPr codeName="Sheet19"/>
  <dimension ref="A1"/>
  <sheetViews>
    <sheetView workbookViewId="0">
      <selection activeCell="N22" sqref="N22"/>
    </sheetView>
  </sheetViews>
  <sheetFormatPr defaultRowHeight="14.4"/>
  <cols>
    <col min="1" max="1" width="25.21875" bestFit="1" customWidth="1"/>
    <col min="2" max="2" width="19.21875" customWidth="1"/>
    <col min="3" max="3" width="27.77734375" customWidth="1"/>
  </cols>
  <sheetData/>
  <customSheetViews>
    <customSheetView guid="{25B109E7-546D-484A-9932-8EF9F33760F1}" state="veryHidden">
      <selection activeCell="N22" sqref="N22"/>
      <pageMargins left="0.7" right="0.7" top="0.75" bottom="0.75" header="0.3" footer="0.3"/>
    </customSheetView>
  </customSheetViews>
  <pageMargins left="0.7" right="0.7" top="0.75" bottom="0.75" header="0.3" footer="0.3"/>
</worksheet>
</file>

<file path=customUI/customUI14.xml>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BE40193C964F74AB902D6C8D406B196" ma:contentTypeVersion="12" ma:contentTypeDescription="Create a new document." ma:contentTypeScope="" ma:versionID="ca15489eb5aab4f025b8d58505de0ca5">
  <xsd:schema xmlns:xsd="http://www.w3.org/2001/XMLSchema" xmlns:xs="http://www.w3.org/2001/XMLSchema" xmlns:p="http://schemas.microsoft.com/office/2006/metadata/properties" xmlns:ns2="411413ea-76e0-4566-b8b2-01742786d9ca" xmlns:ns3="25ca44ba-f074-4e82-8b1f-8d574bc5244c" targetNamespace="http://schemas.microsoft.com/office/2006/metadata/properties" ma:root="true" ma:fieldsID="8b96c99df7c807e087a488a712021b23" ns2:_="" ns3:_="">
    <xsd:import namespace="411413ea-76e0-4566-b8b2-01742786d9ca"/>
    <xsd:import namespace="25ca44ba-f074-4e82-8b1f-8d574bc5244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AutoKeyPoints" minOccurs="0"/>
                <xsd:element ref="ns2:MediaServiceKeyPoints"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1413ea-76e0-4566-b8b2-01742786d9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5ca44ba-f074-4e82-8b1f-8d574bc5244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70D3D7F-8934-4774-B926-5CA3F98D3D6F}">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C3CE88E-5265-43FC-8242-BE2EDC96AC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1413ea-76e0-4566-b8b2-01742786d9ca"/>
    <ds:schemaRef ds:uri="25ca44ba-f074-4e82-8b1f-8d574bc5244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C592A5-5339-4B45-AB15-EA1A3D4363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INSTRUCTIONS</vt:lpstr>
      <vt:lpstr>PROJECT_SETTINGS</vt:lpstr>
      <vt:lpstr>PROJECT_EQUIPMENT_LIST</vt:lpstr>
      <vt:lpstr>SYSTEM_TEMPLATE_LOOKUP</vt:lpstr>
      <vt:lpstr>DWG Report</vt:lpstr>
      <vt:lpstr>Equipment Report</vt:lpstr>
      <vt:lpstr>Issuances</vt:lpstr>
      <vt:lpstr>Summary</vt:lpstr>
      <vt:lpstr>Revision List</vt:lpstr>
      <vt:lpstr>INSTRUCTIONS!Print_Area</vt:lpstr>
      <vt:lpstr>Issuances!Print_Area</vt:lpstr>
      <vt:lpstr>'Revision List'!Print_Area</vt:lpstr>
      <vt:lpstr>Summary!Print_Area</vt:lpstr>
      <vt:lpstr>SYSTEM_TEMPLATE_LOOKUP!Print_Area</vt:lpstr>
      <vt:lpstr>SYSTEM_TEMPLATE_LOOKUP!Print_Titles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Wright</dc:creator>
  <cp:keywords/>
  <dc:description/>
  <cp:lastModifiedBy>Daniel Wright</cp:lastModifiedBy>
  <cp:revision/>
  <cp:lastPrinted>2023-04-17T18:10:08Z</cp:lastPrinted>
  <dcterms:created xsi:type="dcterms:W3CDTF">2016-02-10T15:36:55Z</dcterms:created>
  <dcterms:modified xsi:type="dcterms:W3CDTF">2026-03-31T23:40:08Z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0x0101009BE40193C964F74AB902D6C8D406B196</vt:lpwstr>
  </property>
</Properties>
</file>